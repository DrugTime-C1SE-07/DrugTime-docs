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ivotTables/pivotTable1.xml" ContentType="application/vnd.openxmlformats-officedocument.spreadsheetml.pivotTable+xml"/>
  <Override PartName="/xl/drawings/drawing9.xml" ContentType="application/vnd.openxmlformats-officedocument.drawing+xml"/>
  <Override PartName="/xl/tables/table2.xml" ContentType="application/vnd.openxmlformats-officedocument.spreadsheetml.table+xml"/>
  <Override PartName="/xl/comments5.xml" ContentType="application/vnd.openxmlformats-officedocument.spreadsheetml.comments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1.xml" ContentType="application/vnd.openxmlformats-officedocument.drawing+xml"/>
  <Override PartName="/xl/comments6.xml" ContentType="application/vnd.openxmlformats-officedocument.spreadsheetml.comments+xml"/>
  <Override PartName="/xl/drawings/drawing12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3.xml" ContentType="application/vnd.openxmlformats-officedocument.drawing+xml"/>
  <Override PartName="/xl/comments7.xml" ContentType="application/vnd.openxmlformats-officedocument.spreadsheetml.comments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D:\DrugTime\"/>
    </mc:Choice>
  </mc:AlternateContent>
  <xr:revisionPtr revIDLastSave="0" documentId="8_{48CA4B6D-D0A9-4607-9ABD-80B9695D6055}" xr6:coauthVersionLast="47" xr6:coauthVersionMax="47" xr10:uidLastSave="{00000000-0000-0000-0000-000000000000}"/>
  <bookViews>
    <workbookView xWindow="-108" yWindow="-108" windowWidth="23256" windowHeight="12576" tabRatio="500" firstSheet="8" activeTab="8" xr2:uid="{00000000-000D-0000-FFFF-FFFF00000000}"/>
  </bookViews>
  <sheets>
    <sheet name="Main" sheetId="1" r:id="rId1"/>
    <sheet name="Product Backlog" sheetId="2" r:id="rId2"/>
    <sheet name="Sprint 1 Backlog" sheetId="3" r:id="rId3"/>
    <sheet name="Sprint 1 Reports" sheetId="4" r:id="rId4"/>
    <sheet name="Sprint 2 Backlog" sheetId="5" r:id="rId5"/>
    <sheet name="Sprint 2 Reports" sheetId="6" r:id="rId6"/>
    <sheet name="Sprint 3 Backlog" sheetId="7" r:id="rId7"/>
    <sheet name="Sprint 3 Reports" sheetId="8" r:id="rId8"/>
    <sheet name="Sprint 4 Backlog" sheetId="9" r:id="rId9"/>
    <sheet name="Sprint 4 Reports" sheetId="10" r:id="rId10"/>
    <sheet name="Sprint 5 Backlog" sheetId="11" r:id="rId11"/>
    <sheet name="Sprint 5 Reports" sheetId="12" r:id="rId12"/>
    <sheet name="Sprint 6 Backlog" sheetId="13" r:id="rId13"/>
    <sheet name="Sprint 6 Reports" sheetId="14" r:id="rId14"/>
    <sheet name="Impediment" sheetId="15" r:id="rId15"/>
    <sheet name="Retrospective" sheetId="16" r:id="rId16"/>
    <sheet name="References" sheetId="17" r:id="rId17"/>
    <sheet name="Replan Log" sheetId="18" r:id="rId18"/>
  </sheets>
  <definedNames>
    <definedName name="_xlnm._FilterDatabase" localSheetId="6" hidden="1">'Sprint 3 Backlog'!$B$7:$K$36</definedName>
  </definedNames>
  <calcPr calcId="191028" iterateDelta="1E-4"/>
  <pivotCaches>
    <pivotCache cacheId="112" r:id="rId1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9" i="9" l="1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N35" i="9"/>
  <c r="M35" i="9"/>
  <c r="L35" i="9"/>
  <c r="H35" i="9"/>
  <c r="J35" i="9"/>
  <c r="K35" i="9"/>
  <c r="I35" i="9"/>
  <c r="G35" i="9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8" i="3"/>
  <c r="AA41" i="5"/>
  <c r="AA42" i="5"/>
  <c r="K35" i="7"/>
  <c r="I35" i="7"/>
  <c r="H3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6" i="7"/>
  <c r="I8" i="7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M34" i="5"/>
  <c r="L34" i="5"/>
  <c r="K16" i="5"/>
  <c r="K32" i="5"/>
  <c r="J34" i="5"/>
  <c r="G34" i="5"/>
  <c r="I32" i="5"/>
  <c r="K30" i="5"/>
  <c r="K31" i="5"/>
  <c r="G38" i="7"/>
  <c r="I28" i="5"/>
  <c r="K28" i="5"/>
  <c r="I8" i="3"/>
  <c r="K8" i="3"/>
  <c r="I9" i="3"/>
  <c r="K9" i="3"/>
  <c r="I10" i="3"/>
  <c r="K10" i="3"/>
  <c r="I11" i="3"/>
  <c r="K11" i="3"/>
  <c r="I12" i="3"/>
  <c r="K12" i="3"/>
  <c r="I13" i="3"/>
  <c r="K13" i="3"/>
  <c r="I14" i="3"/>
  <c r="K14" i="3"/>
  <c r="I15" i="3"/>
  <c r="K15" i="3"/>
  <c r="I16" i="3"/>
  <c r="K16" i="3"/>
  <c r="I17" i="3"/>
  <c r="K17" i="3"/>
  <c r="I18" i="3"/>
  <c r="K18" i="3"/>
  <c r="I19" i="3"/>
  <c r="K19" i="3"/>
  <c r="I20" i="3"/>
  <c r="K20" i="3"/>
  <c r="I21" i="3"/>
  <c r="K21" i="3"/>
  <c r="I22" i="3"/>
  <c r="K22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30" i="3"/>
  <c r="AA31" i="3"/>
  <c r="AA32" i="3"/>
  <c r="AA33" i="3"/>
  <c r="AA34" i="3"/>
  <c r="AA35" i="3"/>
  <c r="E152" i="18"/>
  <c r="E151" i="18"/>
  <c r="E150" i="18"/>
  <c r="E149" i="18"/>
  <c r="E148" i="18"/>
  <c r="E147" i="18"/>
  <c r="E146" i="18"/>
  <c r="E145" i="18"/>
  <c r="E144" i="18"/>
  <c r="E143" i="18"/>
  <c r="E142" i="18"/>
  <c r="E141" i="18"/>
  <c r="E140" i="18"/>
  <c r="E139" i="18"/>
  <c r="E138" i="18"/>
  <c r="E137" i="18"/>
  <c r="E136" i="18"/>
  <c r="E135" i="18"/>
  <c r="E134" i="18"/>
  <c r="E133" i="18"/>
  <c r="E132" i="18"/>
  <c r="E131" i="18"/>
  <c r="E130" i="18"/>
  <c r="E129" i="18"/>
  <c r="E128" i="18"/>
  <c r="E127" i="18"/>
  <c r="E126" i="18"/>
  <c r="E125" i="18"/>
  <c r="E124" i="18"/>
  <c r="E123" i="18"/>
  <c r="E122" i="18"/>
  <c r="E121" i="18"/>
  <c r="E120" i="18"/>
  <c r="E119" i="18"/>
  <c r="E118" i="18"/>
  <c r="E117" i="18"/>
  <c r="E116" i="18"/>
  <c r="E115" i="18"/>
  <c r="E114" i="18"/>
  <c r="E113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6" i="18"/>
  <c r="E95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5" i="18"/>
  <c r="E74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D13" i="18"/>
  <c r="C13" i="18"/>
  <c r="D12" i="18"/>
  <c r="C12" i="18"/>
  <c r="E12" i="18" s="1"/>
  <c r="D11" i="18"/>
  <c r="C11" i="18"/>
  <c r="D10" i="18"/>
  <c r="C10" i="18"/>
  <c r="F9" i="18"/>
  <c r="D9" i="18"/>
  <c r="C9" i="18"/>
  <c r="D8" i="18"/>
  <c r="C8" i="18"/>
  <c r="C14" i="18" s="1"/>
  <c r="AA40" i="13"/>
  <c r="AA39" i="13"/>
  <c r="AA38" i="13"/>
  <c r="AA37" i="13"/>
  <c r="AA36" i="13"/>
  <c r="AA41" i="13" s="1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L31" i="13" s="1"/>
  <c r="M31" i="13" s="1"/>
  <c r="N31" i="13" s="1"/>
  <c r="O31" i="13" s="1"/>
  <c r="P31" i="13" s="1"/>
  <c r="Q31" i="13" s="1"/>
  <c r="R31" i="13" s="1"/>
  <c r="S31" i="13" s="1"/>
  <c r="T31" i="13" s="1"/>
  <c r="U31" i="13" s="1"/>
  <c r="V31" i="13" s="1"/>
  <c r="W31" i="13" s="1"/>
  <c r="X31" i="13" s="1"/>
  <c r="Y31" i="13" s="1"/>
  <c r="Z31" i="13" s="1"/>
  <c r="J29" i="13"/>
  <c r="H29" i="13"/>
  <c r="G29" i="13"/>
  <c r="K27" i="13"/>
  <c r="I27" i="13"/>
  <c r="K26" i="13"/>
  <c r="I26" i="13"/>
  <c r="K25" i="13"/>
  <c r="I25" i="13"/>
  <c r="K24" i="13"/>
  <c r="I24" i="13"/>
  <c r="K23" i="13"/>
  <c r="I23" i="13"/>
  <c r="K22" i="13"/>
  <c r="I22" i="13"/>
  <c r="K21" i="13"/>
  <c r="I21" i="13"/>
  <c r="K20" i="13"/>
  <c r="I20" i="13"/>
  <c r="K19" i="13"/>
  <c r="I19" i="13"/>
  <c r="K18" i="13"/>
  <c r="I18" i="13"/>
  <c r="K17" i="13"/>
  <c r="I17" i="13"/>
  <c r="K16" i="13"/>
  <c r="I16" i="13"/>
  <c r="K15" i="13"/>
  <c r="I15" i="13"/>
  <c r="K14" i="13"/>
  <c r="I14" i="13"/>
  <c r="K13" i="13"/>
  <c r="I13" i="13"/>
  <c r="K12" i="13"/>
  <c r="I12" i="13"/>
  <c r="K11" i="13"/>
  <c r="I11" i="13"/>
  <c r="K10" i="13"/>
  <c r="I10" i="13"/>
  <c r="K9" i="13"/>
  <c r="I9" i="13"/>
  <c r="K8" i="13"/>
  <c r="I8" i="13"/>
  <c r="AA45" i="11"/>
  <c r="AA44" i="11"/>
  <c r="AA43" i="11"/>
  <c r="AA42" i="11"/>
  <c r="AA41" i="11"/>
  <c r="AA46" i="11" s="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L36" i="11" s="1"/>
  <c r="M36" i="11" s="1"/>
  <c r="N36" i="11" s="1"/>
  <c r="O36" i="11" s="1"/>
  <c r="P36" i="11" s="1"/>
  <c r="Q36" i="11" s="1"/>
  <c r="R36" i="11" s="1"/>
  <c r="S36" i="11" s="1"/>
  <c r="T36" i="11" s="1"/>
  <c r="U36" i="11" s="1"/>
  <c r="V36" i="11" s="1"/>
  <c r="W36" i="11" s="1"/>
  <c r="X36" i="11" s="1"/>
  <c r="Y36" i="11" s="1"/>
  <c r="Z36" i="11" s="1"/>
  <c r="J34" i="11"/>
  <c r="H34" i="11"/>
  <c r="G34" i="11"/>
  <c r="K32" i="11"/>
  <c r="I32" i="11"/>
  <c r="K31" i="11"/>
  <c r="I31" i="11"/>
  <c r="K30" i="11"/>
  <c r="I30" i="11"/>
  <c r="K29" i="11"/>
  <c r="I29" i="11"/>
  <c r="K28" i="11"/>
  <c r="I28" i="11"/>
  <c r="K27" i="11"/>
  <c r="I27" i="11"/>
  <c r="K26" i="11"/>
  <c r="I26" i="11"/>
  <c r="K25" i="11"/>
  <c r="I25" i="11"/>
  <c r="K24" i="11"/>
  <c r="I24" i="11"/>
  <c r="K23" i="11"/>
  <c r="I23" i="11"/>
  <c r="K22" i="11"/>
  <c r="I22" i="11"/>
  <c r="K21" i="11"/>
  <c r="I21" i="11"/>
  <c r="K20" i="11"/>
  <c r="I20" i="11"/>
  <c r="K19" i="11"/>
  <c r="I19" i="11"/>
  <c r="K18" i="11"/>
  <c r="I18" i="11"/>
  <c r="K17" i="11"/>
  <c r="I17" i="11"/>
  <c r="K16" i="11"/>
  <c r="I16" i="11"/>
  <c r="K15" i="11"/>
  <c r="I15" i="11"/>
  <c r="K14" i="11"/>
  <c r="I14" i="11"/>
  <c r="K13" i="11"/>
  <c r="I13" i="11"/>
  <c r="K12" i="11"/>
  <c r="I12" i="11"/>
  <c r="K11" i="11"/>
  <c r="I11" i="11"/>
  <c r="K10" i="11"/>
  <c r="I10" i="11"/>
  <c r="K9" i="11"/>
  <c r="I9" i="11"/>
  <c r="K8" i="11"/>
  <c r="I8" i="11"/>
  <c r="AA45" i="9"/>
  <c r="AA44" i="9"/>
  <c r="AA43" i="9"/>
  <c r="AA42" i="9"/>
  <c r="AA41" i="9"/>
  <c r="AA46" i="9" s="1"/>
  <c r="Z35" i="9"/>
  <c r="Y35" i="9"/>
  <c r="X35" i="9"/>
  <c r="W35" i="9"/>
  <c r="V35" i="9"/>
  <c r="U35" i="9"/>
  <c r="T35" i="9"/>
  <c r="S35" i="9"/>
  <c r="R35" i="9"/>
  <c r="Q35" i="9"/>
  <c r="P35" i="9"/>
  <c r="O35" i="9"/>
  <c r="L37" i="9"/>
  <c r="M37" i="9" s="1"/>
  <c r="N37" i="9" s="1"/>
  <c r="O37" i="9" s="1"/>
  <c r="P37" i="9" s="1"/>
  <c r="Q37" i="9" s="1"/>
  <c r="R37" i="9" s="1"/>
  <c r="S37" i="9" s="1"/>
  <c r="T37" i="9" s="1"/>
  <c r="U37" i="9" s="1"/>
  <c r="V37" i="9" s="1"/>
  <c r="W37" i="9" s="1"/>
  <c r="X37" i="9" s="1"/>
  <c r="Y37" i="9" s="1"/>
  <c r="Z37" i="9" s="1"/>
  <c r="K8" i="9"/>
  <c r="I8" i="9"/>
  <c r="AA49" i="7"/>
  <c r="AA48" i="7"/>
  <c r="AA47" i="7"/>
  <c r="AA46" i="7"/>
  <c r="AA45" i="7"/>
  <c r="AA50" i="7" s="1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L40" i="7" s="1"/>
  <c r="M40" i="7" s="1"/>
  <c r="N40" i="7" s="1"/>
  <c r="O40" i="7" s="1"/>
  <c r="P40" i="7" s="1"/>
  <c r="Q40" i="7" s="1"/>
  <c r="R40" i="7" s="1"/>
  <c r="S40" i="7" s="1"/>
  <c r="T40" i="7" s="1"/>
  <c r="U40" i="7" s="1"/>
  <c r="V40" i="7" s="1"/>
  <c r="W40" i="7" s="1"/>
  <c r="X40" i="7" s="1"/>
  <c r="Y40" i="7" s="1"/>
  <c r="Z40" i="7" s="1"/>
  <c r="J38" i="7"/>
  <c r="K36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AA45" i="5"/>
  <c r="AA44" i="5"/>
  <c r="AA43" i="5"/>
  <c r="AA46" i="5"/>
  <c r="L36" i="5"/>
  <c r="M36" i="5" s="1"/>
  <c r="N36" i="5" s="1"/>
  <c r="O36" i="5" s="1"/>
  <c r="H34" i="5"/>
  <c r="L35" i="5"/>
  <c r="M35" i="5" s="1"/>
  <c r="N35" i="5" s="1"/>
  <c r="O35" i="5" s="1"/>
  <c r="P35" i="5" s="1"/>
  <c r="Q35" i="5" s="1"/>
  <c r="R35" i="5" s="1"/>
  <c r="I31" i="5"/>
  <c r="I30" i="5"/>
  <c r="K29" i="5"/>
  <c r="I29" i="5"/>
  <c r="K27" i="5"/>
  <c r="I27" i="5"/>
  <c r="K26" i="5"/>
  <c r="I26" i="5"/>
  <c r="K25" i="5"/>
  <c r="I25" i="5"/>
  <c r="K24" i="5"/>
  <c r="I24" i="5"/>
  <c r="K23" i="5"/>
  <c r="I23" i="5"/>
  <c r="K22" i="5"/>
  <c r="I22" i="5"/>
  <c r="K21" i="5"/>
  <c r="I21" i="5"/>
  <c r="K20" i="5"/>
  <c r="I20" i="5"/>
  <c r="K19" i="5"/>
  <c r="I19" i="5"/>
  <c r="K18" i="5"/>
  <c r="I18" i="5"/>
  <c r="K17" i="5"/>
  <c r="I17" i="5"/>
  <c r="I16" i="5"/>
  <c r="K15" i="5"/>
  <c r="I15" i="5"/>
  <c r="K14" i="5"/>
  <c r="I14" i="5"/>
  <c r="K13" i="5"/>
  <c r="I13" i="5"/>
  <c r="K12" i="5"/>
  <c r="I12" i="5"/>
  <c r="K11" i="5"/>
  <c r="I11" i="5"/>
  <c r="K10" i="5"/>
  <c r="I10" i="5"/>
  <c r="K9" i="5"/>
  <c r="I9" i="5"/>
  <c r="K8" i="5"/>
  <c r="K34" i="5" s="1"/>
  <c r="I8" i="5"/>
  <c r="I34" i="5" s="1"/>
  <c r="N49" i="2"/>
  <c r="M24" i="1"/>
  <c r="K23" i="1"/>
  <c r="J24" i="1" s="1"/>
  <c r="K24" i="1" s="1"/>
  <c r="J25" i="1" s="1"/>
  <c r="K25" i="1" s="1"/>
  <c r="J26" i="1" s="1"/>
  <c r="K26" i="1" s="1"/>
  <c r="J27" i="1" s="1"/>
  <c r="K27" i="1" s="1"/>
  <c r="J28" i="1" s="1"/>
  <c r="K28" i="1" s="1"/>
  <c r="K29" i="13" l="1"/>
  <c r="I29" i="13"/>
  <c r="I34" i="11"/>
  <c r="K34" i="11"/>
  <c r="K38" i="7"/>
  <c r="I38" i="7"/>
  <c r="S35" i="5"/>
  <c r="T35" i="5" s="1"/>
  <c r="U35" i="5" s="1"/>
  <c r="V35" i="5" s="1"/>
  <c r="W35" i="5" s="1"/>
  <c r="X35" i="5" s="1"/>
  <c r="Y35" i="5" s="1"/>
  <c r="Z35" i="5" s="1"/>
  <c r="P36" i="5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E13" i="18"/>
  <c r="E11" i="18"/>
  <c r="E10" i="18"/>
  <c r="G9" i="18"/>
  <c r="E9" i="18"/>
  <c r="E8" i="18"/>
  <c r="E14" i="18" s="1"/>
  <c r="D14" i="18"/>
  <c r="F13" i="18"/>
  <c r="G13" i="18" s="1"/>
  <c r="L30" i="13"/>
  <c r="M30" i="13" s="1"/>
  <c r="N30" i="13" s="1"/>
  <c r="O30" i="13" s="1"/>
  <c r="P30" i="13" s="1"/>
  <c r="Q30" i="13" s="1"/>
  <c r="R30" i="13" s="1"/>
  <c r="S30" i="13" s="1"/>
  <c r="T30" i="13" s="1"/>
  <c r="U30" i="13" s="1"/>
  <c r="V30" i="13" s="1"/>
  <c r="W30" i="13" s="1"/>
  <c r="X30" i="13" s="1"/>
  <c r="Y30" i="13" s="1"/>
  <c r="Z30" i="13" s="1"/>
  <c r="M28" i="1"/>
  <c r="L35" i="11"/>
  <c r="M35" i="11" s="1"/>
  <c r="N35" i="11" s="1"/>
  <c r="O35" i="11" s="1"/>
  <c r="P35" i="11" s="1"/>
  <c r="Q35" i="11" s="1"/>
  <c r="R35" i="11" s="1"/>
  <c r="S35" i="11" s="1"/>
  <c r="T35" i="11" s="1"/>
  <c r="U35" i="11" s="1"/>
  <c r="V35" i="11" s="1"/>
  <c r="W35" i="11" s="1"/>
  <c r="X35" i="11" s="1"/>
  <c r="Y35" i="11" s="1"/>
  <c r="Z35" i="11" s="1"/>
  <c r="F12" i="18"/>
  <c r="G12" i="18" s="1"/>
  <c r="M27" i="1"/>
  <c r="F11" i="18"/>
  <c r="G11" i="18" s="1"/>
  <c r="L36" i="9"/>
  <c r="M36" i="9" s="1"/>
  <c r="N36" i="9" s="1"/>
  <c r="O36" i="9" s="1"/>
  <c r="P36" i="9" s="1"/>
  <c r="Q36" i="9" s="1"/>
  <c r="R36" i="9" s="1"/>
  <c r="S36" i="9" s="1"/>
  <c r="T36" i="9" s="1"/>
  <c r="U36" i="9" s="1"/>
  <c r="V36" i="9" s="1"/>
  <c r="W36" i="9" s="1"/>
  <c r="X36" i="9" s="1"/>
  <c r="Y36" i="9" s="1"/>
  <c r="Z36" i="9" s="1"/>
  <c r="M26" i="1"/>
  <c r="L39" i="7"/>
  <c r="M39" i="7" s="1"/>
  <c r="N39" i="7" s="1"/>
  <c r="O39" i="7" s="1"/>
  <c r="P39" i="7" s="1"/>
  <c r="Q39" i="7" s="1"/>
  <c r="R39" i="7" s="1"/>
  <c r="S39" i="7" s="1"/>
  <c r="T39" i="7" s="1"/>
  <c r="U39" i="7" s="1"/>
  <c r="V39" i="7" s="1"/>
  <c r="W39" i="7" s="1"/>
  <c r="X39" i="7" s="1"/>
  <c r="Y39" i="7" s="1"/>
  <c r="Z39" i="7" s="1"/>
  <c r="M25" i="1"/>
  <c r="F10" i="18"/>
  <c r="G10" i="18" s="1"/>
  <c r="F8" i="18"/>
  <c r="G8" i="18" s="1"/>
  <c r="M23" i="1"/>
  <c r="G14" i="18" l="1"/>
  <c r="F14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M7" authorId="0" shapeId="0" xr:uid="{00000000-0006-0000-0100-000001000000}">
      <text>
        <r>
          <rPr>
            <sz val="10"/>
            <rFont val="Arial"/>
            <family val="2"/>
          </rPr>
          <t>Fill in when a product backlog item has been assigned to a specific sprint. After a Sprint planning meeting is done.</t>
        </r>
      </text>
    </comment>
    <comment ref="N7" authorId="0" shapeId="0" xr:uid="{00000000-0006-0000-0100-000002000000}">
      <text>
        <r>
          <rPr>
            <sz val="10"/>
            <rFont val="Arial"/>
            <family val="2"/>
          </rPr>
          <t xml:space="preserve">Just rough numbers, 5,10,15,20 etc.
Not 7, 13, 21 etc.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2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2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4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4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6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6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8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8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A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A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C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C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sharedStrings.xml><?xml version="1.0" encoding="utf-8"?>
<sst xmlns="http://schemas.openxmlformats.org/spreadsheetml/2006/main" count="2274" uniqueCount="722">
  <si>
    <t>Scrum Project</t>
  </si>
  <si>
    <t>Product</t>
  </si>
  <si>
    <t>DrugTime</t>
  </si>
  <si>
    <t>Active versions</t>
  </si>
  <si>
    <t>v1.0</t>
  </si>
  <si>
    <t>Team</t>
  </si>
  <si>
    <t>Product Owner</t>
  </si>
  <si>
    <t>Nguyen Van Nguyen</t>
  </si>
  <si>
    <t>Scrum Master</t>
  </si>
  <si>
    <t>Nguyen Ngoc Phuc</t>
  </si>
  <si>
    <t>Other Stakeholders</t>
  </si>
  <si>
    <t>B.Eng. Nguyen Trong Giap</t>
  </si>
  <si>
    <t>Developers</t>
  </si>
  <si>
    <t>Nguyen Quang Bao</t>
  </si>
  <si>
    <t>Nguyen Tan Duc</t>
  </si>
  <si>
    <t>Dang Ngo Ngoc Viet</t>
  </si>
  <si>
    <t>Projects</t>
  </si>
  <si>
    <t>Sprint Plan</t>
  </si>
  <si>
    <t>Id</t>
  </si>
  <si>
    <t>Description</t>
  </si>
  <si>
    <t>Start</t>
  </si>
  <si>
    <t>End</t>
  </si>
  <si>
    <t>Status</t>
  </si>
  <si>
    <t>Remarks</t>
  </si>
  <si>
    <t>Sprint</t>
  </si>
  <si>
    <t>Work planned (Committed)</t>
  </si>
  <si>
    <t>Work spent (Delivered)</t>
  </si>
  <si>
    <t>DrugTime MVP (Capstone Project 1)</t>
  </si>
  <si>
    <t>In Progress</t>
  </si>
  <si>
    <t>Implementation only</t>
  </si>
  <si>
    <t>1</t>
  </si>
  <si>
    <t>Not started</t>
  </si>
  <si>
    <t>DrugTime - Full Project (Initiation to Capstone Defense)</t>
  </si>
  <si>
    <t>2</t>
  </si>
  <si>
    <t>3</t>
  </si>
  <si>
    <t>4</t>
  </si>
  <si>
    <t>5</t>
  </si>
  <si>
    <t>6</t>
  </si>
  <si>
    <t>Product Backlog</t>
  </si>
  <si>
    <t>Heading</t>
  </si>
  <si>
    <t>As a..</t>
  </si>
  <si>
    <t>I want to ..</t>
  </si>
  <si>
    <t>so that ..</t>
  </si>
  <si>
    <t>Acceptance Criteria</t>
  </si>
  <si>
    <t>Priority</t>
  </si>
  <si>
    <t>Type</t>
  </si>
  <si>
    <t>Project Id</t>
  </si>
  <si>
    <t>Sprint No</t>
  </si>
  <si>
    <t>Estimate
(Hours)</t>
  </si>
  <si>
    <t>Effort (Actual)</t>
  </si>
  <si>
    <t>Owner</t>
  </si>
  <si>
    <t>PB01</t>
  </si>
  <si>
    <t>Register / Login</t>
  </si>
  <si>
    <t>Patient</t>
  </si>
  <si>
    <t>Register and log into my account</t>
  </si>
  <si>
    <t>I can securely access the app</t>
  </si>
  <si>
    <t>- POST /auth/register + /auth/login return 200/401 correctly
- Password hashed, session token issued
- Mobile UI: form validation, error states</t>
  </si>
  <si>
    <t>Hỗ trợ đăng nhập bằng cả email và SĐT (users.email thêm ở Schema v4).</t>
  </si>
  <si>
    <t>User Story</t>
  </si>
  <si>
    <t>PB02</t>
  </si>
  <si>
    <t>Purpose-separated consent</t>
  </si>
  <si>
    <t>Complete consent separately for each data-processing purpose</t>
  </si>
  <si>
    <t>My data is only used for what I explicitly agreed to (PDPL 2025)</t>
  </si>
  <si>
    <t>- DB table `consents` stores purpose, granted_at
- UI: one toggle per purpose, no 'Accept All' button
- Backend blocks data action if purpose not consented
- Revoking one purpose does not affect consent already granted for other purposes</t>
  </si>
  <si>
    <t>PB03</t>
  </si>
  <si>
    <t>Manage health profile</t>
  </si>
  <si>
    <t>Create and edit my health profile</t>
  </si>
  <si>
    <t>The system has accurate info to base reminders and warnings on</t>
  </si>
  <si>
    <t>- CRUD /profile endpoint
- Mobile form with validation</t>
  </si>
  <si>
    <t>PB04</t>
  </si>
  <si>
    <t>Manage medication catalog</t>
  </si>
  <si>
    <t>Admin</t>
  </si>
  <si>
    <t>Add, edit, and remove medications in the catalog</t>
  </si>
  <si>
    <t>Patients can match their medications against an accurate list</t>
  </si>
  <si>
    <t>- Admin dashboard CRUD table
- Search/filter by name
- Soft-delete only: entries referenced by existing patient history cannot be hard-deleted (avoid breaking historical records)</t>
  </si>
  <si>
    <t>PB05</t>
  </si>
  <si>
    <t>Manage interaction catalog</t>
  </si>
  <si>
    <t>Add, edit, and remove drug-drug/drug-food interaction records</t>
  </si>
  <si>
    <t>Interaction warnings shown to patients are accurate</t>
  </si>
  <si>
    <t>- Admin dashboard CRUD table
- Linked to medication catalog by ID
- Soft-delete only: entries referenced by existing patient history cannot be hard-deleted (avoid breaking historical records)</t>
  </si>
  <si>
    <t>PB06</t>
  </si>
  <si>
    <t>Synchronize catalog from external sources</t>
  </si>
  <si>
    <t>Trigger a periodic sync job pulling from the Vietnamese Drug Regulatory Data Source</t>
  </si>
  <si>
    <t>The catalog stays current without manual re-entry</t>
  </si>
  <si>
    <t>- RQ scheduled job runs weekly/monthly
- Sync log stored with timestamp + record count</t>
  </si>
  <si>
    <t>Task split: research+build in S1, logging+testing in S2</t>
  </si>
  <si>
    <t>PB07</t>
  </si>
  <si>
    <t>Backend deployment on Render</t>
  </si>
  <si>
    <t>Have the backend deployed to Render</t>
  </si>
  <si>
    <t>The mobile app and admin dashboard reach a public HTTPS backend, and every push to main redeploys without manual steps</t>
  </si>
  <si>
    <t>- Render Web Service builds from the GitHub repo and auto-deploys on push to main
- Health-check endpoint returns 200; HTTPS provided by Render
- Secrets set as Render environment variables (none in the repo)
- RQ jobs (catalog sync, missed-dose detection) run on Render
- Mobile app + admin dashboard smoke-tested against the Render URL</t>
  </si>
  <si>
    <t>Task split: deploy + smoke test in S4; final redeploy + runbook in S6. Replaces GitHub Actions / Oracle Cloud VM / Caddy (dropped).</t>
  </si>
  <si>
    <t>Technical Task</t>
  </si>
  <si>
    <t>PB08</t>
  </si>
  <si>
    <t>Database schema design &amp; migrations</t>
  </si>
  <si>
    <t>Have a versioned DB schema</t>
  </si>
  <si>
    <t>All modules share a consistent, evolvable data model</t>
  </si>
  <si>
    <t>- ERD reviewed &amp; approved
- Migration scripts run cleanly on empty DB</t>
  </si>
  <si>
    <t>PB09</t>
  </si>
  <si>
    <t>Patient-Family linking data model</t>
  </si>
  <si>
    <t>Have a many-to-many linking table between patients and family members</t>
  </si>
  <si>
    <t>Sprint 3 features (linking, alerts) have a schema to build on</t>
  </si>
  <si>
    <t>- Table `patient_family_links` with status/consent fields
- Unit tested for many-to-many</t>
  </si>
  <si>
    <t>PB10</t>
  </si>
  <si>
    <t>Add medication (manual input)</t>
  </si>
  <si>
    <t>Add a medication by entering its name, dose, and schedule manually</t>
  </si>
  <si>
    <t>I can start tracking a medication without scanning</t>
  </si>
  <si>
    <t>- POST /medications validates required fields
- Mobile form: name, dose, time, frequency</t>
  </si>
  <si>
    <t>Chỉ chọn thuốc có sẵn trong danh mục (medication_id bắt buộc, Schema v5) — không còn cho nhập tự do.</t>
  </si>
  <si>
    <t>PB11</t>
  </si>
  <si>
    <t>Manage medication schedule</t>
  </si>
  <si>
    <t>Edit the time, dose, and frequency of a medication</t>
  </si>
  <si>
    <t>My schedule stays accurate as prescriptions change</t>
  </si>
  <si>
    <t>- PUT /medications/{id}/schedule
- UI supports edit/delete of a schedule entry</t>
  </si>
  <si>
    <t>PB12</t>
  </si>
  <si>
    <t>Receive reminder</t>
  </si>
  <si>
    <t>Get a local notification at each scheduled dose time</t>
  </si>
  <si>
    <t>I don't forget to take my medication</t>
  </si>
  <si>
    <t>- Local notification fires within 2s of scheduled time (NFR05)
- Works offline (on-device scheduling)
- No reminder sent if the dose was already confirmed before the scheduled time
- Correct handling when multiple medications share the same reminder time (all shown, none dropped)</t>
  </si>
  <si>
    <t>PB13</t>
  </si>
  <si>
    <t>Confirm dose intake</t>
  </si>
  <si>
    <t>Tap a button to confirm I took a dose</t>
  </si>
  <si>
    <t>My adherence is tracked accurately</t>
  </si>
  <si>
    <t>- Button confirmation writes to adherence log
- Confirmed state reflected in reminder UI immediately</t>
  </si>
  <si>
    <t>PB14</t>
  </si>
  <si>
    <t>View adherence history</t>
  </si>
  <si>
    <t>See a log of doses taken/missed by day and by medication</t>
  </si>
  <si>
    <t>I can track my own consistency</t>
  </si>
  <si>
    <t>- GET /adherence returns list grouped by date+medication
- Mobile screen renders calendar/list view</t>
  </si>
  <si>
    <t>PB15</t>
  </si>
  <si>
    <t>Link family member</t>
  </si>
  <si>
    <t>Generate a QR code or referral code to link a family member</t>
  </si>
  <si>
    <t>They can monitor my adherence</t>
  </si>
  <si>
    <t>- POST /links/generate returns QR payload + code
- Code expires after 24h</t>
  </si>
  <si>
    <t>PB16</t>
  </si>
  <si>
    <t>Confirm data-sharing consent on linking</t>
  </si>
  <si>
    <t>Confirm what data is shared when a family member links</t>
  </si>
  <si>
    <t>Sharing stays within the purpose I explicitly agreed to</t>
  </si>
  <si>
    <t>- Linking flow blocked until consent confirmed
- Consent record linked to the specific family member ID</t>
  </si>
  <si>
    <t>PB17</t>
  </si>
  <si>
    <t>Remove linked family member</t>
  </si>
  <si>
    <t>Remove a previously linked family member</t>
  </si>
  <si>
    <t>I can revoke their access at any time</t>
  </si>
  <si>
    <t>- DELETE /links/{id} removes access immediately
- Family member's app reflects the change on next sync</t>
  </si>
  <si>
    <t>PB18</t>
  </si>
  <si>
    <t>Revoke data-sharing permission</t>
  </si>
  <si>
    <t>Revoke data-sharing without fully removing the link</t>
  </si>
  <si>
    <t>I can pause sharing without ending the relationship</t>
  </si>
  <si>
    <t>- PATCH /links/{id}/consent sets shared=false
- Family member's Drug Safety Lookup access blocked immediately</t>
  </si>
  <si>
    <t>PB19</t>
  </si>
  <si>
    <t>Link to patient account</t>
  </si>
  <si>
    <t>Family Member</t>
  </si>
  <si>
    <t>Scan a QR code or enter a referral code to link to a patient</t>
  </si>
  <si>
    <t>I can start monitoring them</t>
  </si>
  <si>
    <t>- POST /links/redeem validates code, creates link
- No cap on number of linked patients</t>
  </si>
  <si>
    <t>PB20</t>
  </si>
  <si>
    <t>Receive missed-dose alert</t>
  </si>
  <si>
    <t>Get a real-time alert when a linked patient misses a dose</t>
  </si>
  <si>
    <t>I can check on them promptly</t>
  </si>
  <si>
    <t>- Push notification within 2s of missed-dose detection
- Alert names the patient explicitly
- No missed-dose alert sent if the patient confirms the dose just before the detection job runs (avoid false alert to Family Member)</t>
  </si>
  <si>
    <t>PB21</t>
  </si>
  <si>
    <t>View basic adherence history of a linked patient</t>
  </si>
  <si>
    <t>I can understand their consistency over time</t>
  </si>
  <si>
    <t>- GET /adherence?patient_id= scoped by active consent
- Blocked if consent revoked</t>
  </si>
  <si>
    <t>PB22</t>
  </si>
  <si>
    <t>Manage multiple linked patients</t>
  </si>
  <si>
    <t>Switch between multiple linked patients in the app</t>
  </si>
  <si>
    <t>I can monitor more than one family member</t>
  </si>
  <si>
    <t>- Patient-switcher UI component
- Data scoped correctly per selected patient (no data leak)</t>
  </si>
  <si>
    <t>PB23</t>
  </si>
  <si>
    <t>Look up medication information</t>
  </si>
  <si>
    <t>Search for and view details of a medication</t>
  </si>
  <si>
    <t>I understand what I'm taking</t>
  </si>
  <si>
    <t>- GET /medications/search?q=
- Result includes dosage form, active ingredient</t>
  </si>
  <si>
    <t>PB24</t>
  </si>
  <si>
    <t>View drug-drug interaction warning</t>
  </si>
  <si>
    <t>See a warning if two of my medications interact</t>
  </si>
  <si>
    <t>I'm alerted to a potential safety risk</t>
  </si>
  <si>
    <t>- Warning screen triggered on medication add if conflict found
- Mandatory disclaimer text always shown (NFR03)
- Interaction-detection logic validated against a standardized drug-drug interaction test-case set (must cover true-positive pairs, true-negative/no-interaction pairs, and known edge cases), not just UI text presence
- Test case set reviewed/approved by mentor before Sprint 4 acceptance
- Multiple simultaneous interactions: all conflicting pairs are listed, not only the first match found
- UI distinguishes 3 result states, each with a distinct, clearly worded message: (1) Interaction found -&gt; warning shown; (2) Not found within checked data -&gt; neutral wording (e.g. 'no known interaction in current database'), never phrased as a guarantee of safety; (3) Insufficient data (e.g. medication/food not in catalog) -&gt; explicit 'cannot verify, please consult a pharmacist' message, not silently treated as 'no interaction'</t>
  </si>
  <si>
    <t>PB25</t>
  </si>
  <si>
    <t>View drug-food interaction warning</t>
  </si>
  <si>
    <t>See a warning if a medication interacts with a food</t>
  </si>
  <si>
    <t>I can avoid risky food combinations</t>
  </si>
  <si>
    <t>- Warning shown in AI meal suggestion + standalone lookup
- Mandatory disclaimer text always shown
- Detection logic validated against the same standardized test-case approach as PB24 (true-positive/true-negative food-drug pairs)
- Multiple conflicting foods in one meal suggestion are all surfaced, not only the first match found
- UI distinguishes 3 result states, each with a distinct, clearly worded message: (1) Interaction found -&gt; warning shown; (2) Not found within checked data -&gt; neutral wording (e.g. 'no known interaction in current database'), never phrased as a guarantee of safety; (3) Insufficient data (e.g. medication/food not in catalog) -&gt; explicit 'cannot verify, please consult a pharmacist' message, not silently treated as 'no interaction'</t>
  </si>
  <si>
    <t>PB26</t>
  </si>
  <si>
    <t>Look up medication info of linked patient</t>
  </si>
  <si>
    <t>Search medication info for a linked patient</t>
  </si>
  <si>
    <t>I can help them understand their treatment</t>
  </si>
  <si>
    <t>- Same as Patient lookup, scoped by consent+patient_id
- Access is re-checked against current consent status on every API call, not cached for the session</t>
  </si>
  <si>
    <t>PB27</t>
  </si>
  <si>
    <t>View drug-drug interaction of linked patient</t>
  </si>
  <si>
    <t>View drug-drug warnings for a linked patient</t>
  </si>
  <si>
    <t>I can help spot safety risks</t>
  </si>
  <si>
    <t>- Reuses Patient interaction logic, scoped by consent
- Access is re-checked against current consent status on every API call, not cached for the session</t>
  </si>
  <si>
    <t>PB28</t>
  </si>
  <si>
    <t>View drug-food interaction of linked patient</t>
  </si>
  <si>
    <t>View drug-food warnings for a linked patient</t>
  </si>
  <si>
    <t>I can help with meal planning for them</t>
  </si>
  <si>
    <t>PB29</t>
  </si>
  <si>
    <t>iOS build/signing pipeline setup</t>
  </si>
  <si>
    <t>Have a working iOS build and TestFlight/Ad Hoc signing pipeline</t>
  </si>
  <si>
    <t>The MVP can ship on both Android and iOS as committed</t>
  </si>
  <si>
    <t>- Mac build produces signed .ipa
- Installable via TestFlight or Ad Hoc</t>
  </si>
  <si>
    <t>Team chốt KHÔNG mua Apple Developer Program cho Phase 1: chỉ dùng Apple ID miễn phí. AC 'installable via TestFlight or Ad Hoc' không đạt được; chỉ chạy qua Xcode trên máy thật. Hệ quả: PB20 không có push (APNs) trên iOS.</t>
  </si>
  <si>
    <t>PB30</t>
  </si>
  <si>
    <t>Cross-device testing (Android + iOS)</t>
  </si>
  <si>
    <t>Run core flows on real Android and iOS devices</t>
  </si>
  <si>
    <t>We catch platform-specific bugs before later sprints</t>
  </si>
  <si>
    <t>- Test checklist covers onboarding, reminder, confirmation on both OS
- Defects logged in tracker</t>
  </si>
  <si>
    <t>PB31</t>
  </si>
  <si>
    <t>Scan blister pack</t>
  </si>
  <si>
    <t>Scan a medication blister pack with the camera</t>
  </si>
  <si>
    <t>I can add a medication faster than typing it</t>
  </si>
  <si>
    <t>- On-device ML Kit recognition, no image leaves device
- Falls back to manual search if no match (Risk R-01)
- Recognition-confidence threshold defined; below it, auto-fallback to manual search instead of showing a possibly-wrong match</t>
  </si>
  <si>
    <t>Không khớp danh mục -&gt; chuyển tìm thủ công (không nhập tự do). Bảng log unmatched_scan_logs đã bị bỏ khỏi Schema v6 để đơn giản hoá (mất khả năng Admin tự động biết thuốc nào cần bổ sung).</t>
  </si>
  <si>
    <t>PB32</t>
  </si>
  <si>
    <t>Confirm medication</t>
  </si>
  <si>
    <t>Manually verify a scanned or entered medication before saving</t>
  </si>
  <si>
    <t>Incorrect matches don't silently enter my schedule</t>
  </si>
  <si>
    <t>- Confirmation step is mandatory, cannot be skipped
- Shows matched catalog entry for review</t>
  </si>
  <si>
    <t>PB33</t>
  </si>
  <si>
    <t>Switch to Simple Mode UI</t>
  </si>
  <si>
    <t>Switch to a high-contrast, single-button interface</t>
  </si>
  <si>
    <t>I can use the app easily despite low tech literacy</t>
  </si>
  <si>
    <t>- Toggle in settings persists across sessions
- Simple Mode screen shows only next dose + 1 confirm button</t>
  </si>
  <si>
    <t>Trạng thái Simple Mode lưu cục bộ trên máy (SharedPreferences/UserDefaults), KHÔNG lưu server — Schema v3 đã bỏ cột users.che_do_nguoi_cao_tuoi.</t>
  </si>
  <si>
    <t>PB34</t>
  </si>
  <si>
    <t>Withdraw consent / request data deletion</t>
  </si>
  <si>
    <t>Withdraw consent or request my data be deleted</t>
  </si>
  <si>
    <t>I retain control over my personal data (PDPL 2025)</t>
  </si>
  <si>
    <t>- Settings action triggers deletion request record
- Confirmation shown to patient immediately</t>
  </si>
  <si>
    <t>PB35</t>
  </si>
  <si>
    <t>Process data deletion / consent withdrawal requests</t>
  </si>
  <si>
    <t>View and process pending deletion/withdrawal requests</t>
  </si>
  <si>
    <t>Compliance obligations are met within a defined SLA</t>
  </si>
  <si>
    <t>- Admin queue lists pending requests
- Marking 'processed' triggers actual data deletion job</t>
  </si>
  <si>
    <t>PB36</t>
  </si>
  <si>
    <t>View sensitive-data access log</t>
  </si>
  <si>
    <t>View a log of who accessed a patient's sensitive health data</t>
  </si>
  <si>
    <t>The system is auditable under DPIA obligations</t>
  </si>
  <si>
    <t>- Log entry created on every Family Member/Admin data view
- Filterable by patient, date, actor</t>
  </si>
  <si>
    <t>PB37</t>
  </si>
  <si>
    <t>View AI meal suggestion with explanation</t>
  </si>
  <si>
    <t>See a suggested meal based on my current medications, with a brief explanation</t>
  </si>
  <si>
    <t>I can make safer dietary choices</t>
  </si>
  <si>
    <t>- LLM API call returns suggestion + explanation within 10 seconds latency
- Medical disclaimer always shown (R-07)
- Meal suggestion distinguishes the same 3 states for food-drug conflict checks (found / not found in checked data / insufficient data), never silently defaulting to 'safe'</t>
  </si>
  <si>
    <t>PB39</t>
  </si>
  <si>
    <t>View AI meal suggestion for linked patient</t>
  </si>
  <si>
    <t>View the AI meal suggestion generated for a linked patient</t>
  </si>
  <si>
    <t>I can help plan meals for them</t>
  </si>
  <si>
    <t>- Reuses Patient meal-suggestion endpoint, scoped by consent</t>
  </si>
  <si>
    <t>PB41</t>
  </si>
  <si>
    <t>Conduct DPIA for new sensitive-data flows</t>
  </si>
  <si>
    <t>Complete a Data Protection Impact Assessment before go-live</t>
  </si>
  <si>
    <t>The platform is compliant with the 2025 PDPL before launch</t>
  </si>
  <si>
    <t>- DPIA document completed and reviewed with mentor
- Signed off before Sprint 6 ends</t>
  </si>
  <si>
    <t>Task split: preliminary draft in S1, update+review+signoff in S6</t>
  </si>
  <si>
    <t>PB42</t>
  </si>
  <si>
    <t>Review PDPL 2025 / Decree 356 compliance</t>
  </si>
  <si>
    <t>Review the full platform against PDPL 2025 and Decree 356 requirements</t>
  </si>
  <si>
    <t>No compliance gap remains before final submission</t>
  </si>
  <si>
    <t>- Compliance checklist completed
- Any gap logged and resolved before Final Submission</t>
  </si>
  <si>
    <t>PB43</t>
  </si>
  <si>
    <t>Full-system bug-fixing (Android + iOS)</t>
  </si>
  <si>
    <t>Fix defects found during end-to-end testing</t>
  </si>
  <si>
    <t>The final submission is stable on both platforms</t>
  </si>
  <si>
    <t>- All Sprint 1-6 features retested end-to-end
- Critical/High bugs resolved before Integration phase</t>
  </si>
  <si>
    <t>Total</t>
  </si>
  <si>
    <t>Completed is ALWAYS the estimated (planned) number of hours. You NEVER put in the number of hours you worked.</t>
  </si>
  <si>
    <t>Compare your estimate with the actual number of hours you spent on the task, your effort
- = Spent less time than estimated</t>
  </si>
  <si>
    <t>Only update one time. When task is done. You update with the estimate hours, NOT the hours you actually worked to finish the task.</t>
  </si>
  <si>
    <t>Add Owner when task is set to Ongoing</t>
  </si>
  <si>
    <t>Make new estimate when move from PB to SB</t>
  </si>
  <si>
    <t>Remaining work to be done.</t>
  </si>
  <si>
    <t>Total number of hours you spent on the task.
Your effort</t>
  </si>
  <si>
    <t>Sprint Backlog</t>
  </si>
  <si>
    <t>Update status during sprint</t>
  </si>
  <si>
    <t>Sprint Id</t>
  </si>
  <si>
    <t>Backlog Id</t>
  </si>
  <si>
    <t>Estimate (Hours)</t>
  </si>
  <si>
    <t>Completed</t>
  </si>
  <si>
    <t>Pending</t>
  </si>
  <si>
    <t>Total effort</t>
  </si>
  <si>
    <t>Effort vs. Estimate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</si>
  <si>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</si>
  <si>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</si>
  <si>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</si>
  <si>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</si>
  <si>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</si>
  <si>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</si>
  <si>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</si>
  <si>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</si>
  <si>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</si>
  <si>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</si>
  <si>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</si>
  <si>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</si>
  <si>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</si>
  <si>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</si>
  <si>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</si>
  <si>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1.01</t>
  </si>
  <si>
    <t>Design ERD</t>
  </si>
  <si>
    <t>Phuc, Nguyen</t>
  </si>
  <si>
    <t>Done</t>
  </si>
  <si>
    <t>1.02</t>
  </si>
  <si>
    <t>Write Supabase migration scripts</t>
  </si>
  <si>
    <t>Nguyen</t>
  </si>
  <si>
    <t>1.03</t>
  </si>
  <si>
    <t>Review &amp; test migrations on clean DB</t>
  </si>
  <si>
    <t>1.07</t>
  </si>
  <si>
    <t>Confirm Mac access + configure free Apple ID in Xcode</t>
  </si>
  <si>
    <t>1.08</t>
  </si>
  <si>
    <t>Configure Xcode project + automatic signing</t>
  </si>
  <si>
    <t>1.09</t>
  </si>
  <si>
    <t>Test: build &amp; run app on real device via Xcode (USB/Wi-Fi debugging)</t>
  </si>
  <si>
    <t>Phuc</t>
  </si>
  <si>
    <t>1.10</t>
  </si>
  <si>
    <t>Backend: Supabase Auth integration (register/login API)</t>
  </si>
  <si>
    <t>1.11</t>
  </si>
  <si>
    <t>Mobile: Register/Login UI screens</t>
  </si>
  <si>
    <t>Duc</t>
  </si>
  <si>
    <t>1.12</t>
  </si>
  <si>
    <t>Mobile-Backend integration + error handling</t>
  </si>
  <si>
    <t>1.13</t>
  </si>
  <si>
    <t>Test: unit + widget test</t>
  </si>
  <si>
    <t>1.14</t>
  </si>
  <si>
    <t>Backend: consents table + grant/revoke API per purpose</t>
  </si>
  <si>
    <t>1.15</t>
  </si>
  <si>
    <t>Mobile: consent UI (per-purpose toggles, no 'Accept All')</t>
  </si>
  <si>
    <t>1.16</t>
  </si>
  <si>
    <t>Test: consent flow end-to-end</t>
  </si>
  <si>
    <t>1.17</t>
  </si>
  <si>
    <t>Research/parse Vietnamese Drug Regulatory Data Source structure</t>
  </si>
  <si>
    <t>Draft preliminary DPIA (based on planned sensitive-data flows)</t>
  </si>
  <si>
    <t>Burn down</t>
  </si>
  <si>
    <t>Burn up</t>
  </si>
  <si>
    <t>Worked hours/Day</t>
  </si>
  <si>
    <t>Total hours</t>
  </si>
  <si>
    <t>Dang Ngoc Ngoc Viet</t>
  </si>
  <si>
    <t>Reports &amp; Dashboards</t>
  </si>
  <si>
    <t>Burn down Chart</t>
  </si>
  <si>
    <t>Burn up Chart</t>
  </si>
  <si>
    <t>2.01</t>
  </si>
  <si>
    <t>Backend: Add, edit medication API + validation</t>
  </si>
  <si>
    <t>Nguyên</t>
  </si>
  <si>
    <t>2.02</t>
  </si>
  <si>
    <t>Mobile: Add medication form UI</t>
  </si>
  <si>
    <t>2.03</t>
  </si>
  <si>
    <t>Test: unit + widget test (add medication)</t>
  </si>
  <si>
    <t>Việt</t>
  </si>
  <si>
    <t>2.04</t>
  </si>
  <si>
    <t>Backend: medication schedule CRUD API</t>
  </si>
  <si>
    <t>2.05</t>
  </si>
  <si>
    <t>Mobile: medication detail &amp; edit UI</t>
  </si>
  <si>
    <t>Phúc</t>
  </si>
  <si>
    <t>2.06</t>
  </si>
  <si>
    <t>Test: schedule CRUD</t>
  </si>
  <si>
    <t>2.07</t>
  </si>
  <si>
    <t>Mobile: Reminder Scheduler — lên lịch local notification, dùng dữ liệu lịch từ Local Store (2.23)</t>
  </si>
  <si>
    <t>Đức</t>
  </si>
  <si>
    <t>2.08</t>
  </si>
  <si>
    <t>Mobile: notification edge cases (timezone, multi-dose/day)</t>
  </si>
  <si>
    <t>2.09</t>
  </si>
  <si>
    <t>Test: verify reminder fires within 2s (NFR04)</t>
  </si>
  <si>
    <t>2.10</t>
  </si>
  <si>
    <t>Backend: dose confirmation API + adherence log write</t>
  </si>
  <si>
    <t>Bảo</t>
  </si>
  <si>
    <t>2.11</t>
  </si>
  <si>
    <t>Mobile: Dose Confirmation UI — nút xác nhận + cập nhật trạng thái, đẩy vào Outbox (2.24)</t>
  </si>
  <si>
    <t>2.12</t>
  </si>
  <si>
    <t>Test: confirm dose flow end-to-end</t>
  </si>
  <si>
    <t>2.13</t>
  </si>
  <si>
    <t>Backend: medication catalog CRUD API</t>
  </si>
  <si>
    <t>2.14</t>
  </si>
  <si>
    <t>Admin dashboard: catalog table UI (React/Next.js)</t>
  </si>
  <si>
    <t>2.15</t>
  </si>
  <si>
    <t>Test: catalog CRUD</t>
  </si>
  <si>
    <t>2.16</t>
  </si>
  <si>
    <t>Backend: interaction catalog CRUD API</t>
  </si>
  <si>
    <t>2.17</t>
  </si>
  <si>
    <t>Admin dashboard: interaction catalog UI</t>
  </si>
  <si>
    <t>2.18</t>
  </si>
  <si>
    <t>Test: interaction catalog CRUD</t>
  </si>
  <si>
    <t>2.19</t>
  </si>
  <si>
    <t>Backend: many-to-many linking logic</t>
  </si>
  <si>
    <t>2.20</t>
  </si>
  <si>
    <t>Sync logging + error handling</t>
  </si>
  <si>
    <t>2.21</t>
  </si>
  <si>
    <t>Build Celery scheduled sync job</t>
  </si>
  <si>
    <t>2.22</t>
  </si>
  <si>
    <t>Test sync job end-to-end</t>
  </si>
  <si>
    <t>2.23</t>
  </si>
  <si>
    <t>Mobile: Local Store — lưu lịch uống thuốc &amp; liều cục bộ (mã hoá)</t>
  </si>
  <si>
    <t>2.24</t>
  </si>
  <si>
    <t>Mobile: Outbox — hàng đợi xác nhận liều chờ đồng bộ (client_uuid)</t>
  </si>
  <si>
    <t>2.25</t>
  </si>
  <si>
    <t>Mobile: Sync Engine — đồng bộ Outbox khi có mạng (retry/backoff, ≤30s)</t>
  </si>
  <si>
    <t>t</t>
  </si>
  <si>
    <t>3.01</t>
  </si>
  <si>
    <t>Backend: GET /adherence (group by date/medication)</t>
  </si>
  <si>
    <t>Bao</t>
  </si>
  <si>
    <t>Doing</t>
  </si>
  <si>
    <t>3.02</t>
  </si>
  <si>
    <t>Mobile: adherence calendar/list UI</t>
  </si>
  <si>
    <t>3.03</t>
  </si>
  <si>
    <t>Test: adherence history</t>
  </si>
  <si>
    <t>3.04</t>
  </si>
  <si>
    <t>Backend: GET /medications/search API</t>
  </si>
  <si>
    <t>Viet</t>
  </si>
  <si>
    <t>3.05</t>
  </si>
  <si>
    <t>Mobile: medication lookup search UI</t>
  </si>
  <si>
    <t>3.06</t>
  </si>
  <si>
    <t>Test: medication lookup</t>
  </si>
  <si>
    <t>3.07</t>
  </si>
  <si>
    <t>Backend: health profile CRUD API</t>
  </si>
  <si>
    <t>3.08</t>
  </si>
  <si>
    <t>Mobile: profile form UI</t>
  </si>
  <si>
    <t>3.09</t>
  </si>
  <si>
    <t>Test: profile CRUD</t>
  </si>
  <si>
    <t>3.10</t>
  </si>
  <si>
    <t>Backend: QR/referral code generation API</t>
  </si>
  <si>
    <t>3.11</t>
  </si>
  <si>
    <t>Mobile: generate &amp; display QR/code UI</t>
  </si>
  <si>
    <t>3.12</t>
  </si>
  <si>
    <t>Test: code generation</t>
  </si>
  <si>
    <t>3.13</t>
  </si>
  <si>
    <t>Backend: POST /links/redeem (validate + create link)</t>
  </si>
  <si>
    <t>3.14</t>
  </si>
  <si>
    <t>Mobile: scan QR / enter code UI (Family Member)</t>
  </si>
  <si>
    <t>3.15</t>
  </si>
  <si>
    <t>Test: redeem flow</t>
  </si>
  <si>
    <t>3.16</t>
  </si>
  <si>
    <t>Backend: block linking until consent confirmed</t>
  </si>
  <si>
    <t>3.17</t>
  </si>
  <si>
    <t>Mobile: consent confirmation screen during linking</t>
  </si>
  <si>
    <t>3.18</t>
  </si>
  <si>
    <t>Test: consent-on-link flow</t>
  </si>
  <si>
    <t>3.19</t>
  </si>
  <si>
    <t>Backend: missed-dose detection scheduled job [iOS: không có push do không mua Apple Developer Program]</t>
  </si>
  <si>
    <t>3.20</t>
  </si>
  <si>
    <t>Backend: alert dispatch logic to Family Member [iOS: không có push do không mua Apple Developer Program]</t>
  </si>
  <si>
    <t>3.21</t>
  </si>
  <si>
    <t>Mobile: Family Member alert handling UI [iOS: không có push do không mua Apple Developer Program]</t>
  </si>
  <si>
    <t>3.22</t>
  </si>
  <si>
    <t>Test: alert fires &lt;2s, names patient explicitly [iOS: không có push do không mua Apple Developer Program]</t>
  </si>
  <si>
    <t>3.23</t>
  </si>
  <si>
    <t>Backend: GET /adherence?patient_id= scoped by consent</t>
  </si>
  <si>
    <t>3.24</t>
  </si>
  <si>
    <t>Mobile: Family Member adherence view UI</t>
  </si>
  <si>
    <t>3.25</t>
  </si>
  <si>
    <t>Test: adherence history (Family Member)</t>
  </si>
  <si>
    <t>3.26</t>
  </si>
  <si>
    <t>Backend: DELETE /links/{id} API</t>
  </si>
  <si>
    <t>3.27</t>
  </si>
  <si>
    <t>Mobile: remove-link UI + confirm dialog</t>
  </si>
  <si>
    <t>4.02</t>
  </si>
  <si>
    <t>Mobile: warning screen UI + mandatory disclaimer</t>
  </si>
  <si>
    <t>3.29</t>
  </si>
  <si>
    <t>Mobile: toggle data-sharing UI</t>
  </si>
  <si>
    <t>Removed</t>
  </si>
  <si>
    <t>Above you can update actual worked hours every day for each team member to get a total number of hours in the sprint</t>
  </si>
  <si>
    <t>Tổng của Estimate (Hours)</t>
  </si>
  <si>
    <t>4.01</t>
  </si>
  <si>
    <t>Interaction seed data</t>
  </si>
  <si>
    <t>Interaction-check API with severity levels, hooked into add/edit medication flow</t>
  </si>
  <si>
    <t>4.03</t>
  </si>
  <si>
    <t>Test: validate interaction-detection algorithm against standardized test-case set (true/false positives) + verify disclaimer always shown</t>
  </si>
  <si>
    <t>4.04</t>
  </si>
  <si>
    <t>Drug-food interaction data + seed</t>
  </si>
  <si>
    <t>4.05</t>
  </si>
  <si>
    <t>Lookup API + warning response</t>
  </si>
  <si>
    <t>4.06</t>
  </si>
  <si>
    <t>Mobile: food-warning screen UI (reuse)</t>
  </si>
  <si>
    <t>Tổng Cuối</t>
  </si>
  <si>
    <t>4.07</t>
  </si>
  <si>
    <t>Test: drug-food warning</t>
  </si>
  <si>
    <t>`</t>
  </si>
  <si>
    <t>4.08</t>
  </si>
  <si>
    <t>Collect + label packaging sample set</t>
  </si>
  <si>
    <t>4.09</t>
  </si>
  <si>
    <t>ML Kit prototype, accuracy measurement, go/no-go conclusion</t>
  </si>
  <si>
    <t>4.10</t>
  </si>
  <si>
    <t>Camera screen: permissions, capture, crop, preprocessing</t>
  </si>
  <si>
    <t>4.11</t>
  </si>
  <si>
    <t>ML Kit call + pass results to matching, error handling</t>
  </si>
  <si>
    <t>4.12</t>
  </si>
  <si>
    <t>OCR text normalization + catalog index</t>
  </si>
  <si>
    <t>4.13</t>
  </si>
  <si>
    <t>Fuzzy matching, scoring, confidence threshold, top-N candidates</t>
  </si>
  <si>
    <t>4.14</t>
  </si>
  <si>
    <t>Unit tests with real OCR output</t>
  </si>
  <si>
    <t>4.15</t>
  </si>
  <si>
    <t>Search endpoint + search UI with autocomplete</t>
  </si>
  <si>
    <t>4.16</t>
  </si>
  <si>
    <t>Selection/confirmation screen + no-result state</t>
  </si>
  <si>
    <t>4.17</t>
  </si>
  <si>
    <t>Test: OCR accuracy across multiple packaging samples</t>
  </si>
  <si>
    <t>4.18</t>
  </si>
  <si>
    <t>Create Render Web Service from GitHub repo + auto-deploy on push</t>
  </si>
  <si>
    <t>4.19</t>
  </si>
  <si>
    <t>Set Render env vars/secrets, prod vs dev config, CORS</t>
  </si>
  <si>
    <t>4.20</t>
  </si>
  <si>
    <t>Render worker + CloudAMQP: sync, missed-dose jobs (in-worker scheduling)</t>
  </si>
  <si>
    <t>4.21</t>
  </si>
  <si>
    <t>Check cold-start impact on &lt;2s alert; choose Render plan</t>
  </si>
  <si>
    <t>4.22</t>
  </si>
  <si>
    <t>Point mobile + admin to Render URL; smoke test Android/iOS</t>
  </si>
  <si>
    <t>4.23</t>
  </si>
  <si>
    <t>Cross-device test checklist: onboarding/reminder/confirm (Android)</t>
  </si>
  <si>
    <t>4.24</t>
  </si>
  <si>
    <t>Cross-device test checklist: same flows (iOS)</t>
  </si>
  <si>
    <t>4.25</t>
  </si>
  <si>
    <t>Log &amp; triage defects found</t>
  </si>
  <si>
    <t>4.26</t>
  </si>
  <si>
    <t>Backend: LLM API integration (meal-suggestion prompt + parsing)</t>
  </si>
  <si>
    <t>5.01</t>
  </si>
  <si>
    <t>Mobile: confirmation step showing matched catalog entry</t>
  </si>
  <si>
    <t>5.02</t>
  </si>
  <si>
    <t>Test: confirmation step cannot be skipped</t>
  </si>
  <si>
    <t>5.03</t>
  </si>
  <si>
    <t>Backend: deletion-request record creation API</t>
  </si>
  <si>
    <t>5.04</t>
  </si>
  <si>
    <t>Mobile: settings action for withdraw consent / delete data</t>
  </si>
  <si>
    <t>5.05</t>
  </si>
  <si>
    <t>Test: confirmation shown immediately to patient</t>
  </si>
  <si>
    <t>5.06</t>
  </si>
  <si>
    <t>Backend: Admin queue API for pending requests</t>
  </si>
  <si>
    <t>5.07</t>
  </si>
  <si>
    <t>Admin dashboard: request queue UI</t>
  </si>
  <si>
    <t>5.08</t>
  </si>
  <si>
    <t>Backend: trigger actual data-deletion job on 'processed'</t>
  </si>
  <si>
    <t>5.09</t>
  </si>
  <si>
    <t>5.10</t>
  </si>
  <si>
    <t>Backend: mandatory disclaimer injection logic</t>
  </si>
  <si>
    <t>5.11</t>
  </si>
  <si>
    <t>Mobile: meal suggestion UI</t>
  </si>
  <si>
    <t>5.12</t>
  </si>
  <si>
    <t>Test: disclaimer always shown, latency acceptable</t>
  </si>
  <si>
    <t>5.13</t>
  </si>
  <si>
    <t>Backend: list linked patients API</t>
  </si>
  <si>
    <t>5.14</t>
  </si>
  <si>
    <t>Mobile: patient-switcher UI component</t>
  </si>
  <si>
    <t>5.15</t>
  </si>
  <si>
    <t>Mobile: scope data correctly per selected patient</t>
  </si>
  <si>
    <t>5.16</t>
  </si>
  <si>
    <t>Test: verify no cross-patient data leak</t>
  </si>
  <si>
    <t>5.17</t>
  </si>
  <si>
    <t>Backend: scope lookup API by consent+patient_id</t>
  </si>
  <si>
    <t>5.18</t>
  </si>
  <si>
    <t>Mobile: Family Member lookup UI</t>
  </si>
  <si>
    <t>5.19</t>
  </si>
  <si>
    <t>Test: FM lookup scoping</t>
  </si>
  <si>
    <t>5.20</t>
  </si>
  <si>
    <t>Backend: scope drug-drug interaction-check by consent</t>
  </si>
  <si>
    <t>5.21</t>
  </si>
  <si>
    <t>Mobile: FM interaction warning UI (reuse)</t>
  </si>
  <si>
    <t>5.22</t>
  </si>
  <si>
    <t>Test: FM interaction warning</t>
  </si>
  <si>
    <t>5.23</t>
  </si>
  <si>
    <t>Backend: scope drug-food interaction by consent</t>
  </si>
  <si>
    <t>5.24</t>
  </si>
  <si>
    <t>Mobile: FM food-warning UI (reuse)</t>
  </si>
  <si>
    <t>5.25</t>
  </si>
  <si>
    <t>Test: FM food-warning</t>
  </si>
  <si>
    <t>6.01</t>
  </si>
  <si>
    <t>Update DPIA with final implemented data flows (AI API + OCR + cross-border assessment), based on S1 preliminary draft</t>
  </si>
  <si>
    <t>6.02</t>
  </si>
  <si>
    <t>Review DPIA with mentor</t>
  </si>
  <si>
    <t>6.03</t>
  </si>
  <si>
    <t>Finalize and sign off DPIA</t>
  </si>
  <si>
    <t>6.04</t>
  </si>
  <si>
    <t>Mobile: Simple Mode toggle (persists across sessions)</t>
  </si>
  <si>
    <t>6.05</t>
  </si>
  <si>
    <t>Mobile: simplified screen (next dose + single confirm button)</t>
  </si>
  <si>
    <t>6.06</t>
  </si>
  <si>
    <t>Mobile: high-contrast theme + font scaling</t>
  </si>
  <si>
    <t>6.07</t>
  </si>
  <si>
    <t>Test: Simple Mode UX flow</t>
  </si>
  <si>
    <t>6.08</t>
  </si>
  <si>
    <t>Backend: log entry on every FM/Admin sensitive-data view</t>
  </si>
  <si>
    <t>6.09</t>
  </si>
  <si>
    <t>Admin dashboard: access log viewer UI (filterable)</t>
  </si>
  <si>
    <t>6.10</t>
  </si>
  <si>
    <t>Test: log entries created correctly</t>
  </si>
  <si>
    <t>6.11</t>
  </si>
  <si>
    <t>Backend: scope meal-suggestion by consent+patient_id</t>
  </si>
  <si>
    <t>6.12</t>
  </si>
  <si>
    <t>Mobile: Family Member meal suggestion UI (reuse)</t>
  </si>
  <si>
    <t>6.13</t>
  </si>
  <si>
    <t>Test: FM meal suggestion scoping</t>
  </si>
  <si>
    <t>6.14</t>
  </si>
  <si>
    <t>Compliance checklist review (all sensitive-data flows)</t>
  </si>
  <si>
    <t>6.15</t>
  </si>
  <si>
    <t>Log and resolve any compliance gap found</t>
  </si>
  <si>
    <t>6.16</t>
  </si>
  <si>
    <t>Retest all Sprint 1-6 features end-to-end</t>
  </si>
  <si>
    <t>6.17</t>
  </si>
  <si>
    <t>Fix Critical/High severity bugs</t>
  </si>
  <si>
    <t>6.18</t>
  </si>
  <si>
    <t>Fix Medium/Low severity bugs (time permitting)</t>
  </si>
  <si>
    <t>6.19</t>
  </si>
  <si>
    <t>Final regression test before Integration phase</t>
  </si>
  <si>
    <t>6.20</t>
  </si>
  <si>
    <t>Final Render redeploy: prod env (LLM key) + deployment runbook</t>
  </si>
  <si>
    <t>Team member 1</t>
  </si>
  <si>
    <t>Team member 2</t>
  </si>
  <si>
    <t>Team member 3</t>
  </si>
  <si>
    <t>Team member 4</t>
  </si>
  <si>
    <t>Team member 5</t>
  </si>
  <si>
    <t>Impediments</t>
  </si>
  <si>
    <t>In charge of removing the impediment</t>
  </si>
  <si>
    <t>Not started
Ongoing
Done</t>
  </si>
  <si>
    <t>Date</t>
  </si>
  <si>
    <t>Raised By</t>
  </si>
  <si>
    <t>Raised On</t>
  </si>
  <si>
    <t>Sprint #</t>
  </si>
  <si>
    <t>Impacted Backlog #</t>
  </si>
  <si>
    <t>Resolution</t>
  </si>
  <si>
    <t>Resolved On</t>
  </si>
  <si>
    <t>In the retrospecitve meeting after each sprint you will identify/find  many things to improve. That does not mean that you will do all the changes in the next sprint. Usually you do changes step by step. E.g. 1-3 changes in one sprint. Not more than that. So sometimes you find an improvement in one sprint and then in a much later sprint you will actually do the change.</t>
  </si>
  <si>
    <t>Retrospective Log</t>
  </si>
  <si>
    <t>Found in Sprint #</t>
  </si>
  <si>
    <t>Impl. In Sprint #</t>
  </si>
  <si>
    <t>Responsible for doing the improvement</t>
  </si>
  <si>
    <t>Start Doing (Improvement)</t>
  </si>
  <si>
    <t>Continue Doing (What Went Well)</t>
  </si>
  <si>
    <t>Stop Doing (Even better if)</t>
  </si>
  <si>
    <t>References</t>
  </si>
  <si>
    <t>External</t>
  </si>
  <si>
    <t>Internal</t>
  </si>
  <si>
    <t>Link</t>
  </si>
  <si>
    <t>Glossary &amp; Terminology</t>
  </si>
  <si>
    <t>https://www.scrumalliance.org/community/articles/2007/march/glossary-of-scrum-terms</t>
  </si>
  <si>
    <t>Replan Log - backend deployment moved to Render, sprint load rebalanced</t>
  </si>
  <si>
    <t>Every task of the 6 sprints: where it was, where it is now, and why. Hours are the Sprint Backlog estimates.</t>
  </si>
  <si>
    <t>Load per sprint (hours)</t>
  </si>
  <si>
    <t>Assumptions</t>
  </si>
  <si>
    <t>Before</t>
  </si>
  <si>
    <t>After</t>
  </si>
  <si>
    <t>Change</t>
  </si>
  <si>
    <t>Sprint sheet total</t>
  </si>
  <si>
    <t>Check</t>
  </si>
  <si>
    <t>Estimates re-scaled by ~0.66 and rounded to whole hours so each sprint is ~125h (Sprint 1 lower). Before = original file, After = now.</t>
  </si>
  <si>
    <t>Sprint 1 is already running (14-27 Sep), so it only loses the 3 deployment tasks and gets no new work.</t>
  </si>
  <si>
    <t>New Render tasks are proposals - adjust as needed. Sprint 1 task IDs are unchanged; Sprints 2-6 are renumbered (see Old ID).</t>
  </si>
  <si>
    <t>Priority is Product Backlog column I. P1 comes before P2, except prerequisites (PB15/PB19 are P2 but block P1 PB16/PB20/PB21).</t>
  </si>
  <si>
    <t>Task changes</t>
  </si>
  <si>
    <t>New Sprint</t>
  </si>
  <si>
    <t>New ID</t>
  </si>
  <si>
    <t>New Est (h)</t>
  </si>
  <si>
    <t>Old Est (h)</t>
  </si>
  <si>
    <t>Old Sprint</t>
  </si>
  <si>
    <t>Old ID</t>
  </si>
  <si>
    <t>Note</t>
  </si>
  <si>
    <t>Kept</t>
  </si>
  <si>
    <t>Design ERD (patient, medication, consent, family_link, catalog tables,…)</t>
  </si>
  <si>
    <t>Viet, Bao, Duc</t>
  </si>
  <si>
    <t>Duc, Phuc</t>
  </si>
  <si>
    <t>Nguyen, Bao</t>
  </si>
  <si>
    <t>Bao, Duc</t>
  </si>
  <si>
    <t>Viet, Phuc</t>
  </si>
  <si>
    <t>All team member</t>
  </si>
  <si>
    <t>1.18</t>
  </si>
  <si>
    <t>Build RQ scheduled sync job</t>
  </si>
  <si>
    <t>1.19</t>
  </si>
  <si>
    <t>Nguyen, Viet</t>
  </si>
  <si>
    <t>Backend: Add medication API + validation</t>
  </si>
  <si>
    <t>Nguyen, Phuc</t>
  </si>
  <si>
    <t>Mobile: schedule edit UI</t>
  </si>
  <si>
    <t>Duc, Viet</t>
  </si>
  <si>
    <t>Mobile: local notification scheduling (flutter_local_notifications)</t>
  </si>
  <si>
    <t>Bao, Phuc</t>
  </si>
  <si>
    <t>Test: verify reminder fires within 2s (NFR05)</t>
  </si>
  <si>
    <t>Mobile: confirm button UI + state update</t>
  </si>
  <si>
    <t>Duc, Nguyen</t>
  </si>
  <si>
    <t>Phuc, Nguyen, Viet</t>
  </si>
  <si>
    <t>Phuc, Duc</t>
  </si>
  <si>
    <t>Backend: design &amp; build patient_family_links table</t>
  </si>
  <si>
    <t>Backend: unit test many-to-many linking logic</t>
  </si>
  <si>
    <t>Phuc, Viet</t>
  </si>
  <si>
    <t>Moved</t>
  </si>
  <si>
    <t>P1 pulled earlier; catalog and sync are ready after S2</t>
  </si>
  <si>
    <t>Deferred from S2 to balance S2 load; not needed by other S2 work</t>
  </si>
  <si>
    <t>P2, but prerequisite of PB16/PB20/PB21 (P1), so it stays first in S3</t>
  </si>
  <si>
    <t>Test: code generation + 24h expiry</t>
  </si>
  <si>
    <t>Bao, Nguyen</t>
  </si>
  <si>
    <t>Backend: missed-dose detection scheduled job</t>
  </si>
  <si>
    <t>Backend: alert dispatch logic to Family Member</t>
  </si>
  <si>
    <t>Mobile: Family Member alert handling UI</t>
  </si>
  <si>
    <t>Test: alert fires &lt;2s, names patient explicitly</t>
  </si>
  <si>
    <t>3.28</t>
  </si>
  <si>
    <t>Backend: PATCH /links/{id}/consent (shared=false)</t>
  </si>
  <si>
    <t>Backend: drug-drug interaction-check logic</t>
  </si>
  <si>
    <t>Backend: drug-food interaction lookup logic</t>
  </si>
  <si>
    <t>Research/evaluate ML Kit text recognition on VN packaging samples</t>
  </si>
  <si>
    <t>P1 and highest risk (R-01) pulled earlier, leaves room for P1 in S5</t>
  </si>
  <si>
    <t>Integrate on-device OCR into mobile app</t>
  </si>
  <si>
    <t>Build matching algorithm (OCR text to catalog entry)</t>
  </si>
  <si>
    <t>Build manual-search fallback UI when no match found</t>
  </si>
  <si>
    <t>Log unmatched items for Admin catalog review</t>
  </si>
  <si>
    <t>—</t>
  </si>
  <si>
    <t>Added</t>
  </si>
  <si>
    <t>New: Render deployment (S4 deploy + smoke test; S6 final redeploy + runbook)</t>
  </si>
  <si>
    <t>Run RQ jobs on Render (Key Value + worker/cron): sync, missed-dose</t>
  </si>
  <si>
    <t>Bao, Viet</t>
  </si>
  <si>
    <t>Nguyen, Duc</t>
  </si>
  <si>
    <t>Phuc, Bao</t>
  </si>
  <si>
    <t>Follows PB31 (S4); confirmation step stays mandatory</t>
  </si>
  <si>
    <t>P1 pulled earlier; needs PB25 (S4) and the Render env; S6 DPIA update needs the final AI/OCR flows</t>
  </si>
  <si>
    <t>P2 pushed later so S3 is P1 first</t>
  </si>
  <si>
    <t>P2 pushed after the P1 items of S4</t>
  </si>
  <si>
    <t>P2 pushed to the last sprint, can be dropped if S6 slips</t>
  </si>
  <si>
    <t>Needs PB37 (S5)</t>
  </si>
  <si>
    <t>Wording changed: Sprint 1-5 -&gt; 1-6 (S6 now also holds PB33/PB36)</t>
  </si>
  <si>
    <t>Bao, Duc, Viet</t>
  </si>
  <si>
    <t>Duc, Bao</t>
  </si>
  <si>
    <t>1.04</t>
  </si>
  <si>
    <t>Setup GitHub Actions (lint + test on PR)</t>
  </si>
  <si>
    <t>Dropped: GitHub Actions / Oracle Cloud VM / Caddy no longer used (backend moves to Render)</t>
  </si>
  <si>
    <t>1.05</t>
  </si>
  <si>
    <t>Setup auto-deploy to Oracle Cloud VM</t>
  </si>
  <si>
    <t>1.06</t>
  </si>
  <si>
    <t>Configure Caddy for automatic HTTPS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</si>
</sst>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9]dd/mmm/yy;@"/>
  </numFmts>
  <fonts count="27">
    <font>
      <sz val="10"/>
      <color theme="1"/>
      <name val="Calibri"/>
      <charset val="1"/>
    </font>
    <font>
      <sz val="10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b/>
      <sz val="14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b/>
      <sz val="10"/>
      <color theme="1"/>
      <name val="Times New Roman"/>
      <family val="1"/>
      <charset val="1"/>
    </font>
    <font>
      <i/>
      <sz val="10"/>
      <color theme="1"/>
      <name val="Times New Roman"/>
      <family val="1"/>
      <charset val="1"/>
    </font>
    <font>
      <b/>
      <sz val="16"/>
      <color theme="1"/>
      <name val="Times New Roman"/>
      <family val="1"/>
      <charset val="1"/>
    </font>
    <font>
      <sz val="9"/>
      <color theme="1"/>
      <name val="Calibri"/>
      <family val="2"/>
      <charset val="1"/>
    </font>
    <font>
      <sz val="9"/>
      <color theme="1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10"/>
      <name val="Arial"/>
      <family val="2"/>
    </font>
    <font>
      <sz val="8"/>
      <color theme="1"/>
      <name val="Times New Roman"/>
      <family val="1"/>
      <charset val="1"/>
    </font>
    <font>
      <b/>
      <sz val="16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0"/>
      <color theme="10"/>
      <name val="Calibri"/>
      <family val="2"/>
      <charset val="1"/>
    </font>
    <font>
      <b/>
      <sz val="12"/>
      <name val="Times New Roman"/>
      <charset val="1"/>
    </font>
    <font>
      <i/>
      <sz val="10"/>
      <name val="Times New Roman"/>
      <charset val="1"/>
    </font>
    <font>
      <b/>
      <sz val="10"/>
      <name val="Times New Roman"/>
      <charset val="1"/>
    </font>
    <font>
      <sz val="10"/>
      <name val="Times New Roman"/>
      <charset val="1"/>
    </font>
    <font>
      <sz val="10"/>
      <color rgb="FF000000"/>
      <name val="Times New Roman"/>
      <charset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4" tint="0.79979857783745845"/>
        <bgColor rgb="FFD6DCE4"/>
      </patternFill>
    </fill>
    <fill>
      <patternFill patternType="solid">
        <fgColor theme="9" tint="0.59968871120334488"/>
        <bgColor rgb="FFC5E0B3"/>
      </patternFill>
    </fill>
    <fill>
      <patternFill patternType="solid">
        <fgColor theme="7" tint="0.59968871120334488"/>
        <bgColor rgb="FFFFF2CC"/>
      </patternFill>
    </fill>
    <fill>
      <patternFill patternType="solid">
        <fgColor rgb="FF9CC2E5"/>
        <bgColor rgb="FF8EAADB"/>
      </patternFill>
    </fill>
    <fill>
      <patternFill patternType="solid">
        <fgColor rgb="FFC8C8C8"/>
        <bgColor rgb="FFBFBFBF"/>
      </patternFill>
    </fill>
    <fill>
      <patternFill patternType="solid">
        <fgColor rgb="FFC5E0B3"/>
        <bgColor rgb="FFC5E0B4"/>
      </patternFill>
    </fill>
    <fill>
      <patternFill patternType="solid">
        <fgColor rgb="FFD6DCE4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theme="0"/>
        <bgColor rgb="FFF2F2F2"/>
      </patternFill>
    </fill>
    <fill>
      <patternFill patternType="solid">
        <fgColor rgb="FFBFBFBF"/>
        <bgColor rgb="FFB7B7B7"/>
      </patternFill>
    </fill>
    <fill>
      <patternFill patternType="solid">
        <fgColor rgb="FFFFF2CC"/>
        <bgColor rgb="FFF2F2F2"/>
      </patternFill>
    </fill>
    <fill>
      <patternFill patternType="solid">
        <fgColor rgb="FFF8CBAD"/>
        <bgColor rgb="FFFFE699"/>
      </patternFill>
    </fill>
  </fills>
  <borders count="1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3499862666707357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rgb="FFBFBFBF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</borders>
  <cellStyleXfs count="2">
    <xf numFmtId="0" fontId="0" fillId="0" borderId="0"/>
    <xf numFmtId="0" fontId="1" fillId="0" borderId="0"/>
  </cellStyleXfs>
  <cellXfs count="15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right"/>
    </xf>
    <xf numFmtId="0" fontId="4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right"/>
    </xf>
    <xf numFmtId="0" fontId="2" fillId="0" borderId="4" xfId="0" applyFont="1" applyBorder="1" applyAlignment="1">
      <alignment horizontal="center"/>
    </xf>
    <xf numFmtId="0" fontId="4" fillId="0" borderId="0" xfId="0" applyFont="1"/>
    <xf numFmtId="0" fontId="6" fillId="0" borderId="0" xfId="0" applyFont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top"/>
    </xf>
    <xf numFmtId="49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0" xfId="0" applyAlignment="1" applyProtection="1">
      <alignment wrapText="1"/>
      <protection locked="0"/>
    </xf>
    <xf numFmtId="0" fontId="1" fillId="0" borderId="0" xfId="0" applyFont="1" applyAlignment="1">
      <alignment vertical="top"/>
    </xf>
    <xf numFmtId="0" fontId="1" fillId="0" borderId="0" xfId="0" applyFont="1" applyAlignment="1" applyProtection="1">
      <alignment vertical="top" wrapText="1"/>
      <protection locked="0"/>
    </xf>
    <xf numFmtId="0" fontId="2" fillId="0" borderId="0" xfId="0" applyFont="1" applyAlignment="1" applyProtection="1">
      <alignment vertical="top" wrapText="1"/>
      <protection locked="0"/>
    </xf>
    <xf numFmtId="0" fontId="7" fillId="0" borderId="0" xfId="0" applyFont="1"/>
    <xf numFmtId="0" fontId="1" fillId="0" borderId="0" xfId="0" applyFont="1"/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0" fontId="9" fillId="0" borderId="6" xfId="0" applyFont="1" applyBorder="1" applyAlignment="1">
      <alignment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6" xfId="0" applyFont="1" applyBorder="1" applyAlignment="1" applyProtection="1">
      <alignment horizontal="left" vertical="center" wrapText="1"/>
      <protection locked="0"/>
    </xf>
    <xf numFmtId="0" fontId="8" fillId="0" borderId="0" xfId="0" applyFont="1"/>
    <xf numFmtId="0" fontId="9" fillId="0" borderId="6" xfId="0" applyFont="1" applyBorder="1" applyAlignment="1">
      <alignment vertical="center"/>
    </xf>
    <xf numFmtId="0" fontId="9" fillId="0" borderId="6" xfId="0" applyFont="1" applyBorder="1" applyAlignment="1">
      <alignment horizontal="center" vertical="center"/>
    </xf>
    <xf numFmtId="0" fontId="9" fillId="0" borderId="6" xfId="0" applyFont="1" applyBorder="1" applyAlignment="1" applyProtection="1">
      <alignment vertical="center" wrapText="1"/>
      <protection locked="0"/>
    </xf>
    <xf numFmtId="0" fontId="10" fillId="0" borderId="6" xfId="0" applyFont="1" applyBorder="1" applyAlignment="1">
      <alignment vertical="center"/>
    </xf>
    <xf numFmtId="0" fontId="9" fillId="0" borderId="6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textRotation="90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wrapText="1"/>
    </xf>
    <xf numFmtId="0" fontId="2" fillId="0" borderId="9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0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wrapText="1"/>
    </xf>
    <xf numFmtId="0" fontId="2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/>
    </xf>
    <xf numFmtId="0" fontId="2" fillId="8" borderId="0" xfId="0" applyFont="1" applyFill="1"/>
    <xf numFmtId="0" fontId="2" fillId="8" borderId="1" xfId="0" applyFont="1" applyFill="1" applyBorder="1"/>
    <xf numFmtId="0" fontId="2" fillId="9" borderId="0" xfId="0" applyFont="1" applyFill="1"/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0" xfId="0" applyFont="1"/>
    <xf numFmtId="0" fontId="2" fillId="8" borderId="8" xfId="0" applyFont="1" applyFill="1" applyBorder="1" applyAlignment="1">
      <alignment horizontal="center" wrapText="1"/>
    </xf>
    <xf numFmtId="0" fontId="2" fillId="8" borderId="9" xfId="0" applyFont="1" applyFill="1" applyBorder="1" applyAlignment="1">
      <alignment horizontal="center" wrapText="1"/>
    </xf>
    <xf numFmtId="0" fontId="5" fillId="0" borderId="12" xfId="0" applyFont="1" applyBorder="1" applyAlignment="1">
      <alignment horizontal="center"/>
    </xf>
    <xf numFmtId="0" fontId="2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/>
    </xf>
    <xf numFmtId="0" fontId="5" fillId="9" borderId="1" xfId="0" applyFont="1" applyFill="1" applyBorder="1" applyAlignment="1">
      <alignment horizontal="right"/>
    </xf>
    <xf numFmtId="0" fontId="2" fillId="0" borderId="6" xfId="0" applyFont="1" applyBorder="1"/>
    <xf numFmtId="0" fontId="5" fillId="0" borderId="0" xfId="0" applyFont="1"/>
    <xf numFmtId="0" fontId="2" fillId="10" borderId="0" xfId="0" applyFont="1" applyFill="1"/>
    <xf numFmtId="0" fontId="2" fillId="10" borderId="0" xfId="0" applyFont="1" applyFill="1" applyAlignment="1">
      <alignment horizontal="center"/>
    </xf>
    <xf numFmtId="0" fontId="15" fillId="0" borderId="0" xfId="0" applyFont="1"/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0" fontId="17" fillId="0" borderId="0" xfId="0" applyFont="1"/>
    <xf numFmtId="0" fontId="18" fillId="0" borderId="0" xfId="0" applyFont="1"/>
    <xf numFmtId="0" fontId="1" fillId="11" borderId="1" xfId="0" applyFont="1" applyFill="1" applyBorder="1"/>
    <xf numFmtId="0" fontId="1" fillId="0" borderId="1" xfId="0" applyFont="1" applyBorder="1" applyAlignment="1">
      <alignment vertical="top" wrapText="1"/>
    </xf>
    <xf numFmtId="0" fontId="19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2" fillId="5" borderId="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/>
    </xf>
    <xf numFmtId="0" fontId="22" fillId="8" borderId="6" xfId="0" applyFont="1" applyFill="1" applyBorder="1" applyAlignment="1">
      <alignment horizontal="center"/>
    </xf>
    <xf numFmtId="0" fontId="23" fillId="0" borderId="6" xfId="0" applyFont="1" applyBorder="1" applyAlignment="1">
      <alignment horizontal="center" vertical="center"/>
    </xf>
    <xf numFmtId="0" fontId="23" fillId="0" borderId="6" xfId="0" applyFont="1" applyBorder="1" applyAlignment="1">
      <alignment horizontal="left" vertical="center"/>
    </xf>
    <xf numFmtId="0" fontId="23" fillId="0" borderId="6" xfId="0" applyFont="1" applyBorder="1" applyAlignment="1">
      <alignment horizontal="left" vertical="center" wrapText="1"/>
    </xf>
    <xf numFmtId="0" fontId="23" fillId="12" borderId="6" xfId="0" applyFont="1" applyFill="1" applyBorder="1" applyAlignment="1">
      <alignment horizontal="center" vertical="center"/>
    </xf>
    <xf numFmtId="0" fontId="23" fillId="12" borderId="6" xfId="0" applyFont="1" applyFill="1" applyBorder="1" applyAlignment="1">
      <alignment horizontal="left" vertical="center"/>
    </xf>
    <xf numFmtId="0" fontId="23" fillId="12" borderId="6" xfId="0" applyFont="1" applyFill="1" applyBorder="1" applyAlignment="1">
      <alignment horizontal="left" vertical="center" wrapText="1"/>
    </xf>
    <xf numFmtId="0" fontId="23" fillId="13" borderId="6" xfId="0" applyFont="1" applyFill="1" applyBorder="1" applyAlignment="1">
      <alignment horizontal="center" vertical="center"/>
    </xf>
    <xf numFmtId="0" fontId="23" fillId="13" borderId="6" xfId="0" applyFont="1" applyFill="1" applyBorder="1" applyAlignment="1">
      <alignment horizontal="left" vertical="center"/>
    </xf>
    <xf numFmtId="0" fontId="23" fillId="13" borderId="6" xfId="0" applyFont="1" applyFill="1" applyBorder="1" applyAlignment="1">
      <alignment horizontal="left" vertical="center" wrapText="1"/>
    </xf>
    <xf numFmtId="0" fontId="9" fillId="0" borderId="6" xfId="0" quotePrefix="1" applyFont="1" applyBorder="1" applyAlignment="1">
      <alignment horizontal="left" vertical="center" wrapText="1"/>
    </xf>
    <xf numFmtId="0" fontId="2" fillId="0" borderId="2" xfId="0" applyFont="1" applyBorder="1"/>
    <xf numFmtId="0" fontId="2" fillId="0" borderId="0" xfId="0" applyFont="1"/>
    <xf numFmtId="0" fontId="2" fillId="0" borderId="8" xfId="0" applyFont="1" applyBorder="1" applyAlignment="1">
      <alignment horizontal="left" wrapText="1"/>
    </xf>
    <xf numFmtId="0" fontId="2" fillId="0" borderId="9" xfId="0" applyFont="1" applyBorder="1" applyAlignment="1">
      <alignment horizontal="left" wrapText="1"/>
    </xf>
    <xf numFmtId="0" fontId="2" fillId="0" borderId="7" xfId="0" quotePrefix="1" applyFont="1" applyBorder="1" applyAlignment="1">
      <alignment horizontal="center" vertical="center" wrapText="1"/>
    </xf>
    <xf numFmtId="0" fontId="25" fillId="0" borderId="0" xfId="0" applyFont="1"/>
    <xf numFmtId="0" fontId="2" fillId="0" borderId="13" xfId="0" applyFont="1" applyBorder="1" applyAlignment="1">
      <alignment horizontal="left" wrapText="1"/>
    </xf>
    <xf numFmtId="0" fontId="24" fillId="0" borderId="0" xfId="0" applyFont="1" applyBorder="1"/>
    <xf numFmtId="0" fontId="2" fillId="0" borderId="14" xfId="0" applyFont="1" applyBorder="1" applyAlignment="1">
      <alignment horizontal="center"/>
    </xf>
    <xf numFmtId="0" fontId="5" fillId="5" borderId="15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vertical="center" textRotation="90" wrapText="1"/>
    </xf>
    <xf numFmtId="0" fontId="5" fillId="7" borderId="16" xfId="0" applyFont="1" applyFill="1" applyBorder="1" applyAlignment="1">
      <alignment horizontal="center" vertical="center" textRotation="90" wrapText="1"/>
    </xf>
    <xf numFmtId="0" fontId="25" fillId="0" borderId="8" xfId="0" applyFont="1" applyBorder="1" applyAlignment="1">
      <alignment horizontal="center" wrapText="1"/>
    </xf>
    <xf numFmtId="0" fontId="25" fillId="8" borderId="9" xfId="0" applyFont="1" applyFill="1" applyBorder="1" applyAlignment="1">
      <alignment horizontal="center" wrapText="1"/>
    </xf>
    <xf numFmtId="0" fontId="25" fillId="8" borderId="8" xfId="0" applyFont="1" applyFill="1" applyBorder="1" applyAlignment="1">
      <alignment horizont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wrapText="1"/>
    </xf>
    <xf numFmtId="0" fontId="25" fillId="0" borderId="9" xfId="0" applyFont="1" applyBorder="1" applyAlignment="1">
      <alignment wrapText="1"/>
    </xf>
    <xf numFmtId="0" fontId="25" fillId="0" borderId="8" xfId="0" applyFont="1" applyBorder="1" applyAlignment="1">
      <alignment wrapText="1"/>
    </xf>
    <xf numFmtId="0" fontId="26" fillId="0" borderId="0" xfId="0" applyFont="1"/>
    <xf numFmtId="0" fontId="2" fillId="0" borderId="6" xfId="0" applyFont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0" borderId="11" xfId="0" applyFont="1" applyBorder="1" applyAlignment="1">
      <alignment horizontal="left"/>
    </xf>
    <xf numFmtId="0" fontId="2" fillId="0" borderId="6" xfId="0" applyFont="1" applyBorder="1" applyAlignment="1">
      <alignment horizontal="center"/>
    </xf>
    <xf numFmtId="0" fontId="12" fillId="0" borderId="2" xfId="0" applyFont="1" applyBorder="1" applyAlignment="1">
      <alignment wrapText="1"/>
    </xf>
    <xf numFmtId="0" fontId="9" fillId="0" borderId="2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9" fillId="0" borderId="2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7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wrapText="1"/>
    </xf>
    <xf numFmtId="0" fontId="5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/>
    <xf numFmtId="0" fontId="2" fillId="9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/>
    <xf numFmtId="0" fontId="2" fillId="10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wrapText="1"/>
    </xf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wrapText="1"/>
    </xf>
    <xf numFmtId="0" fontId="23" fillId="0" borderId="0" xfId="0" applyFont="1" applyAlignment="1">
      <alignment vertical="top" wrapText="1"/>
    </xf>
    <xf numFmtId="0" fontId="0" fillId="0" borderId="0" xfId="0" pivotButton="1"/>
    <xf numFmtId="0" fontId="0" fillId="0" borderId="0" xfId="0" applyNumberFormat="1"/>
  </cellXfs>
  <cellStyles count="2">
    <cellStyle name="Bình thường" xfId="0" builtinId="0"/>
    <cellStyle name="Normal 2" xfId="1" xr:uid="{00000000-0005-0000-0000-000006000000}"/>
  </cellStyles>
  <dxfs count="5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 style="medium">
          <color rgb="FFBFBFBF"/>
        </top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BFBFBF"/>
        </right>
        <top style="medium">
          <color rgb="FFBFBFBF"/>
        </top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  <vertical/>
        <horizontal/>
      </border>
    </dxf>
    <dxf>
      <border outline="0">
        <bottom style="thin">
          <color theme="0" tint="-0.249977111117893"/>
        </bottom>
      </border>
    </dxf>
    <dxf>
      <border outline="0">
        <right style="thin">
          <color theme="0" tint="-0.249977111117893"/>
        </right>
        <top style="thin">
          <color theme="0" tint="-0.249977111117893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fill>
        <patternFill patternType="solid">
          <fgColor rgb="FFC5E0B4"/>
          <bgColor rgb="FFC5E0B3"/>
        </patternFill>
      </fill>
      <alignment horizontal="center" vertical="center" textRotation="90" wrapText="1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left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  <vertical/>
        <horizontal/>
      </border>
    </dxf>
    <dxf>
      <border outline="0">
        <bottom style="thin">
          <color theme="0" tint="-0.249977111117893"/>
        </bottom>
      </border>
    </dxf>
    <dxf>
      <border outline="0">
        <right style="thin">
          <color theme="0" tint="-0.249977111117893"/>
        </right>
        <top style="thin">
          <color theme="0" tint="-0.249977111117893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fill>
        <patternFill patternType="solid">
          <fgColor rgb="FFC5E0B4"/>
          <bgColor rgb="FFC5E0B3"/>
        </patternFill>
      </fill>
      <alignment horizontal="center" vertical="center" textRotation="90" wrapText="1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8EAADB"/>
      <rgbColor rgb="FF993366"/>
      <rgbColor rgb="FFFFF2CC"/>
      <rgbColor rgb="FFDAE3F3"/>
      <rgbColor rgb="FF660066"/>
      <rgbColor rgb="FFD9D9D9"/>
      <rgbColor rgb="FF0563C1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5E0B4"/>
      <rgbColor rgb="FFFFE699"/>
      <rgbColor rgb="FF9CC2E5"/>
      <rgbColor rgb="FFC8C8C8"/>
      <rgbColor rgb="FFB7B7B7"/>
      <rgbColor rgb="FFF8CBAD"/>
      <rgbColor rgb="FF4472C4"/>
      <rgbColor rgb="FF33CCCC"/>
      <rgbColor rgb="FFC5E0B3"/>
      <rgbColor rgb="FFFFD965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92194403534594E-2"/>
          <c:y val="0.129567385883118"/>
          <c:w val="0.90737152158747403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1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1 Backlog'!$L$24:$Z$24</c:f>
              <c:numCache>
                <c:formatCode>General</c:formatCode>
                <c:ptCount val="15"/>
                <c:pt idx="0">
                  <c:v>205</c:v>
                </c:pt>
                <c:pt idx="1">
                  <c:v>202</c:v>
                </c:pt>
                <c:pt idx="2">
                  <c:v>197</c:v>
                </c:pt>
                <c:pt idx="3">
                  <c:v>197</c:v>
                </c:pt>
                <c:pt idx="4">
                  <c:v>197</c:v>
                </c:pt>
                <c:pt idx="5">
                  <c:v>197</c:v>
                </c:pt>
                <c:pt idx="6">
                  <c:v>197</c:v>
                </c:pt>
                <c:pt idx="7">
                  <c:v>197</c:v>
                </c:pt>
                <c:pt idx="8">
                  <c:v>197</c:v>
                </c:pt>
                <c:pt idx="9">
                  <c:v>197</c:v>
                </c:pt>
                <c:pt idx="10">
                  <c:v>197</c:v>
                </c:pt>
                <c:pt idx="11">
                  <c:v>197</c:v>
                </c:pt>
                <c:pt idx="12">
                  <c:v>197</c:v>
                </c:pt>
                <c:pt idx="13">
                  <c:v>197</c:v>
                </c:pt>
                <c:pt idx="14">
                  <c:v>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3A-4B92-B086-7E8E712D8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702829"/>
        <c:axId val="3759114"/>
      </c:lineChart>
      <c:catAx>
        <c:axId val="877028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759114"/>
        <c:crosses val="autoZero"/>
        <c:auto val="1"/>
        <c:lblAlgn val="ctr"/>
        <c:lblOffset val="100"/>
        <c:noMultiLvlLbl val="0"/>
      </c:catAx>
      <c:valAx>
        <c:axId val="375911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877028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1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1 Backlog'!$L$25:$Z$25</c:f>
              <c:numCache>
                <c:formatCode>General</c:formatCode>
                <c:ptCount val="15"/>
                <c:pt idx="0">
                  <c:v>9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EE-464A-97A2-07CD37F77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9027645"/>
        <c:axId val="71677238"/>
      </c:lineChart>
      <c:catAx>
        <c:axId val="190276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71677238"/>
        <c:crosses val="autoZero"/>
        <c:auto val="1"/>
        <c:lblAlgn val="ctr"/>
        <c:lblOffset val="100"/>
        <c:noMultiLvlLbl val="0"/>
      </c:catAx>
      <c:valAx>
        <c:axId val="7167723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90276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layout>
        <c:manualLayout>
          <c:xMode val="edge"/>
          <c:yMode val="edge"/>
          <c:x val="0.412959862437214"/>
          <c:y val="2.7973544399869901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81931309109006E-2"/>
          <c:y val="0.129567385883118"/>
          <c:w val="0.90782388343363996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2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3 Backlog'!#REF!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B3-488A-8FFF-F603D9C32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3690841"/>
        <c:axId val="67451303"/>
      </c:lineChart>
      <c:catAx>
        <c:axId val="636908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7451303"/>
        <c:crosses val="autoZero"/>
        <c:auto val="1"/>
        <c:lblAlgn val="ctr"/>
        <c:lblOffset val="100"/>
        <c:noMultiLvlLbl val="0"/>
      </c:catAx>
      <c:valAx>
        <c:axId val="6745130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36908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2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2 Backlog'!$L$33:$Z$33</c:f>
              <c:numCache>
                <c:formatCode>General</c:formatCode>
                <c:ptCount val="1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63-4CCD-B1C8-D94016CAA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8890673"/>
        <c:axId val="18536190"/>
      </c:lineChart>
      <c:catAx>
        <c:axId val="188906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8536190"/>
        <c:crosses val="autoZero"/>
        <c:auto val="1"/>
        <c:lblAlgn val="ctr"/>
        <c:lblOffset val="100"/>
        <c:noMultiLvlLbl val="0"/>
      </c:catAx>
      <c:valAx>
        <c:axId val="1853619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88906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92194403534594E-2"/>
          <c:y val="0.129567385883118"/>
          <c:w val="0.90737152158747403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3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3 Backlog'!$L$39:$Z$39</c:f>
              <c:numCache>
                <c:formatCode>General</c:formatCode>
                <c:ptCount val="15"/>
                <c:pt idx="0">
                  <c:v>235</c:v>
                </c:pt>
                <c:pt idx="1">
                  <c:v>235</c:v>
                </c:pt>
                <c:pt idx="2">
                  <c:v>235</c:v>
                </c:pt>
                <c:pt idx="3">
                  <c:v>235</c:v>
                </c:pt>
                <c:pt idx="4">
                  <c:v>235</c:v>
                </c:pt>
                <c:pt idx="5">
                  <c:v>235</c:v>
                </c:pt>
                <c:pt idx="6">
                  <c:v>235</c:v>
                </c:pt>
                <c:pt idx="7">
                  <c:v>235</c:v>
                </c:pt>
                <c:pt idx="8">
                  <c:v>235</c:v>
                </c:pt>
                <c:pt idx="9">
                  <c:v>235</c:v>
                </c:pt>
                <c:pt idx="10">
                  <c:v>235</c:v>
                </c:pt>
                <c:pt idx="11">
                  <c:v>235</c:v>
                </c:pt>
                <c:pt idx="12">
                  <c:v>235</c:v>
                </c:pt>
                <c:pt idx="13">
                  <c:v>235</c:v>
                </c:pt>
                <c:pt idx="14">
                  <c:v>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4D-4D7B-A1F0-224EF8374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1706577"/>
        <c:axId val="20489038"/>
      </c:lineChart>
      <c:catAx>
        <c:axId val="717065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20489038"/>
        <c:crosses val="autoZero"/>
        <c:auto val="1"/>
        <c:lblAlgn val="ctr"/>
        <c:lblOffset val="100"/>
        <c:noMultiLvlLbl val="0"/>
      </c:catAx>
      <c:valAx>
        <c:axId val="2048903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717065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3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3 Backlog'!$L$40:$Z$40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0F-4CFE-9FAC-B9C28C920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8974669"/>
        <c:axId val="86413403"/>
      </c:lineChart>
      <c:catAx>
        <c:axId val="989746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86413403"/>
        <c:crosses val="autoZero"/>
        <c:auto val="1"/>
        <c:lblAlgn val="ctr"/>
        <c:lblOffset val="100"/>
        <c:noMultiLvlLbl val="0"/>
      </c:catAx>
      <c:valAx>
        <c:axId val="8641340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989746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92194403534594E-2"/>
          <c:y val="0.129567385883118"/>
          <c:w val="0.90737152158747403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4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4 Backlog'!$L$36:$Z$36</c:f>
              <c:numCache>
                <c:formatCode>General</c:formatCode>
                <c:ptCount val="15"/>
                <c:pt idx="0">
                  <c:v>236</c:v>
                </c:pt>
                <c:pt idx="1">
                  <c:v>236</c:v>
                </c:pt>
                <c:pt idx="2">
                  <c:v>236</c:v>
                </c:pt>
                <c:pt idx="3">
                  <c:v>236</c:v>
                </c:pt>
                <c:pt idx="4">
                  <c:v>236</c:v>
                </c:pt>
                <c:pt idx="5">
                  <c:v>236</c:v>
                </c:pt>
                <c:pt idx="6">
                  <c:v>236</c:v>
                </c:pt>
                <c:pt idx="7">
                  <c:v>236</c:v>
                </c:pt>
                <c:pt idx="8">
                  <c:v>236</c:v>
                </c:pt>
                <c:pt idx="9">
                  <c:v>236</c:v>
                </c:pt>
                <c:pt idx="10">
                  <c:v>236</c:v>
                </c:pt>
                <c:pt idx="11">
                  <c:v>236</c:v>
                </c:pt>
                <c:pt idx="12">
                  <c:v>236</c:v>
                </c:pt>
                <c:pt idx="13">
                  <c:v>236</c:v>
                </c:pt>
                <c:pt idx="14">
                  <c:v>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FF-4A5C-B5C4-6C42B7CEA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282144"/>
        <c:axId val="13103358"/>
      </c:lineChart>
      <c:catAx>
        <c:axId val="882821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3103358"/>
        <c:crosses val="autoZero"/>
        <c:auto val="1"/>
        <c:lblAlgn val="ctr"/>
        <c:lblOffset val="100"/>
        <c:noMultiLvlLbl val="0"/>
      </c:catAx>
      <c:valAx>
        <c:axId val="1310335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882821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4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4 Backlog'!$L$37:$Z$37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F1-4BF5-A4C1-5F3609077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5708469"/>
        <c:axId val="85845181"/>
      </c:lineChart>
      <c:catAx>
        <c:axId val="357084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85845181"/>
        <c:crosses val="autoZero"/>
        <c:auto val="1"/>
        <c:lblAlgn val="ctr"/>
        <c:lblOffset val="100"/>
        <c:noMultiLvlLbl val="0"/>
      </c:catAx>
      <c:valAx>
        <c:axId val="8584518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57084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92194403534594E-2"/>
          <c:y val="0.129567385883118"/>
          <c:w val="0.90737152158747403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5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5 Backlog'!$L$35:$Z$35</c:f>
              <c:numCache>
                <c:formatCode>General</c:formatCode>
                <c:ptCount val="15"/>
                <c:pt idx="0">
                  <c:v>238</c:v>
                </c:pt>
                <c:pt idx="1">
                  <c:v>238</c:v>
                </c:pt>
                <c:pt idx="2">
                  <c:v>238</c:v>
                </c:pt>
                <c:pt idx="3">
                  <c:v>238</c:v>
                </c:pt>
                <c:pt idx="4">
                  <c:v>238</c:v>
                </c:pt>
                <c:pt idx="5">
                  <c:v>238</c:v>
                </c:pt>
                <c:pt idx="6">
                  <c:v>238</c:v>
                </c:pt>
                <c:pt idx="7">
                  <c:v>238</c:v>
                </c:pt>
                <c:pt idx="8">
                  <c:v>238</c:v>
                </c:pt>
                <c:pt idx="9">
                  <c:v>238</c:v>
                </c:pt>
                <c:pt idx="10">
                  <c:v>238</c:v>
                </c:pt>
                <c:pt idx="11">
                  <c:v>238</c:v>
                </c:pt>
                <c:pt idx="12">
                  <c:v>238</c:v>
                </c:pt>
                <c:pt idx="13">
                  <c:v>238</c:v>
                </c:pt>
                <c:pt idx="14">
                  <c:v>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53-4C26-9287-2DD5E9359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0699466"/>
        <c:axId val="30678493"/>
      </c:lineChart>
      <c:catAx>
        <c:axId val="506994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0678493"/>
        <c:crosses val="autoZero"/>
        <c:auto val="1"/>
        <c:lblAlgn val="ctr"/>
        <c:lblOffset val="100"/>
        <c:noMultiLvlLbl val="0"/>
      </c:catAx>
      <c:valAx>
        <c:axId val="3067849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506994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5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5 Backlog'!$L$36:$Z$36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70-41F4-9405-E56278EF7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0443403"/>
        <c:axId val="92258595"/>
      </c:lineChart>
      <c:catAx>
        <c:axId val="904434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92258595"/>
        <c:crosses val="autoZero"/>
        <c:auto val="1"/>
        <c:lblAlgn val="ctr"/>
        <c:lblOffset val="100"/>
        <c:noMultiLvlLbl val="0"/>
      </c:catAx>
      <c:valAx>
        <c:axId val="9225859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904434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45927515132906E-2"/>
          <c:y val="0.12954939341421101"/>
          <c:w val="0.90736342042755402"/>
          <c:h val="0.74241767764298106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6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6 Backlog'!$L$30:$Z$30</c:f>
              <c:numCache>
                <c:formatCode>General</c:formatCode>
                <c:ptCount val="15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6A-419D-965C-D78D7A3BF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0329028"/>
        <c:axId val="66626477"/>
      </c:lineChart>
      <c:catAx>
        <c:axId val="203290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6626477"/>
        <c:crosses val="autoZero"/>
        <c:auto val="1"/>
        <c:lblAlgn val="ctr"/>
        <c:lblOffset val="100"/>
        <c:noMultiLvlLbl val="0"/>
      </c:catAx>
      <c:valAx>
        <c:axId val="6662647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203290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6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6 Backlog'!$L$31:$Z$31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AA-4E17-96C6-450E9B122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6394638"/>
        <c:axId val="64877513"/>
      </c:lineChart>
      <c:catAx>
        <c:axId val="363946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4877513"/>
        <c:crosses val="autoZero"/>
        <c:auto val="1"/>
        <c:lblAlgn val="ctr"/>
        <c:lblOffset val="100"/>
        <c:noMultiLvlLbl val="0"/>
      </c:catAx>
      <c:valAx>
        <c:axId val="6487751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63946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23040</xdr:colOff>
      <xdr:row>0</xdr:row>
      <xdr:rowOff>0</xdr:rowOff>
    </xdr:from>
    <xdr:to>
      <xdr:col>2</xdr:col>
      <xdr:colOff>636120</xdr:colOff>
      <xdr:row>3</xdr:row>
      <xdr:rowOff>102240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3040" y="0"/>
          <a:ext cx="1904760" cy="58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37800</xdr:colOff>
      <xdr:row>0</xdr:row>
      <xdr:rowOff>0</xdr:rowOff>
    </xdr:from>
    <xdr:to>
      <xdr:col>5</xdr:col>
      <xdr:colOff>244800</xdr:colOff>
      <xdr:row>3</xdr:row>
      <xdr:rowOff>108000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461920" y="0"/>
          <a:ext cx="1471320" cy="593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0</xdr:row>
      <xdr:rowOff>0</xdr:rowOff>
    </xdr:from>
    <xdr:to>
      <xdr:col>2</xdr:col>
      <xdr:colOff>1235880</xdr:colOff>
      <xdr:row>3</xdr:row>
      <xdr:rowOff>100440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0"/>
          <a:ext cx="159588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68040</xdr:colOff>
      <xdr:row>3</xdr:row>
      <xdr:rowOff>138600</xdr:rowOff>
    </xdr:to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182880</xdr:colOff>
      <xdr:row>27</xdr:row>
      <xdr:rowOff>167040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29940</xdr:colOff>
      <xdr:row>3</xdr:row>
      <xdr:rowOff>138600</xdr:rowOff>
    </xdr:to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15</xdr:col>
      <xdr:colOff>141480</xdr:colOff>
      <xdr:row>27</xdr:row>
      <xdr:rowOff>167040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187200</xdr:colOff>
      <xdr:row>8</xdr:row>
      <xdr:rowOff>114480</xdr:rowOff>
    </xdr:from>
    <xdr:to>
      <xdr:col>27</xdr:col>
      <xdr:colOff>854640</xdr:colOff>
      <xdr:row>27</xdr:row>
      <xdr:rowOff>167400</xdr:rowOff>
    </xdr:to>
    <xdr:graphicFrame macro="">
      <xdr:nvGraphicFramePr>
        <xdr:cNvPr id="9" name="Chart 2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10" name="image1.png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2</xdr:col>
      <xdr:colOff>830040</xdr:colOff>
      <xdr:row>3</xdr:row>
      <xdr:rowOff>138600</xdr:rowOff>
    </xdr:to>
    <xdr:pic>
      <xdr:nvPicPr>
        <xdr:cNvPr id="11" name="image1.png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182880</xdr:colOff>
      <xdr:row>27</xdr:row>
      <xdr:rowOff>167040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13" name="Chart 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14" name="image1.png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29940</xdr:colOff>
      <xdr:row>3</xdr:row>
      <xdr:rowOff>138600</xdr:rowOff>
    </xdr:to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182880</xdr:colOff>
      <xdr:row>27</xdr:row>
      <xdr:rowOff>167040</xdr:rowOff>
    </xdr:to>
    <xdr:graphicFrame macro="">
      <xdr:nvGraphicFramePr>
        <xdr:cNvPr id="16" name="Chart 1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17" name="Chart 2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18" name="image1.png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68040</xdr:colOff>
      <xdr:row>3</xdr:row>
      <xdr:rowOff>138600</xdr:rowOff>
    </xdr:to>
    <xdr:pic>
      <xdr:nvPicPr>
        <xdr:cNvPr id="19" name="image1.png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182880</xdr:colOff>
      <xdr:row>27</xdr:row>
      <xdr:rowOff>167040</xdr:rowOff>
    </xdr:to>
    <xdr:graphicFrame macro="">
      <xdr:nvGraphicFramePr>
        <xdr:cNvPr id="20" name="Chart 1">
          <a:extLst>
            <a:ext uri="{FF2B5EF4-FFF2-40B4-BE49-F238E27FC236}">
              <a16:creationId xmlns:a16="http://schemas.microsoft.com/office/drawing/2014/main" id="{00000000-0008-0000-0B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21" name="Chart 2">
          <a:extLst>
            <a:ext uri="{FF2B5EF4-FFF2-40B4-BE49-F238E27FC236}">
              <a16:creationId xmlns:a16="http://schemas.microsoft.com/office/drawing/2014/main" id="{00000000-0008-0000-0B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22" name="image1.png">
          <a:extLst>
            <a:ext uri="{FF2B5EF4-FFF2-40B4-BE49-F238E27FC236}">
              <a16:creationId xmlns:a16="http://schemas.microsoft.com/office/drawing/2014/main" id="{00000000-0008-0000-0B00-000016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68040</xdr:colOff>
      <xdr:row>3</xdr:row>
      <xdr:rowOff>138600</xdr:rowOff>
    </xdr:to>
    <xdr:pic>
      <xdr:nvPicPr>
        <xdr:cNvPr id="23" name="image1.png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236880</xdr:colOff>
      <xdr:row>27</xdr:row>
      <xdr:rowOff>170280</xdr:rowOff>
    </xdr:to>
    <xdr:graphicFrame macro="">
      <xdr:nvGraphicFramePr>
        <xdr:cNvPr id="24" name="Chart 1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25" name="Chart 2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26" name="image1.png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314280</xdr:colOff>
      <xdr:row>0</xdr:row>
      <xdr:rowOff>0</xdr:rowOff>
    </xdr:from>
    <xdr:to>
      <xdr:col>2</xdr:col>
      <xdr:colOff>975960</xdr:colOff>
      <xdr:row>3</xdr:row>
      <xdr:rowOff>100440</xdr:rowOff>
    </xdr:to>
    <xdr:pic>
      <xdr:nvPicPr>
        <xdr:cNvPr id="27" name="image1.png"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14280" y="0"/>
          <a:ext cx="159588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476280</xdr:colOff>
      <xdr:row>0</xdr:row>
      <xdr:rowOff>0</xdr:rowOff>
    </xdr:from>
    <xdr:to>
      <xdr:col>5</xdr:col>
      <xdr:colOff>507600</xdr:colOff>
      <xdr:row>3</xdr:row>
      <xdr:rowOff>100440</xdr:rowOff>
    </xdr:to>
    <xdr:pic>
      <xdr:nvPicPr>
        <xdr:cNvPr id="28" name="image1.png">
          <a:extLst>
            <a:ext uri="{FF2B5EF4-FFF2-40B4-BE49-F238E27FC236}">
              <a16:creationId xmlns:a16="http://schemas.microsoft.com/office/drawing/2014/main" id="{00000000-0008-0000-0F00-00001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6280" y="0"/>
          <a:ext cx="260568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285840</xdr:colOff>
      <xdr:row>0</xdr:row>
      <xdr:rowOff>38160</xdr:rowOff>
    </xdr:from>
    <xdr:to>
      <xdr:col>2</xdr:col>
      <xdr:colOff>282240</xdr:colOff>
      <xdr:row>3</xdr:row>
      <xdr:rowOff>138600</xdr:rowOff>
    </xdr:to>
    <xdr:pic>
      <xdr:nvPicPr>
        <xdr:cNvPr id="29" name="image1.png">
          <a:extLst>
            <a:ext uri="{FF2B5EF4-FFF2-40B4-BE49-F238E27FC236}">
              <a16:creationId xmlns:a16="http://schemas.microsoft.com/office/drawing/2014/main" id="{00000000-0008-0000-1000-00001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85840" y="38160"/>
          <a:ext cx="16920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21.608021064814" createdVersion="8" refreshedVersion="8" minRefreshableVersion="3" recordCount="26" xr:uid="{CC6E13A6-8271-4F3B-A773-3DED8ECECE8D}">
  <cacheSource type="worksheet">
    <worksheetSource name="Table2"/>
  </cacheSource>
  <cacheFields count="25">
    <cacheField name="Sprint Id" numFmtId="0">
      <sharedItems/>
    </cacheField>
    <cacheField name="Backlog Id" numFmtId="0">
      <sharedItems/>
    </cacheField>
    <cacheField name="Description" numFmtId="0">
      <sharedItems/>
    </cacheField>
    <cacheField name="Owner" numFmtId="0">
      <sharedItems count="5">
        <s v="Duc"/>
        <s v="Nguyen"/>
        <s v="Viet"/>
        <s v="Bao"/>
        <s v="Phuc"/>
      </sharedItems>
    </cacheField>
    <cacheField name="Status" numFmtId="0">
      <sharedItems/>
    </cacheField>
    <cacheField name="Estimate (Hours)" numFmtId="0">
      <sharedItems containsSemiMixedTypes="0" containsString="0" containsNumber="1" containsInteger="1" minValue="4" maxValue="14"/>
    </cacheField>
    <cacheField name="Completed" numFmtId="0">
      <sharedItems containsSemiMixedTypes="0" containsString="0" containsNumber="1" containsInteger="1" minValue="0" maxValue="0"/>
    </cacheField>
    <cacheField name="Pending" numFmtId="0">
      <sharedItems containsSemiMixedTypes="0" containsString="0" containsNumber="1" containsInteger="1" minValue="4" maxValue="14"/>
    </cacheField>
    <cacheField name="Total effort" numFmtId="0">
      <sharedItems containsSemiMixedTypes="0" containsString="0" containsNumber="1" containsInteger="1" minValue="0" maxValue="0"/>
    </cacheField>
    <cacheField name="Effort vs. Estimate" numFmtId="0">
      <sharedItems containsSemiMixedTypes="0" containsString="0" containsNumber="1" containsInteger="1" minValue="-14" maxValue="-4"/>
    </cacheField>
    <cacheField name="Day 1" numFmtId="0">
      <sharedItems containsNonDate="0" containsString="0" containsBlank="1"/>
    </cacheField>
    <cacheField name="Day 2" numFmtId="0">
      <sharedItems containsNonDate="0" containsString="0" containsBlank="1"/>
    </cacheField>
    <cacheField name="Day 3" numFmtId="0">
      <sharedItems containsNonDate="0" containsString="0" containsBlank="1"/>
    </cacheField>
    <cacheField name="Day 4" numFmtId="0">
      <sharedItems containsNonDate="0" containsString="0" containsBlank="1"/>
    </cacheField>
    <cacheField name="Day 5" numFmtId="0">
      <sharedItems containsNonDate="0" containsString="0" containsBlank="1"/>
    </cacheField>
    <cacheField name="Day 6" numFmtId="0">
      <sharedItems containsNonDate="0" containsString="0" containsBlank="1"/>
    </cacheField>
    <cacheField name="Day 7" numFmtId="0">
      <sharedItems containsNonDate="0" containsString="0" containsBlank="1"/>
    </cacheField>
    <cacheField name="Day 8" numFmtId="0">
      <sharedItems containsNonDate="0" containsString="0" containsBlank="1"/>
    </cacheField>
    <cacheField name="Day 9" numFmtId="0">
      <sharedItems containsNonDate="0" containsString="0" containsBlank="1"/>
    </cacheField>
    <cacheField name="Day 10" numFmtId="0">
      <sharedItems containsNonDate="0" containsString="0" containsBlank="1"/>
    </cacheField>
    <cacheField name="Day 11" numFmtId="0">
      <sharedItems containsNonDate="0" containsString="0" containsBlank="1"/>
    </cacheField>
    <cacheField name="Day 12" numFmtId="0">
      <sharedItems containsNonDate="0" containsString="0" containsBlank="1"/>
    </cacheField>
    <cacheField name="Day 13" numFmtId="0">
      <sharedItems containsNonDate="0" containsString="0" containsBlank="1"/>
    </cacheField>
    <cacheField name="Day 14" numFmtId="0">
      <sharedItems containsNonDate="0" containsString="0" containsBlank="1"/>
    </cacheField>
    <cacheField name="Day 15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s v="4.01"/>
    <s v="PB24"/>
    <s v="Interaction seed data"/>
    <x v="0"/>
    <s v="Not started"/>
    <n v="6"/>
    <n v="0"/>
    <n v="6"/>
    <n v="0"/>
    <n v="-6"/>
    <m/>
    <m/>
    <m/>
    <m/>
    <m/>
    <m/>
    <m/>
    <m/>
    <m/>
    <m/>
    <m/>
    <m/>
    <m/>
    <m/>
    <m/>
  </r>
  <r>
    <s v="4.02"/>
    <s v="PB24"/>
    <s v="Interaction-check API with severity levels, hooked into add/edit medication flow"/>
    <x v="0"/>
    <s v="Not started"/>
    <n v="12"/>
    <n v="0"/>
    <n v="12"/>
    <n v="0"/>
    <n v="-12"/>
    <m/>
    <m/>
    <m/>
    <m/>
    <m/>
    <m/>
    <m/>
    <m/>
    <m/>
    <m/>
    <m/>
    <m/>
    <m/>
    <m/>
    <m/>
  </r>
  <r>
    <s v="4.03"/>
    <s v="PB24"/>
    <s v="Test: validate interaction-detection algorithm against standardized test-case set (true/false positives) + verify disclaimer always shown"/>
    <x v="0"/>
    <s v="Not started"/>
    <n v="10"/>
    <n v="0"/>
    <n v="10"/>
    <n v="0"/>
    <n v="-10"/>
    <m/>
    <m/>
    <m/>
    <m/>
    <m/>
    <m/>
    <m/>
    <m/>
    <m/>
    <m/>
    <m/>
    <m/>
    <m/>
    <m/>
    <m/>
  </r>
  <r>
    <s v="4.04"/>
    <s v="PB25"/>
    <s v="Drug-food interaction data + seed"/>
    <x v="1"/>
    <s v="Not started"/>
    <n v="5"/>
    <n v="0"/>
    <n v="5"/>
    <n v="0"/>
    <n v="-5"/>
    <m/>
    <m/>
    <m/>
    <m/>
    <m/>
    <m/>
    <m/>
    <m/>
    <m/>
    <m/>
    <m/>
    <m/>
    <m/>
    <m/>
    <m/>
  </r>
  <r>
    <s v="4.05"/>
    <s v="PB25"/>
    <s v="Lookup API + warning response"/>
    <x v="1"/>
    <s v="Not started"/>
    <n v="9"/>
    <n v="0"/>
    <n v="9"/>
    <n v="0"/>
    <n v="-9"/>
    <m/>
    <m/>
    <m/>
    <m/>
    <m/>
    <m/>
    <m/>
    <m/>
    <m/>
    <m/>
    <m/>
    <m/>
    <m/>
    <m/>
    <m/>
  </r>
  <r>
    <s v="4.06"/>
    <s v="PB25"/>
    <s v="Mobile: food-warning screen UI (reuse)"/>
    <x v="0"/>
    <s v="Not started"/>
    <n v="10"/>
    <n v="0"/>
    <n v="10"/>
    <n v="0"/>
    <n v="-10"/>
    <m/>
    <m/>
    <m/>
    <m/>
    <m/>
    <m/>
    <m/>
    <m/>
    <m/>
    <m/>
    <m/>
    <m/>
    <m/>
    <m/>
    <m/>
  </r>
  <r>
    <s v="4.07"/>
    <s v="PB25"/>
    <s v="Test: drug-food warning"/>
    <x v="2"/>
    <s v="Not started"/>
    <n v="10"/>
    <n v="0"/>
    <n v="10"/>
    <n v="0"/>
    <n v="-10"/>
    <m/>
    <m/>
    <m/>
    <m/>
    <m/>
    <m/>
    <m/>
    <m/>
    <m/>
    <m/>
    <m/>
    <m/>
    <m/>
    <m/>
    <m/>
  </r>
  <r>
    <s v="4.08"/>
    <s v="PB31"/>
    <s v="Collect + label packaging sample set"/>
    <x v="3"/>
    <s v="Not started"/>
    <n v="12"/>
    <n v="0"/>
    <n v="12"/>
    <n v="0"/>
    <n v="-12"/>
    <m/>
    <m/>
    <m/>
    <m/>
    <m/>
    <m/>
    <m/>
    <m/>
    <m/>
    <m/>
    <m/>
    <m/>
    <m/>
    <m/>
    <m/>
  </r>
  <r>
    <s v="4.09"/>
    <s v="PB31"/>
    <s v="ML Kit prototype, accuracy measurement, go/no-go conclusion"/>
    <x v="3"/>
    <s v="Not started"/>
    <n v="12"/>
    <n v="0"/>
    <n v="12"/>
    <n v="0"/>
    <n v="-12"/>
    <m/>
    <m/>
    <m/>
    <m/>
    <m/>
    <m/>
    <m/>
    <m/>
    <m/>
    <m/>
    <m/>
    <m/>
    <m/>
    <m/>
    <m/>
  </r>
  <r>
    <s v="4.10"/>
    <s v="PB31"/>
    <s v="Camera screen: permissions, capture, crop, preprocessing"/>
    <x v="3"/>
    <s v="Not started"/>
    <n v="11"/>
    <n v="0"/>
    <n v="11"/>
    <n v="0"/>
    <n v="-11"/>
    <m/>
    <m/>
    <m/>
    <m/>
    <m/>
    <m/>
    <m/>
    <m/>
    <m/>
    <m/>
    <m/>
    <m/>
    <m/>
    <m/>
    <m/>
  </r>
  <r>
    <s v="4.11"/>
    <s v="PB31"/>
    <s v="ML Kit call + pass results to matching, error handling"/>
    <x v="3"/>
    <s v="Not started"/>
    <n v="13"/>
    <n v="0"/>
    <n v="13"/>
    <n v="0"/>
    <n v="-13"/>
    <m/>
    <m/>
    <m/>
    <m/>
    <m/>
    <m/>
    <m/>
    <m/>
    <m/>
    <m/>
    <m/>
    <m/>
    <m/>
    <m/>
    <m/>
  </r>
  <r>
    <s v="4.12"/>
    <s v="PB31"/>
    <s v="OCR text normalization + catalog index"/>
    <x v="1"/>
    <s v="Not started"/>
    <n v="11"/>
    <n v="0"/>
    <n v="11"/>
    <n v="0"/>
    <n v="-11"/>
    <m/>
    <m/>
    <m/>
    <m/>
    <m/>
    <m/>
    <m/>
    <m/>
    <m/>
    <m/>
    <m/>
    <m/>
    <m/>
    <m/>
    <m/>
  </r>
  <r>
    <s v="4.13"/>
    <s v="PB31"/>
    <s v="Fuzzy matching, scoring, confidence threshold, top-N candidates"/>
    <x v="1"/>
    <s v="Not started"/>
    <n v="13"/>
    <n v="0"/>
    <n v="13"/>
    <n v="0"/>
    <n v="-13"/>
    <m/>
    <m/>
    <m/>
    <m/>
    <m/>
    <m/>
    <m/>
    <m/>
    <m/>
    <m/>
    <m/>
    <m/>
    <m/>
    <m/>
    <m/>
  </r>
  <r>
    <s v="4.14"/>
    <s v="PB31"/>
    <s v="Unit tests with real OCR output"/>
    <x v="0"/>
    <s v="Not started"/>
    <n v="4"/>
    <n v="0"/>
    <n v="4"/>
    <n v="0"/>
    <n v="-4"/>
    <m/>
    <m/>
    <m/>
    <m/>
    <m/>
    <m/>
    <m/>
    <m/>
    <m/>
    <m/>
    <m/>
    <m/>
    <m/>
    <m/>
    <m/>
  </r>
  <r>
    <s v="4.15"/>
    <s v="PB31"/>
    <s v="Search endpoint + search UI with autocomplete"/>
    <x v="2"/>
    <s v="Not started"/>
    <n v="11"/>
    <n v="0"/>
    <n v="11"/>
    <n v="0"/>
    <n v="-11"/>
    <m/>
    <m/>
    <m/>
    <m/>
    <m/>
    <m/>
    <m/>
    <m/>
    <m/>
    <m/>
    <m/>
    <m/>
    <m/>
    <m/>
    <m/>
  </r>
  <r>
    <s v="4.16"/>
    <s v="PB31"/>
    <s v="Selection/confirmation screen + no-result state"/>
    <x v="4"/>
    <s v="Not started"/>
    <n v="7"/>
    <n v="0"/>
    <n v="7"/>
    <n v="0"/>
    <n v="-7"/>
    <m/>
    <m/>
    <m/>
    <m/>
    <m/>
    <m/>
    <m/>
    <m/>
    <m/>
    <m/>
    <m/>
    <m/>
    <m/>
    <m/>
    <m/>
  </r>
  <r>
    <s v="4.17"/>
    <s v="PB31"/>
    <s v="Test: OCR accuracy across multiple packaging samples"/>
    <x v="0"/>
    <s v="Not started"/>
    <n v="6"/>
    <n v="0"/>
    <n v="6"/>
    <n v="0"/>
    <n v="-6"/>
    <m/>
    <m/>
    <m/>
    <m/>
    <m/>
    <m/>
    <m/>
    <m/>
    <m/>
    <m/>
    <m/>
    <m/>
    <m/>
    <m/>
    <m/>
  </r>
  <r>
    <s v="4.18"/>
    <s v="PB07"/>
    <s v="Create Render Web Service from GitHub repo + auto-deploy on push"/>
    <x v="2"/>
    <s v="Not started"/>
    <n v="6"/>
    <n v="0"/>
    <n v="6"/>
    <n v="0"/>
    <n v="-6"/>
    <m/>
    <m/>
    <m/>
    <m/>
    <m/>
    <m/>
    <m/>
    <m/>
    <m/>
    <m/>
    <m/>
    <m/>
    <m/>
    <m/>
    <m/>
  </r>
  <r>
    <s v="4.19"/>
    <s v="PB07"/>
    <s v="Set Render env vars/secrets, prod vs dev config, CORS"/>
    <x v="2"/>
    <s v="Not started"/>
    <n v="4"/>
    <n v="0"/>
    <n v="4"/>
    <n v="0"/>
    <n v="-4"/>
    <m/>
    <m/>
    <m/>
    <m/>
    <m/>
    <m/>
    <m/>
    <m/>
    <m/>
    <m/>
    <m/>
    <m/>
    <m/>
    <m/>
    <m/>
  </r>
  <r>
    <s v="4.20"/>
    <s v="PB07"/>
    <s v="Run RQ jobs on Render (Key Value + worker/cron): sync, missed-dose"/>
    <x v="2"/>
    <s v="Not started"/>
    <n v="10"/>
    <n v="0"/>
    <n v="10"/>
    <n v="0"/>
    <n v="-10"/>
    <m/>
    <m/>
    <m/>
    <m/>
    <m/>
    <m/>
    <m/>
    <m/>
    <m/>
    <m/>
    <m/>
    <m/>
    <m/>
    <m/>
    <m/>
  </r>
  <r>
    <s v="4.21"/>
    <s v="PB07"/>
    <s v="Check cold-start impact on &lt;2s alert; choose Render plan"/>
    <x v="4"/>
    <s v="Not started"/>
    <n v="4"/>
    <n v="0"/>
    <n v="4"/>
    <n v="0"/>
    <n v="-4"/>
    <m/>
    <m/>
    <m/>
    <m/>
    <m/>
    <m/>
    <m/>
    <m/>
    <m/>
    <m/>
    <m/>
    <m/>
    <m/>
    <m/>
    <m/>
  </r>
  <r>
    <s v="4.22"/>
    <s v="PB07"/>
    <s v="Point mobile + admin to Render URL; smoke test Android/iOS"/>
    <x v="4"/>
    <s v="Not started"/>
    <n v="6"/>
    <n v="0"/>
    <n v="6"/>
    <n v="0"/>
    <n v="-6"/>
    <m/>
    <m/>
    <m/>
    <m/>
    <m/>
    <m/>
    <m/>
    <m/>
    <m/>
    <m/>
    <m/>
    <m/>
    <m/>
    <m/>
    <m/>
  </r>
  <r>
    <s v="4.23"/>
    <s v="PB30"/>
    <s v="Cross-device test checklist: onboarding/reminder/confirm (Android)"/>
    <x v="4"/>
    <s v="Not started"/>
    <n v="14"/>
    <n v="0"/>
    <n v="14"/>
    <n v="0"/>
    <n v="-14"/>
    <m/>
    <m/>
    <m/>
    <m/>
    <m/>
    <m/>
    <m/>
    <m/>
    <m/>
    <m/>
    <m/>
    <m/>
    <m/>
    <m/>
    <m/>
  </r>
  <r>
    <s v="4.24"/>
    <s v="PB30"/>
    <s v="Cross-device test checklist: same flows (iOS)"/>
    <x v="4"/>
    <s v="Not started"/>
    <n v="14"/>
    <n v="0"/>
    <n v="14"/>
    <n v="0"/>
    <n v="-14"/>
    <m/>
    <m/>
    <m/>
    <m/>
    <m/>
    <m/>
    <m/>
    <m/>
    <m/>
    <m/>
    <m/>
    <m/>
    <m/>
    <m/>
    <m/>
  </r>
  <r>
    <s v="4.25"/>
    <s v="PB30"/>
    <s v="Log &amp; triage defects found"/>
    <x v="2"/>
    <s v="Not started"/>
    <n v="6"/>
    <n v="0"/>
    <n v="6"/>
    <n v="0"/>
    <n v="-6"/>
    <m/>
    <m/>
    <m/>
    <m/>
    <m/>
    <m/>
    <m/>
    <m/>
    <m/>
    <m/>
    <m/>
    <m/>
    <m/>
    <m/>
    <m/>
  </r>
  <r>
    <s v="4.26"/>
    <s v="PB37"/>
    <s v="Backend: LLM API integration (meal-suggestion prompt + parsing)"/>
    <x v="1"/>
    <s v="Not started"/>
    <n v="10"/>
    <n v="0"/>
    <n v="10"/>
    <n v="0"/>
    <n v="-1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E3F556-5761-4F6A-8504-3C4312AE7705}" name="PivotTable1" cacheId="112" applyNumberFormats="0" applyBorderFormats="0" applyFontFormats="0" applyPatternFormats="0" applyAlignmentFormats="0" applyWidthHeightFormats="1" dataCaption="Giá trị" updatedVersion="8" minRefreshableVersion="3" itemPrintTitles="1" createdVersion="8" indent="0" compact="0" compactData="0" multipleFieldFilters="0">
  <location ref="AC7:AD13" firstHeaderRow="1" firstDataRow="1" firstDataCol="1"/>
  <pivotFields count="25">
    <pivotField compact="0" outline="0" showAll="0"/>
    <pivotField compact="0" outline="0" showAll="0"/>
    <pivotField compact="0" outline="0" showAll="0"/>
    <pivotField axis="axisRow" compact="0" outline="0" showAll="0">
      <items count="6">
        <item x="3"/>
        <item x="0"/>
        <item x="1"/>
        <item x="4"/>
        <item x="2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ổng của Estimate (Hours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A3D52B-328A-4DD4-BA49-533C3CC81834}" name="Table1" displayName="Table1" ref="B7:Z32" totalsRowShown="0" headerRowDxfId="57" dataDxfId="56" headerRowBorderDxfId="54" tableBorderDxfId="55">
  <autoFilter ref="B7:Z32" xr:uid="{E1A3D52B-328A-4DD4-BA49-533C3CC81834}"/>
  <tableColumns count="25">
    <tableColumn id="1" xr3:uid="{1CDF1D6E-910E-4BFE-A207-F3F8A564EBE0}" name="Sprint Id" dataDxfId="53"/>
    <tableColumn id="2" xr3:uid="{61E95AAE-73EF-49FD-82BF-2398FE15C1C4}" name="Backlog Id" dataDxfId="52"/>
    <tableColumn id="3" xr3:uid="{0333E4ED-B393-4377-BFA1-5409937256A1}" name="Description" dataDxfId="51"/>
    <tableColumn id="4" xr3:uid="{EDEB1B09-F642-41D8-B36D-A6BF809257DB}" name="Owner" dataDxfId="50"/>
    <tableColumn id="5" xr3:uid="{94B3AA7F-AC2C-43EE-8CA3-36164F9F9440}" name="Status" dataDxfId="49"/>
    <tableColumn id="6" xr3:uid="{AB8B1C0B-F2E0-41A1-9579-D7322B9C901A}" name="Estimate (Hours)" dataDxfId="48"/>
    <tableColumn id="7" xr3:uid="{0F9857E8-D47C-425B-8627-2075C76BAC56}" name="Completed" dataDxfId="47"/>
    <tableColumn id="8" xr3:uid="{6D077842-9442-4E71-B9A6-1D585EA81F89}" name="Pending" dataDxfId="46">
      <calculatedColumnFormula>SUM(G8-H8)</calculatedColumnFormula>
    </tableColumn>
    <tableColumn id="9" xr3:uid="{B0FA7DA7-C4AE-49A4-8349-1780A964EF5C}" name="Total effort" dataDxfId="45"/>
    <tableColumn id="10" xr3:uid="{8C61B644-0360-42A8-8F45-99568595DBFF}" name="Effort vs. Estimate" dataDxfId="44">
      <calculatedColumnFormula>SUM(J8-G8)</calculatedColumnFormula>
    </tableColumn>
    <tableColumn id="11" xr3:uid="{B4F4DB2A-A262-47FB-BC61-E2235C5C394B}" name="Day 1" dataDxfId="43"/>
    <tableColumn id="12" xr3:uid="{A5F28742-884C-47B4-80E4-1B2E241F4C68}" name="Day 2" dataDxfId="42"/>
    <tableColumn id="13" xr3:uid="{2BFE0A21-6F2F-4560-893B-3E62C2D2030C}" name="Day 3" dataDxfId="41"/>
    <tableColumn id="14" xr3:uid="{9C31A5BF-E77F-4EBE-9C48-80F14585FABA}" name="Day 4" dataDxfId="40"/>
    <tableColumn id="15" xr3:uid="{1FF32730-2465-4AC4-9860-A58A3EBC997D}" name="Day 5" dataDxfId="39"/>
    <tableColumn id="16" xr3:uid="{2EA301F3-289F-4365-8AF3-414333374A9B}" name="Day 6" dataDxfId="38"/>
    <tableColumn id="17" xr3:uid="{B1E1D539-0613-4BB4-BD4E-E9FB78DD9801}" name="Day 7" dataDxfId="37"/>
    <tableColumn id="18" xr3:uid="{0CE6D2DE-A757-4E8A-886B-130A1FE98663}" name="Day 8" dataDxfId="36"/>
    <tableColumn id="19" xr3:uid="{BAA50683-2F9E-456E-B531-37050E835F2A}" name="Day 9" dataDxfId="35"/>
    <tableColumn id="20" xr3:uid="{D202440C-E07C-4BDB-8842-41AA87C8FF97}" name="Day 10" dataDxfId="34"/>
    <tableColumn id="21" xr3:uid="{BC7B89E6-3148-4E97-A03A-8FF353888F3E}" name="Day 11" dataDxfId="33"/>
    <tableColumn id="22" xr3:uid="{9F0BA676-3A99-490D-AA11-E9C7E4E122CF}" name="Day 12" dataDxfId="32"/>
    <tableColumn id="23" xr3:uid="{22076D8D-9004-46B2-AF62-0FD554452CF5}" name="Day 13" dataDxfId="31"/>
    <tableColumn id="24" xr3:uid="{DBE89241-4736-4985-B9D9-95A520FA5D72}" name="Day 14" dataDxfId="30"/>
    <tableColumn id="25" xr3:uid="{8F7AD5AC-8A11-4EC1-A1AE-580A2F01B4AD}" name="Day 15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DADF28-B79E-4D8A-A299-D496A28C52F5}" name="Table2" displayName="Table2" ref="B7:Z33" totalsRowShown="0" headerRowDxfId="28" dataDxfId="27" headerRowBorderDxfId="25" tableBorderDxfId="26">
  <autoFilter ref="B7:Z33" xr:uid="{1ADADF28-B79E-4D8A-A299-D496A28C52F5}"/>
  <tableColumns count="25">
    <tableColumn id="1" xr3:uid="{8B9F5AE4-9C7D-455C-947F-109244399CCF}" name="Sprint Id" dataDxfId="24"/>
    <tableColumn id="2" xr3:uid="{997BD41E-9B4B-4BAE-87AE-90CE7D737AE3}" name="Backlog Id" dataDxfId="23"/>
    <tableColumn id="3" xr3:uid="{553AE72A-0A7C-4AB0-954E-CEC92F4A110F}" name="Description" dataDxfId="22"/>
    <tableColumn id="4" xr3:uid="{7C10D5B9-6193-48A6-B2F3-29B2392E9EB2}" name="Owner" dataDxfId="21"/>
    <tableColumn id="5" xr3:uid="{180ED0BB-72B0-4CA0-9CED-7BA4B435C52C}" name="Status" dataDxfId="20"/>
    <tableColumn id="6" xr3:uid="{6B47C5CD-17D4-4CD6-A942-8EDB9A1ED44C}" name="Estimate (Hours)" dataDxfId="19"/>
    <tableColumn id="7" xr3:uid="{B5B24708-9C90-47A4-9490-BCD625E7029D}" name="Completed" dataDxfId="18"/>
    <tableColumn id="8" xr3:uid="{9496C4CF-262C-4DF9-B4C2-1A2BA603508F}" name="Pending" dataDxfId="17">
      <calculatedColumnFormula>SUM(G8-H8)</calculatedColumnFormula>
    </tableColumn>
    <tableColumn id="9" xr3:uid="{5D47D15D-9275-4DA1-9782-3F2121C83974}" name="Total effort" dataDxfId="16"/>
    <tableColumn id="10" xr3:uid="{FCA98092-9045-4BA6-AEB1-3CED060D160D}" name="Effort vs. Estimate" dataDxfId="15">
      <calculatedColumnFormula>SUM(J8-G8)</calculatedColumnFormula>
    </tableColumn>
    <tableColumn id="11" xr3:uid="{C1E11B04-CD26-4060-83DC-23B800AB1782}" name="Day 1" dataDxfId="14"/>
    <tableColumn id="12" xr3:uid="{9F496351-9787-4633-948B-9F2B4E10C005}" name="Day 2" dataDxfId="13"/>
    <tableColumn id="13" xr3:uid="{E7B080E5-3901-4B6A-BD3E-63E1785AC6A5}" name="Day 3" dataDxfId="12"/>
    <tableColumn id="14" xr3:uid="{19FEE710-C804-445E-99F4-F2B3543711C4}" name="Day 4" dataDxfId="11"/>
    <tableColumn id="15" xr3:uid="{12223C5F-786C-48A1-9AAF-2F89B1CB1627}" name="Day 5" dataDxfId="10"/>
    <tableColumn id="16" xr3:uid="{CC585065-6572-4F23-B4B5-34672083A673}" name="Day 6" dataDxfId="9"/>
    <tableColumn id="17" xr3:uid="{AD788708-6BF1-4882-B3EE-78ABE29829E6}" name="Day 7" dataDxfId="8"/>
    <tableColumn id="18" xr3:uid="{59AC741D-73BB-4474-BFD4-DDD286AF8848}" name="Day 8" dataDxfId="7"/>
    <tableColumn id="19" xr3:uid="{E27DA957-553D-462F-A6C4-FAC341B82F96}" name="Day 9" dataDxfId="6"/>
    <tableColumn id="20" xr3:uid="{36B76091-018A-46D7-B9AE-4239D56DD520}" name="Day 10" dataDxfId="5"/>
    <tableColumn id="21" xr3:uid="{D9947F2B-6A56-4D14-9977-894B54BFB9CB}" name="Day 11" dataDxfId="4"/>
    <tableColumn id="22" xr3:uid="{5CC1A811-8793-4DBB-8E82-F67549D59EF5}" name="Day 12" dataDxfId="3"/>
    <tableColumn id="23" xr3:uid="{0379A262-AD85-4027-A7B7-5601657A8261}" name="Day 13" dataDxfId="2"/>
    <tableColumn id="24" xr3:uid="{9885A57C-9D0B-41C0-8C01-94919A2EC656}" name="Day 14" dataDxfId="1"/>
    <tableColumn id="25" xr3:uid="{561876F1-4F7A-4501-BE6D-E818FCD11BCA}" name="Day 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5.xm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1.xml"/><Relationship Id="rId5" Type="http://schemas.openxmlformats.org/officeDocument/2006/relationships/comments" Target="../comments5.xml"/><Relationship Id="rId4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https://www.scrumalliance.org/community/articles/2007/march/glossary-of-scrum-ter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5E0B4"/>
  </sheetPr>
  <dimension ref="B5:O41"/>
  <sheetViews>
    <sheetView showGridLines="0" zoomScale="82" zoomScaleNormal="82" workbookViewId="0">
      <selection activeCell="O35" sqref="O35"/>
    </sheetView>
  </sheetViews>
  <sheetFormatPr defaultColWidth="8.85546875" defaultRowHeight="13.15"/>
  <cols>
    <col min="1" max="1" width="5.140625" style="1" customWidth="1"/>
    <col min="2" max="2" width="15" style="1" customWidth="1"/>
    <col min="3" max="3" width="48.85546875" style="1" customWidth="1"/>
    <col min="4" max="4" width="15.5703125" style="1" customWidth="1"/>
    <col min="5" max="5" width="19.7109375" style="1" customWidth="1"/>
    <col min="6" max="6" width="26.42578125" style="1" customWidth="1"/>
    <col min="7" max="7" width="35" style="1" customWidth="1"/>
    <col min="8" max="9" width="8.85546875" style="1"/>
    <col min="10" max="11" width="12.7109375" style="1" customWidth="1"/>
    <col min="12" max="12" width="13.7109375" style="1" customWidth="1"/>
    <col min="13" max="14" width="12.5703125" style="1" customWidth="1"/>
    <col min="15" max="15" width="36.5703125" style="1" customWidth="1"/>
    <col min="16" max="16384" width="8.85546875" style="1"/>
  </cols>
  <sheetData>
    <row r="5" spans="2:6" ht="18.75" customHeight="1">
      <c r="B5" s="2" t="s">
        <v>0</v>
      </c>
      <c r="C5" s="108"/>
      <c r="D5" s="108"/>
      <c r="E5" s="3"/>
      <c r="F5" s="108"/>
    </row>
    <row r="6" spans="2:6" ht="14.25" customHeight="1">
      <c r="B6" s="108"/>
      <c r="C6" s="108"/>
      <c r="D6" s="108"/>
      <c r="E6" s="3"/>
      <c r="F6" s="108"/>
    </row>
    <row r="7" spans="2:6" ht="14.25" customHeight="1">
      <c r="B7" s="4" t="s">
        <v>1</v>
      </c>
      <c r="C7" s="5" t="s">
        <v>2</v>
      </c>
      <c r="D7" s="108"/>
      <c r="E7" s="108"/>
      <c r="F7" s="108"/>
    </row>
    <row r="8" spans="2:6" ht="14.25" customHeight="1">
      <c r="B8" s="6" t="s">
        <v>3</v>
      </c>
      <c r="C8" s="5" t="s">
        <v>4</v>
      </c>
      <c r="D8" s="108"/>
      <c r="E8" s="108"/>
      <c r="F8" s="108"/>
    </row>
    <row r="10" spans="2:6" ht="14.25" customHeight="1">
      <c r="B10" s="7" t="s">
        <v>5</v>
      </c>
      <c r="C10" s="107"/>
      <c r="D10" s="108"/>
      <c r="E10" s="8" t="s">
        <v>6</v>
      </c>
      <c r="F10" s="9" t="s">
        <v>7</v>
      </c>
    </row>
    <row r="11" spans="2:6" ht="12.75" customHeight="1">
      <c r="B11" s="10" t="s">
        <v>8</v>
      </c>
      <c r="C11" s="5" t="s">
        <v>9</v>
      </c>
      <c r="D11" s="108"/>
      <c r="E11" s="11" t="s">
        <v>10</v>
      </c>
      <c r="F11" s="9" t="s">
        <v>11</v>
      </c>
    </row>
    <row r="12" spans="2:6" ht="12.75" customHeight="1">
      <c r="B12" s="10" t="s">
        <v>12</v>
      </c>
      <c r="C12" s="5" t="s">
        <v>9</v>
      </c>
      <c r="D12" s="108"/>
      <c r="E12" s="108"/>
      <c r="F12" s="108"/>
    </row>
    <row r="13" spans="2:6" ht="12.75" customHeight="1">
      <c r="B13" s="108"/>
      <c r="C13" s="5" t="s">
        <v>7</v>
      </c>
      <c r="D13" s="108"/>
      <c r="E13" s="108"/>
      <c r="F13" s="108"/>
    </row>
    <row r="14" spans="2:6" ht="12.75" customHeight="1">
      <c r="B14" s="108"/>
      <c r="C14" s="5" t="s">
        <v>13</v>
      </c>
      <c r="D14" s="108"/>
      <c r="E14" s="108"/>
      <c r="F14" s="108"/>
    </row>
    <row r="15" spans="2:6" ht="12.75" customHeight="1">
      <c r="B15" s="108"/>
      <c r="C15" s="5" t="s">
        <v>14</v>
      </c>
      <c r="D15" s="108"/>
      <c r="E15" s="108"/>
      <c r="F15" s="108"/>
    </row>
    <row r="16" spans="2:6" ht="12.75" customHeight="1">
      <c r="B16" s="108"/>
      <c r="C16" s="12" t="s">
        <v>15</v>
      </c>
      <c r="D16" s="108"/>
      <c r="E16" s="108"/>
      <c r="F16" s="108"/>
    </row>
    <row r="21" spans="2:15" ht="14.25" customHeight="1">
      <c r="B21" s="13" t="s">
        <v>16</v>
      </c>
      <c r="C21" s="108"/>
      <c r="D21" s="108"/>
      <c r="E21" s="108"/>
      <c r="F21" s="108"/>
      <c r="G21" s="108"/>
      <c r="H21" s="108"/>
      <c r="I21" s="13" t="s">
        <v>17</v>
      </c>
      <c r="J21" s="108"/>
      <c r="K21" s="14"/>
      <c r="L21" s="108"/>
      <c r="M21" s="108"/>
      <c r="N21" s="108"/>
      <c r="O21" s="108"/>
    </row>
    <row r="22" spans="2:15" ht="25.5" customHeight="1">
      <c r="B22" s="15" t="s">
        <v>18</v>
      </c>
      <c r="C22" s="15" t="s">
        <v>19</v>
      </c>
      <c r="D22" s="15" t="s">
        <v>20</v>
      </c>
      <c r="E22" s="15" t="s">
        <v>21</v>
      </c>
      <c r="F22" s="15" t="s">
        <v>22</v>
      </c>
      <c r="G22" s="15" t="s">
        <v>23</v>
      </c>
      <c r="H22" s="16"/>
      <c r="I22" s="17" t="s">
        <v>24</v>
      </c>
      <c r="J22" s="17" t="s">
        <v>20</v>
      </c>
      <c r="K22" s="17" t="s">
        <v>21</v>
      </c>
      <c r="L22" s="17" t="s">
        <v>22</v>
      </c>
      <c r="M22" s="17" t="s">
        <v>25</v>
      </c>
      <c r="N22" s="17" t="s">
        <v>26</v>
      </c>
      <c r="O22" s="17" t="s">
        <v>23</v>
      </c>
    </row>
    <row r="23" spans="2:15" ht="12.75" customHeight="1">
      <c r="B23" s="5">
        <v>1</v>
      </c>
      <c r="C23" s="5" t="s">
        <v>27</v>
      </c>
      <c r="D23" s="18">
        <v>46275</v>
      </c>
      <c r="E23" s="18">
        <v>46362</v>
      </c>
      <c r="F23" s="5" t="s">
        <v>28</v>
      </c>
      <c r="G23" s="19" t="s">
        <v>29</v>
      </c>
      <c r="H23" s="108"/>
      <c r="I23" s="20" t="s">
        <v>30</v>
      </c>
      <c r="J23" s="18">
        <v>46279</v>
      </c>
      <c r="K23" s="18">
        <f t="shared" ref="K23:K28" si="0">J23+13</f>
        <v>46292</v>
      </c>
      <c r="L23" s="5" t="s">
        <v>31</v>
      </c>
      <c r="M23" s="5">
        <f>'Sprint 1 Backlog'!G23</f>
        <v>214</v>
      </c>
      <c r="N23" s="5"/>
      <c r="O23" s="5"/>
    </row>
    <row r="24" spans="2:15" s="21" customFormat="1" ht="12.75" customHeight="1">
      <c r="B24" s="5">
        <v>2</v>
      </c>
      <c r="C24" s="22" t="s">
        <v>32</v>
      </c>
      <c r="D24" s="18">
        <v>46275</v>
      </c>
      <c r="E24" s="18">
        <v>46382</v>
      </c>
      <c r="F24" s="5" t="s">
        <v>28</v>
      </c>
      <c r="G24" s="23"/>
      <c r="H24" s="108"/>
      <c r="I24" s="20" t="s">
        <v>33</v>
      </c>
      <c r="J24" s="18">
        <f>K23+1</f>
        <v>46293</v>
      </c>
      <c r="K24" s="18">
        <f t="shared" si="0"/>
        <v>46306</v>
      </c>
      <c r="L24" s="5" t="s">
        <v>31</v>
      </c>
      <c r="M24" s="5">
        <f>'Sprint 2 Backlog'!G31</f>
        <v>4</v>
      </c>
      <c r="N24" s="5"/>
      <c r="O24" s="5"/>
    </row>
    <row r="25" spans="2:15" ht="12.75" customHeight="1">
      <c r="B25" s="22"/>
      <c r="C25" s="22"/>
      <c r="D25" s="5"/>
      <c r="E25" s="5"/>
      <c r="F25" s="5"/>
      <c r="G25" s="23"/>
      <c r="H25" s="108"/>
      <c r="I25" s="20" t="s">
        <v>34</v>
      </c>
      <c r="J25" s="18">
        <f>K24+1</f>
        <v>46307</v>
      </c>
      <c r="K25" s="18">
        <f t="shared" si="0"/>
        <v>46320</v>
      </c>
      <c r="L25" s="5" t="s">
        <v>31</v>
      </c>
      <c r="M25" s="5">
        <f>'Sprint 3 Backlog'!G38</f>
        <v>235</v>
      </c>
      <c r="N25" s="5"/>
      <c r="O25" s="5"/>
    </row>
    <row r="26" spans="2:15" ht="12.75" customHeight="1">
      <c r="B26" s="22"/>
      <c r="C26" s="22"/>
      <c r="D26" s="5"/>
      <c r="E26" s="5"/>
      <c r="F26" s="5"/>
      <c r="G26" s="23"/>
      <c r="H26" s="108"/>
      <c r="I26" s="20" t="s">
        <v>35</v>
      </c>
      <c r="J26" s="18">
        <f>K25+1</f>
        <v>46321</v>
      </c>
      <c r="K26" s="18">
        <f t="shared" si="0"/>
        <v>46334</v>
      </c>
      <c r="L26" s="5" t="s">
        <v>31</v>
      </c>
      <c r="M26" s="5">
        <f>'Sprint 4 Backlog'!G35</f>
        <v>236</v>
      </c>
      <c r="N26" s="5"/>
      <c r="O26" s="5"/>
    </row>
    <row r="27" spans="2:15" ht="12.75" customHeight="1">
      <c r="B27" s="22"/>
      <c r="C27" s="22"/>
      <c r="D27" s="5"/>
      <c r="E27" s="5"/>
      <c r="F27" s="5"/>
      <c r="G27" s="23"/>
      <c r="H27" s="108"/>
      <c r="I27" s="20" t="s">
        <v>36</v>
      </c>
      <c r="J27" s="18">
        <f>K26+1</f>
        <v>46335</v>
      </c>
      <c r="K27" s="18">
        <f t="shared" si="0"/>
        <v>46348</v>
      </c>
      <c r="L27" s="5" t="s">
        <v>31</v>
      </c>
      <c r="M27" s="5">
        <f>'Sprint 5 Backlog'!G34</f>
        <v>238</v>
      </c>
      <c r="N27" s="5"/>
      <c r="O27" s="5"/>
    </row>
    <row r="28" spans="2:15" ht="12.75" customHeight="1">
      <c r="B28" s="22"/>
      <c r="C28" s="22"/>
      <c r="D28" s="5"/>
      <c r="E28" s="5"/>
      <c r="F28" s="5"/>
      <c r="G28" s="23"/>
      <c r="H28" s="108"/>
      <c r="I28" s="5" t="s">
        <v>37</v>
      </c>
      <c r="J28" s="18">
        <f>K27+1</f>
        <v>46349</v>
      </c>
      <c r="K28" s="18">
        <f t="shared" si="0"/>
        <v>46362</v>
      </c>
      <c r="L28" s="5" t="s">
        <v>31</v>
      </c>
      <c r="M28" s="5">
        <f>'Sprint 6 Backlog'!G29</f>
        <v>250</v>
      </c>
      <c r="N28" s="5"/>
      <c r="O28" s="5"/>
    </row>
    <row r="29" spans="2:15" ht="12.75" customHeight="1">
      <c r="B29" s="22"/>
      <c r="C29" s="22"/>
      <c r="D29" s="5"/>
      <c r="E29" s="5"/>
      <c r="F29" s="5"/>
      <c r="G29" s="23"/>
      <c r="H29" s="108"/>
      <c r="I29" s="22"/>
      <c r="J29" s="18"/>
      <c r="K29" s="18"/>
      <c r="L29" s="5"/>
      <c r="M29" s="5"/>
      <c r="N29" s="5"/>
      <c r="O29" s="5"/>
    </row>
    <row r="30" spans="2:15" ht="12.75" customHeight="1">
      <c r="B30" s="22"/>
      <c r="C30" s="22"/>
      <c r="D30" s="5"/>
      <c r="E30" s="5"/>
      <c r="F30" s="5"/>
      <c r="G30" s="23"/>
      <c r="H30" s="108"/>
      <c r="I30" s="22"/>
      <c r="J30" s="18"/>
      <c r="K30" s="18"/>
      <c r="L30" s="5"/>
      <c r="M30" s="5"/>
      <c r="N30" s="5"/>
      <c r="O30" s="5"/>
    </row>
    <row r="31" spans="2:15" ht="12.75" customHeight="1">
      <c r="B31" s="22"/>
      <c r="C31" s="22"/>
      <c r="D31" s="5"/>
      <c r="E31" s="5"/>
      <c r="F31" s="5"/>
      <c r="G31" s="23"/>
      <c r="H31" s="108"/>
      <c r="I31" s="22"/>
      <c r="J31" s="18"/>
      <c r="K31" s="18"/>
      <c r="L31" s="5"/>
      <c r="M31" s="5"/>
      <c r="N31" s="5"/>
      <c r="O31" s="5"/>
    </row>
    <row r="32" spans="2:15" ht="12.75" customHeight="1">
      <c r="B32" s="22"/>
      <c r="C32" s="22"/>
      <c r="D32" s="5"/>
      <c r="E32" s="5"/>
      <c r="F32" s="5"/>
      <c r="G32" s="23"/>
      <c r="H32" s="108"/>
      <c r="I32" s="22"/>
      <c r="J32" s="18"/>
      <c r="K32" s="18"/>
      <c r="L32" s="5"/>
      <c r="M32" s="5"/>
      <c r="N32" s="5"/>
      <c r="O32" s="5"/>
    </row>
    <row r="33" spans="2:15" ht="12.75" customHeight="1">
      <c r="B33" s="22"/>
      <c r="C33" s="22"/>
      <c r="D33" s="5"/>
      <c r="E33" s="5"/>
      <c r="F33" s="5"/>
      <c r="G33" s="23"/>
      <c r="H33" s="108"/>
      <c r="I33" s="22"/>
      <c r="J33" s="18"/>
      <c r="K33" s="18"/>
      <c r="L33" s="5"/>
      <c r="M33" s="5"/>
      <c r="N33" s="5"/>
      <c r="O33" s="5"/>
    </row>
    <row r="34" spans="2:15" ht="12.75" customHeight="1">
      <c r="B34" s="22"/>
      <c r="C34" s="22"/>
      <c r="D34" s="5"/>
      <c r="E34" s="5"/>
      <c r="F34" s="5"/>
      <c r="G34" s="23"/>
      <c r="H34" s="108"/>
      <c r="I34" s="22"/>
      <c r="J34" s="18"/>
      <c r="K34" s="18"/>
      <c r="L34" s="5"/>
      <c r="M34" s="5"/>
      <c r="N34" s="5"/>
      <c r="O34" s="5"/>
    </row>
    <row r="35" spans="2:15" ht="12.75" customHeight="1">
      <c r="B35" s="22"/>
      <c r="C35" s="22"/>
      <c r="D35" s="5"/>
      <c r="E35" s="5"/>
      <c r="F35" s="5"/>
      <c r="G35" s="23"/>
      <c r="H35" s="108"/>
      <c r="I35" s="22"/>
      <c r="J35" s="18"/>
      <c r="K35" s="18"/>
      <c r="L35" s="5"/>
      <c r="M35" s="5"/>
      <c r="N35" s="5"/>
      <c r="O35" s="5"/>
    </row>
    <row r="36" spans="2:15" ht="12.75" customHeight="1">
      <c r="B36" s="22"/>
      <c r="C36" s="22"/>
      <c r="D36" s="5"/>
      <c r="E36" s="5"/>
      <c r="F36" s="5"/>
      <c r="G36" s="23"/>
      <c r="H36" s="108"/>
      <c r="I36" s="22"/>
      <c r="J36" s="18"/>
      <c r="K36" s="18"/>
      <c r="L36" s="5"/>
      <c r="M36" s="5"/>
      <c r="N36" s="5"/>
      <c r="O36" s="5"/>
    </row>
    <row r="37" spans="2:15" ht="12.75" customHeight="1">
      <c r="B37" s="22"/>
      <c r="C37" s="22"/>
      <c r="D37" s="22"/>
      <c r="E37" s="22"/>
      <c r="F37" s="5"/>
      <c r="G37" s="23"/>
      <c r="H37" s="108"/>
      <c r="I37" s="22"/>
      <c r="J37" s="18"/>
      <c r="K37" s="18"/>
      <c r="L37" s="5"/>
      <c r="M37" s="5"/>
      <c r="N37" s="5"/>
      <c r="O37" s="5"/>
    </row>
    <row r="38" spans="2:15" ht="12.75" customHeight="1">
      <c r="B38" s="22"/>
      <c r="C38" s="22"/>
      <c r="D38" s="22"/>
      <c r="E38" s="22"/>
      <c r="F38" s="5"/>
      <c r="G38" s="23"/>
      <c r="H38" s="108"/>
      <c r="I38" s="22"/>
      <c r="J38" s="18"/>
      <c r="K38" s="18"/>
      <c r="L38" s="5"/>
      <c r="M38" s="5"/>
      <c r="N38" s="5"/>
      <c r="O38" s="5"/>
    </row>
    <row r="41" spans="2:15" ht="12.75" customHeight="1">
      <c r="B41" s="108"/>
      <c r="C41" s="108"/>
      <c r="D41" s="108"/>
      <c r="E41" s="108"/>
      <c r="F41" s="108"/>
      <c r="G41" s="24"/>
      <c r="H41" s="108"/>
      <c r="I41" s="108"/>
      <c r="J41" s="108"/>
      <c r="K41" s="108"/>
      <c r="L41" s="108"/>
      <c r="M41" s="108"/>
      <c r="N41" s="108"/>
      <c r="O41" s="108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CC2E5"/>
  </sheetPr>
  <dimension ref="A1:Z1001"/>
  <sheetViews>
    <sheetView showGridLines="0" zoomScaleNormal="100" workbookViewId="0">
      <pane xSplit="3" ySplit="7" topLeftCell="G8" activePane="bottomRight" state="frozen"/>
      <selection pane="bottomRight" activeCell="G45" sqref="G45"/>
      <selection pane="bottomLeft" activeCell="A20" sqref="A20"/>
      <selection pane="topRight" activeCell="G1" sqref="G1"/>
    </sheetView>
  </sheetViews>
  <sheetFormatPr defaultColWidth="14.42578125" defaultRowHeight="13.9"/>
  <cols>
    <col min="1" max="1" width="3.140625" customWidth="1"/>
    <col min="2" max="2" width="4.85546875" customWidth="1"/>
    <col min="3" max="3" width="49.140625" customWidth="1"/>
    <col min="4" max="4" width="12.140625" customWidth="1"/>
    <col min="5" max="5" width="68.7109375" customWidth="1"/>
    <col min="6" max="6" width="47" customWidth="1"/>
    <col min="7" max="7" width="85.140625" style="25" customWidth="1"/>
    <col min="8" max="8" width="21.7109375" hidden="1" customWidth="1"/>
    <col min="9" max="9" width="11.28515625" customWidth="1"/>
    <col min="10" max="10" width="11.28515625" hidden="1" customWidth="1"/>
    <col min="11" max="12" width="8.7109375" hidden="1" customWidth="1"/>
    <col min="13" max="13" width="8.7109375" customWidth="1"/>
    <col min="14" max="14" width="14.28515625" customWidth="1"/>
    <col min="15" max="15" width="14.28515625" hidden="1" customWidth="1"/>
    <col min="16" max="16" width="12" hidden="1" customWidth="1"/>
    <col min="17" max="17" width="8.7109375" hidden="1" customWidth="1"/>
    <col min="18" max="18" width="40.140625" customWidth="1"/>
    <col min="19" max="26" width="8.7109375" customWidth="1"/>
  </cols>
  <sheetData>
    <row r="1" spans="1:26" ht="13.5" customHeight="1">
      <c r="E1" s="26"/>
      <c r="F1" s="26"/>
      <c r="G1" s="27"/>
      <c r="H1" s="26"/>
    </row>
    <row r="2" spans="1:26" ht="13.5" customHeight="1">
      <c r="E2" s="26"/>
      <c r="F2" s="26"/>
      <c r="G2" s="27"/>
      <c r="H2" s="26"/>
    </row>
    <row r="3" spans="1:26" ht="13.5" customHeight="1">
      <c r="B3" s="108"/>
      <c r="C3" s="108"/>
      <c r="D3" s="108"/>
      <c r="E3" s="24"/>
      <c r="F3" s="24"/>
      <c r="G3" s="28"/>
      <c r="H3" s="24"/>
      <c r="I3" s="108"/>
      <c r="J3" s="108"/>
      <c r="K3" s="108"/>
      <c r="L3" s="108"/>
      <c r="M3" s="141"/>
      <c r="N3" s="108"/>
      <c r="O3" s="108"/>
      <c r="P3" s="108"/>
      <c r="Q3" s="108"/>
      <c r="R3" s="108"/>
    </row>
    <row r="4" spans="1:26" ht="13.5" customHeight="1">
      <c r="B4" s="108"/>
      <c r="C4" s="108"/>
      <c r="D4" s="108"/>
      <c r="E4" s="24"/>
      <c r="F4" s="24"/>
      <c r="G4" s="28"/>
      <c r="H4" s="24"/>
      <c r="I4" s="108"/>
      <c r="J4" s="142"/>
      <c r="K4" s="108"/>
      <c r="L4" s="108"/>
      <c r="M4" s="141"/>
      <c r="N4" s="108"/>
      <c r="O4" s="108"/>
      <c r="P4" s="108"/>
      <c r="Q4" s="108"/>
      <c r="R4" s="108"/>
    </row>
    <row r="5" spans="1:26" ht="21" customHeight="1">
      <c r="B5" s="29" t="s">
        <v>38</v>
      </c>
      <c r="C5" s="108"/>
      <c r="D5" s="108"/>
      <c r="E5" s="24"/>
      <c r="F5" s="24"/>
      <c r="G5" s="28"/>
      <c r="H5" s="24"/>
      <c r="I5" s="108"/>
      <c r="J5" s="142"/>
      <c r="K5" s="108"/>
      <c r="L5" s="108"/>
      <c r="M5" s="141"/>
      <c r="N5" s="108"/>
      <c r="O5" s="142"/>
      <c r="P5" s="108"/>
      <c r="Q5" s="108"/>
      <c r="R5" s="108"/>
    </row>
    <row r="6" spans="1:26" ht="13.5" customHeight="1">
      <c r="B6" s="108"/>
      <c r="C6" s="108"/>
      <c r="D6" s="108"/>
      <c r="E6" s="24"/>
      <c r="F6" s="24"/>
      <c r="G6" s="28"/>
      <c r="H6" s="24"/>
      <c r="I6" s="108"/>
      <c r="J6" s="142"/>
      <c r="K6" s="108"/>
      <c r="L6" s="108"/>
      <c r="M6" s="141"/>
      <c r="N6" s="108"/>
      <c r="O6" s="142"/>
      <c r="P6" s="108"/>
      <c r="Q6" s="108"/>
      <c r="R6" s="108"/>
    </row>
    <row r="7" spans="1:26" ht="13.5" customHeight="1">
      <c r="A7" s="30"/>
      <c r="B7" s="31" t="s">
        <v>18</v>
      </c>
      <c r="C7" s="31" t="s">
        <v>39</v>
      </c>
      <c r="D7" s="31" t="s">
        <v>40</v>
      </c>
      <c r="E7" s="31" t="s">
        <v>41</v>
      </c>
      <c r="F7" s="31" t="s">
        <v>42</v>
      </c>
      <c r="G7" s="32" t="s">
        <v>43</v>
      </c>
      <c r="H7" s="31" t="s">
        <v>23</v>
      </c>
      <c r="I7" s="31" t="s">
        <v>44</v>
      </c>
      <c r="J7" s="31" t="s">
        <v>22</v>
      </c>
      <c r="K7" s="33" t="s">
        <v>45</v>
      </c>
      <c r="L7" s="33" t="s">
        <v>46</v>
      </c>
      <c r="M7" s="34" t="s">
        <v>47</v>
      </c>
      <c r="N7" s="35" t="s">
        <v>48</v>
      </c>
      <c r="O7" s="34" t="s">
        <v>49</v>
      </c>
      <c r="P7" s="34" t="s">
        <v>50</v>
      </c>
      <c r="Q7" s="34" t="s">
        <v>22</v>
      </c>
      <c r="R7" s="34" t="s">
        <v>23</v>
      </c>
      <c r="S7" s="30"/>
      <c r="T7" s="30"/>
      <c r="U7" s="30"/>
      <c r="V7" s="30"/>
      <c r="W7" s="30"/>
      <c r="X7" s="30"/>
      <c r="Y7" s="30"/>
      <c r="Z7" s="30"/>
    </row>
    <row r="8" spans="1:26" s="36" customFormat="1" ht="58.5" customHeight="1">
      <c r="B8" s="37" t="s">
        <v>51</v>
      </c>
      <c r="C8" s="37" t="s">
        <v>52</v>
      </c>
      <c r="D8" s="38" t="s">
        <v>53</v>
      </c>
      <c r="E8" s="37" t="s">
        <v>54</v>
      </c>
      <c r="F8" s="37" t="s">
        <v>55</v>
      </c>
      <c r="G8" s="39" t="s">
        <v>56</v>
      </c>
      <c r="H8" s="37" t="s">
        <v>57</v>
      </c>
      <c r="I8" s="38">
        <v>1</v>
      </c>
      <c r="J8" s="38" t="s">
        <v>31</v>
      </c>
      <c r="K8" s="38" t="s">
        <v>58</v>
      </c>
      <c r="L8" s="38">
        <v>1</v>
      </c>
      <c r="M8" s="38">
        <v>1</v>
      </c>
      <c r="N8" s="38">
        <v>17</v>
      </c>
      <c r="O8" s="37"/>
      <c r="P8" s="37"/>
      <c r="Q8" s="37"/>
      <c r="R8" s="37"/>
    </row>
    <row r="9" spans="1:26" s="40" customFormat="1" ht="58.5" customHeight="1">
      <c r="B9" s="41" t="s">
        <v>59</v>
      </c>
      <c r="C9" s="41" t="s">
        <v>60</v>
      </c>
      <c r="D9" s="42" t="s">
        <v>53</v>
      </c>
      <c r="E9" s="41" t="s">
        <v>61</v>
      </c>
      <c r="F9" s="41" t="s">
        <v>62</v>
      </c>
      <c r="G9" s="43" t="s">
        <v>63</v>
      </c>
      <c r="H9" s="41"/>
      <c r="I9" s="42">
        <v>1</v>
      </c>
      <c r="J9" s="42" t="s">
        <v>31</v>
      </c>
      <c r="K9" s="42" t="s">
        <v>58</v>
      </c>
      <c r="L9" s="42">
        <v>1</v>
      </c>
      <c r="M9" s="42">
        <v>1</v>
      </c>
      <c r="N9" s="42">
        <v>16</v>
      </c>
      <c r="O9" s="41"/>
      <c r="P9" s="41"/>
      <c r="Q9" s="41"/>
      <c r="R9" s="41"/>
    </row>
    <row r="10" spans="1:26" s="40" customFormat="1" ht="58.5" customHeight="1">
      <c r="B10" s="41" t="s">
        <v>64</v>
      </c>
      <c r="C10" s="41" t="s">
        <v>65</v>
      </c>
      <c r="D10" s="42" t="s">
        <v>53</v>
      </c>
      <c r="E10" s="41" t="s">
        <v>66</v>
      </c>
      <c r="F10" s="41" t="s">
        <v>67</v>
      </c>
      <c r="G10" s="43" t="s">
        <v>68</v>
      </c>
      <c r="H10" s="41"/>
      <c r="I10" s="42">
        <v>1</v>
      </c>
      <c r="J10" s="42" t="s">
        <v>31</v>
      </c>
      <c r="K10" s="42" t="s">
        <v>58</v>
      </c>
      <c r="L10" s="42">
        <v>1</v>
      </c>
      <c r="M10" s="42">
        <v>3</v>
      </c>
      <c r="N10" s="42">
        <v>12</v>
      </c>
      <c r="O10" s="41"/>
      <c r="P10" s="41"/>
      <c r="Q10" s="41"/>
      <c r="R10" s="41"/>
    </row>
    <row r="11" spans="1:26" s="40" customFormat="1" ht="58.5" customHeight="1">
      <c r="B11" s="41" t="s">
        <v>69</v>
      </c>
      <c r="C11" s="41" t="s">
        <v>70</v>
      </c>
      <c r="D11" s="42" t="s">
        <v>71</v>
      </c>
      <c r="E11" s="41" t="s">
        <v>72</v>
      </c>
      <c r="F11" s="41" t="s">
        <v>73</v>
      </c>
      <c r="G11" s="43" t="s">
        <v>74</v>
      </c>
      <c r="H11" s="41"/>
      <c r="I11" s="42">
        <v>1</v>
      </c>
      <c r="J11" s="42" t="s">
        <v>31</v>
      </c>
      <c r="K11" s="42" t="s">
        <v>58</v>
      </c>
      <c r="L11" s="42">
        <v>1</v>
      </c>
      <c r="M11" s="42">
        <v>2</v>
      </c>
      <c r="N11" s="42">
        <v>14</v>
      </c>
      <c r="O11" s="41"/>
      <c r="P11" s="41"/>
      <c r="Q11" s="41"/>
      <c r="R11" s="41"/>
    </row>
    <row r="12" spans="1:26" s="40" customFormat="1" ht="58.5" customHeight="1">
      <c r="B12" s="41" t="s">
        <v>75</v>
      </c>
      <c r="C12" s="41" t="s">
        <v>76</v>
      </c>
      <c r="D12" s="42" t="s">
        <v>71</v>
      </c>
      <c r="E12" s="41" t="s">
        <v>77</v>
      </c>
      <c r="F12" s="41" t="s">
        <v>78</v>
      </c>
      <c r="G12" s="43" t="s">
        <v>79</v>
      </c>
      <c r="H12" s="41"/>
      <c r="I12" s="42">
        <v>1</v>
      </c>
      <c r="J12" s="42" t="s">
        <v>31</v>
      </c>
      <c r="K12" s="42" t="s">
        <v>58</v>
      </c>
      <c r="L12" s="42">
        <v>1</v>
      </c>
      <c r="M12" s="42">
        <v>2</v>
      </c>
      <c r="N12" s="42">
        <v>14</v>
      </c>
      <c r="O12" s="41"/>
      <c r="P12" s="41"/>
      <c r="Q12" s="41"/>
      <c r="R12" s="41"/>
    </row>
    <row r="13" spans="1:26" s="40" customFormat="1" ht="58.5" customHeight="1">
      <c r="B13" s="41" t="s">
        <v>80</v>
      </c>
      <c r="C13" s="41" t="s">
        <v>81</v>
      </c>
      <c r="D13" s="42" t="s">
        <v>71</v>
      </c>
      <c r="E13" s="44" t="s">
        <v>82</v>
      </c>
      <c r="F13" s="44" t="s">
        <v>83</v>
      </c>
      <c r="G13" s="43" t="s">
        <v>84</v>
      </c>
      <c r="H13" s="41" t="s">
        <v>85</v>
      </c>
      <c r="I13" s="42">
        <v>1</v>
      </c>
      <c r="J13" s="42" t="s">
        <v>31</v>
      </c>
      <c r="K13" s="42" t="s">
        <v>58</v>
      </c>
      <c r="L13" s="42">
        <v>1</v>
      </c>
      <c r="M13" s="42">
        <v>1</v>
      </c>
      <c r="N13" s="42">
        <v>34</v>
      </c>
      <c r="O13" s="41"/>
      <c r="P13" s="41"/>
      <c r="Q13" s="41"/>
      <c r="R13" s="41"/>
    </row>
    <row r="14" spans="1:26" s="40" customFormat="1" ht="58.5" customHeight="1">
      <c r="B14" s="41" t="s">
        <v>86</v>
      </c>
      <c r="C14" s="41" t="s">
        <v>87</v>
      </c>
      <c r="D14" s="42" t="s">
        <v>5</v>
      </c>
      <c r="E14" s="41" t="s">
        <v>88</v>
      </c>
      <c r="F14" s="44" t="s">
        <v>89</v>
      </c>
      <c r="G14" s="43" t="s">
        <v>90</v>
      </c>
      <c r="H14" s="41" t="s">
        <v>91</v>
      </c>
      <c r="I14" s="42">
        <v>1</v>
      </c>
      <c r="J14" s="42" t="s">
        <v>31</v>
      </c>
      <c r="K14" s="42" t="s">
        <v>92</v>
      </c>
      <c r="L14" s="42">
        <v>1</v>
      </c>
      <c r="M14" s="42">
        <v>4</v>
      </c>
      <c r="N14" s="42">
        <v>18</v>
      </c>
      <c r="O14" s="41"/>
      <c r="P14" s="41"/>
      <c r="Q14" s="41"/>
      <c r="R14" s="41"/>
    </row>
    <row r="15" spans="1:26" s="40" customFormat="1" ht="58.5" customHeight="1">
      <c r="B15" s="41" t="s">
        <v>93</v>
      </c>
      <c r="C15" s="41" t="s">
        <v>94</v>
      </c>
      <c r="D15" s="42" t="s">
        <v>5</v>
      </c>
      <c r="E15" s="44" t="s">
        <v>95</v>
      </c>
      <c r="F15" s="44" t="s">
        <v>96</v>
      </c>
      <c r="G15" s="43" t="s">
        <v>97</v>
      </c>
      <c r="H15" s="41"/>
      <c r="I15" s="42">
        <v>1</v>
      </c>
      <c r="J15" s="42" t="s">
        <v>31</v>
      </c>
      <c r="K15" s="42" t="s">
        <v>92</v>
      </c>
      <c r="L15" s="42">
        <v>1</v>
      </c>
      <c r="M15" s="42">
        <v>1</v>
      </c>
      <c r="N15" s="42">
        <v>23</v>
      </c>
      <c r="O15" s="41"/>
      <c r="P15" s="41"/>
      <c r="Q15" s="41"/>
      <c r="R15" s="41"/>
    </row>
    <row r="16" spans="1:26" s="40" customFormat="1" ht="58.5" customHeight="1">
      <c r="B16" s="41" t="s">
        <v>98</v>
      </c>
      <c r="C16" s="41" t="s">
        <v>99</v>
      </c>
      <c r="D16" s="42" t="s">
        <v>5</v>
      </c>
      <c r="E16" s="44" t="s">
        <v>100</v>
      </c>
      <c r="F16" s="44" t="s">
        <v>101</v>
      </c>
      <c r="G16" s="43" t="s">
        <v>102</v>
      </c>
      <c r="H16" s="41"/>
      <c r="I16" s="42">
        <v>1</v>
      </c>
      <c r="J16" s="42" t="s">
        <v>31</v>
      </c>
      <c r="K16" s="42" t="s">
        <v>92</v>
      </c>
      <c r="L16" s="42">
        <v>1</v>
      </c>
      <c r="M16" s="42">
        <v>2</v>
      </c>
      <c r="N16" s="42">
        <v>12</v>
      </c>
      <c r="O16" s="41"/>
      <c r="P16" s="41"/>
      <c r="Q16" s="41"/>
      <c r="R16" s="41"/>
    </row>
    <row r="17" spans="2:18" s="40" customFormat="1" ht="58.5" customHeight="1">
      <c r="B17" s="41" t="s">
        <v>103</v>
      </c>
      <c r="C17" s="41" t="s">
        <v>104</v>
      </c>
      <c r="D17" s="42" t="s">
        <v>53</v>
      </c>
      <c r="E17" s="44" t="s">
        <v>105</v>
      </c>
      <c r="F17" s="44" t="s">
        <v>106</v>
      </c>
      <c r="G17" s="43" t="s">
        <v>107</v>
      </c>
      <c r="H17" s="41" t="s">
        <v>108</v>
      </c>
      <c r="I17" s="42">
        <v>1</v>
      </c>
      <c r="J17" s="42" t="s">
        <v>31</v>
      </c>
      <c r="K17" s="42" t="s">
        <v>58</v>
      </c>
      <c r="L17" s="42">
        <v>1</v>
      </c>
      <c r="M17" s="42">
        <v>2</v>
      </c>
      <c r="N17" s="42">
        <v>18</v>
      </c>
      <c r="O17" s="41"/>
      <c r="P17" s="41"/>
      <c r="Q17" s="41"/>
      <c r="R17" s="41"/>
    </row>
    <row r="18" spans="2:18" s="40" customFormat="1" ht="58.5" customHeight="1">
      <c r="B18" s="41" t="s">
        <v>109</v>
      </c>
      <c r="C18" s="41" t="s">
        <v>110</v>
      </c>
      <c r="D18" s="42" t="s">
        <v>53</v>
      </c>
      <c r="E18" s="44" t="s">
        <v>111</v>
      </c>
      <c r="F18" s="44" t="s">
        <v>112</v>
      </c>
      <c r="G18" s="43" t="s">
        <v>113</v>
      </c>
      <c r="H18" s="41"/>
      <c r="I18" s="42">
        <v>1</v>
      </c>
      <c r="J18" s="42" t="s">
        <v>31</v>
      </c>
      <c r="K18" s="42" t="s">
        <v>58</v>
      </c>
      <c r="L18" s="42">
        <v>1</v>
      </c>
      <c r="M18" s="42">
        <v>2</v>
      </c>
      <c r="N18" s="42">
        <v>15</v>
      </c>
      <c r="O18" s="41"/>
      <c r="P18" s="41"/>
      <c r="Q18" s="41"/>
      <c r="R18" s="41"/>
    </row>
    <row r="19" spans="2:18" s="40" customFormat="1" ht="58.5" customHeight="1">
      <c r="B19" s="41" t="s">
        <v>114</v>
      </c>
      <c r="C19" s="41" t="s">
        <v>115</v>
      </c>
      <c r="D19" s="42" t="s">
        <v>53</v>
      </c>
      <c r="E19" s="41" t="s">
        <v>116</v>
      </c>
      <c r="F19" s="41" t="s">
        <v>117</v>
      </c>
      <c r="G19" s="43" t="s">
        <v>118</v>
      </c>
      <c r="H19" s="41"/>
      <c r="I19" s="42">
        <v>1</v>
      </c>
      <c r="J19" s="42" t="s">
        <v>31</v>
      </c>
      <c r="K19" s="42" t="s">
        <v>58</v>
      </c>
      <c r="L19" s="42">
        <v>1</v>
      </c>
      <c r="M19" s="42">
        <v>2</v>
      </c>
      <c r="N19" s="42">
        <v>24</v>
      </c>
      <c r="O19" s="41"/>
      <c r="P19" s="41"/>
      <c r="Q19" s="41"/>
      <c r="R19" s="41"/>
    </row>
    <row r="20" spans="2:18" s="40" customFormat="1" ht="58.5" customHeight="1">
      <c r="B20" s="41" t="s">
        <v>119</v>
      </c>
      <c r="C20" s="41" t="s">
        <v>120</v>
      </c>
      <c r="D20" s="42" t="s">
        <v>53</v>
      </c>
      <c r="E20" s="41" t="s">
        <v>121</v>
      </c>
      <c r="F20" s="41" t="s">
        <v>122</v>
      </c>
      <c r="G20" s="43" t="s">
        <v>123</v>
      </c>
      <c r="H20" s="41"/>
      <c r="I20" s="42">
        <v>1</v>
      </c>
      <c r="J20" s="42" t="s">
        <v>31</v>
      </c>
      <c r="K20" s="42" t="s">
        <v>58</v>
      </c>
      <c r="L20" s="42">
        <v>1</v>
      </c>
      <c r="M20" s="42">
        <v>2</v>
      </c>
      <c r="N20" s="42">
        <v>12</v>
      </c>
      <c r="O20" s="41"/>
      <c r="P20" s="41"/>
      <c r="Q20" s="41"/>
      <c r="R20" s="41"/>
    </row>
    <row r="21" spans="2:18" s="40" customFormat="1" ht="58.5" customHeight="1">
      <c r="B21" s="41" t="s">
        <v>124</v>
      </c>
      <c r="C21" s="41" t="s">
        <v>125</v>
      </c>
      <c r="D21" s="42" t="s">
        <v>53</v>
      </c>
      <c r="E21" s="41" t="s">
        <v>126</v>
      </c>
      <c r="F21" s="41" t="s">
        <v>127</v>
      </c>
      <c r="G21" s="43" t="s">
        <v>128</v>
      </c>
      <c r="H21" s="41"/>
      <c r="I21" s="42">
        <v>1</v>
      </c>
      <c r="J21" s="42" t="s">
        <v>31</v>
      </c>
      <c r="K21" s="42" t="s">
        <v>58</v>
      </c>
      <c r="L21" s="42">
        <v>1</v>
      </c>
      <c r="M21" s="42">
        <v>3</v>
      </c>
      <c r="N21" s="42">
        <v>12</v>
      </c>
      <c r="O21" s="41"/>
      <c r="P21" s="41"/>
      <c r="Q21" s="41"/>
      <c r="R21" s="41"/>
    </row>
    <row r="22" spans="2:18" s="40" customFormat="1" ht="58.5" customHeight="1">
      <c r="B22" s="41" t="s">
        <v>129</v>
      </c>
      <c r="C22" s="41" t="s">
        <v>130</v>
      </c>
      <c r="D22" s="42" t="s">
        <v>53</v>
      </c>
      <c r="E22" s="41" t="s">
        <v>131</v>
      </c>
      <c r="F22" s="41" t="s">
        <v>132</v>
      </c>
      <c r="G22" s="43" t="s">
        <v>133</v>
      </c>
      <c r="H22" s="41"/>
      <c r="I22" s="42">
        <v>2</v>
      </c>
      <c r="J22" s="42" t="s">
        <v>31</v>
      </c>
      <c r="K22" s="42" t="s">
        <v>58</v>
      </c>
      <c r="L22" s="42">
        <v>1</v>
      </c>
      <c r="M22" s="42">
        <v>3</v>
      </c>
      <c r="N22" s="42">
        <v>14</v>
      </c>
      <c r="O22" s="41"/>
      <c r="P22" s="41"/>
      <c r="Q22" s="41"/>
      <c r="R22" s="41"/>
    </row>
    <row r="23" spans="2:18" s="40" customFormat="1" ht="58.5" customHeight="1">
      <c r="B23" s="41" t="s">
        <v>134</v>
      </c>
      <c r="C23" s="41" t="s">
        <v>135</v>
      </c>
      <c r="D23" s="42" t="s">
        <v>53</v>
      </c>
      <c r="E23" s="41" t="s">
        <v>136</v>
      </c>
      <c r="F23" s="41" t="s">
        <v>137</v>
      </c>
      <c r="G23" s="43" t="s">
        <v>138</v>
      </c>
      <c r="H23" s="41"/>
      <c r="I23" s="42">
        <v>1</v>
      </c>
      <c r="J23" s="42" t="s">
        <v>31</v>
      </c>
      <c r="K23" s="42" t="s">
        <v>58</v>
      </c>
      <c r="L23" s="42">
        <v>1</v>
      </c>
      <c r="M23" s="42">
        <v>3</v>
      </c>
      <c r="N23" s="42">
        <v>10</v>
      </c>
      <c r="O23" s="41"/>
      <c r="P23" s="41"/>
      <c r="Q23" s="41"/>
      <c r="R23" s="41"/>
    </row>
    <row r="24" spans="2:18" s="40" customFormat="1" ht="58.5" customHeight="1">
      <c r="B24" s="41" t="s">
        <v>139</v>
      </c>
      <c r="C24" s="41" t="s">
        <v>140</v>
      </c>
      <c r="D24" s="42" t="s">
        <v>53</v>
      </c>
      <c r="E24" s="41" t="s">
        <v>141</v>
      </c>
      <c r="F24" s="41" t="s">
        <v>142</v>
      </c>
      <c r="G24" s="43" t="s">
        <v>143</v>
      </c>
      <c r="H24" s="41"/>
      <c r="I24" s="42">
        <v>2</v>
      </c>
      <c r="J24" s="42" t="s">
        <v>31</v>
      </c>
      <c r="K24" s="42" t="s">
        <v>58</v>
      </c>
      <c r="L24" s="42">
        <v>1</v>
      </c>
      <c r="M24" s="42">
        <v>3</v>
      </c>
      <c r="N24" s="42">
        <v>6</v>
      </c>
      <c r="O24" s="41"/>
      <c r="P24" s="41"/>
      <c r="Q24" s="41"/>
      <c r="R24" s="41"/>
    </row>
    <row r="25" spans="2:18" s="40" customFormat="1" ht="58.5" customHeight="1">
      <c r="B25" s="41" t="s">
        <v>144</v>
      </c>
      <c r="C25" s="41" t="s">
        <v>145</v>
      </c>
      <c r="D25" s="42" t="s">
        <v>53</v>
      </c>
      <c r="E25" s="41" t="s">
        <v>146</v>
      </c>
      <c r="F25" s="41" t="s">
        <v>147</v>
      </c>
      <c r="G25" s="43" t="s">
        <v>148</v>
      </c>
      <c r="H25" s="41"/>
      <c r="I25" s="42">
        <v>2</v>
      </c>
      <c r="J25" s="42" t="s">
        <v>31</v>
      </c>
      <c r="K25" s="42" t="s">
        <v>58</v>
      </c>
      <c r="L25" s="42">
        <v>1</v>
      </c>
      <c r="M25" s="42">
        <v>3</v>
      </c>
      <c r="N25" s="42">
        <v>6</v>
      </c>
      <c r="O25" s="41"/>
      <c r="P25" s="41"/>
      <c r="Q25" s="41"/>
      <c r="R25" s="41"/>
    </row>
    <row r="26" spans="2:18" s="40" customFormat="1" ht="58.5" customHeight="1">
      <c r="B26" s="41" t="s">
        <v>149</v>
      </c>
      <c r="C26" s="41" t="s">
        <v>150</v>
      </c>
      <c r="D26" s="42" t="s">
        <v>151</v>
      </c>
      <c r="E26" s="41" t="s">
        <v>152</v>
      </c>
      <c r="F26" s="41" t="s">
        <v>153</v>
      </c>
      <c r="G26" s="43" t="s">
        <v>154</v>
      </c>
      <c r="H26" s="41"/>
      <c r="I26" s="42">
        <v>2</v>
      </c>
      <c r="J26" s="42" t="s">
        <v>31</v>
      </c>
      <c r="K26" s="42" t="s">
        <v>58</v>
      </c>
      <c r="L26" s="42">
        <v>1</v>
      </c>
      <c r="M26" s="42">
        <v>3</v>
      </c>
      <c r="N26" s="42">
        <v>12</v>
      </c>
      <c r="O26" s="41"/>
      <c r="P26" s="41"/>
      <c r="Q26" s="41"/>
      <c r="R26" s="41"/>
    </row>
    <row r="27" spans="2:18" s="40" customFormat="1" ht="58.5" customHeight="1">
      <c r="B27" s="41" t="s">
        <v>155</v>
      </c>
      <c r="C27" s="41" t="s">
        <v>156</v>
      </c>
      <c r="D27" s="42" t="s">
        <v>151</v>
      </c>
      <c r="E27" s="41" t="s">
        <v>157</v>
      </c>
      <c r="F27" s="41" t="s">
        <v>158</v>
      </c>
      <c r="G27" s="43" t="s">
        <v>159</v>
      </c>
      <c r="H27" s="41"/>
      <c r="I27" s="42">
        <v>1</v>
      </c>
      <c r="J27" s="42" t="s">
        <v>31</v>
      </c>
      <c r="K27" s="42" t="s">
        <v>58</v>
      </c>
      <c r="L27" s="42">
        <v>1</v>
      </c>
      <c r="M27" s="42">
        <v>3</v>
      </c>
      <c r="N27" s="42">
        <v>26</v>
      </c>
      <c r="O27" s="41"/>
      <c r="P27" s="41"/>
      <c r="Q27" s="41"/>
      <c r="R27" s="41"/>
    </row>
    <row r="28" spans="2:18" s="40" customFormat="1" ht="58.5" customHeight="1">
      <c r="B28" s="41" t="s">
        <v>160</v>
      </c>
      <c r="C28" s="41" t="s">
        <v>125</v>
      </c>
      <c r="D28" s="42" t="s">
        <v>151</v>
      </c>
      <c r="E28" s="41" t="s">
        <v>161</v>
      </c>
      <c r="F28" s="41" t="s">
        <v>162</v>
      </c>
      <c r="G28" s="43" t="s">
        <v>163</v>
      </c>
      <c r="H28" s="41"/>
      <c r="I28" s="42">
        <v>1</v>
      </c>
      <c r="J28" s="42" t="s">
        <v>31</v>
      </c>
      <c r="K28" s="42" t="s">
        <v>58</v>
      </c>
      <c r="L28" s="42">
        <v>1</v>
      </c>
      <c r="M28" s="42">
        <v>3</v>
      </c>
      <c r="N28" s="42">
        <v>10</v>
      </c>
      <c r="O28" s="41"/>
      <c r="P28" s="41"/>
      <c r="Q28" s="41"/>
      <c r="R28" s="41"/>
    </row>
    <row r="29" spans="2:18" s="40" customFormat="1" ht="58.5" customHeight="1">
      <c r="B29" s="45" t="s">
        <v>164</v>
      </c>
      <c r="C29" s="45" t="s">
        <v>165</v>
      </c>
      <c r="D29" s="42" t="s">
        <v>151</v>
      </c>
      <c r="E29" s="45" t="s">
        <v>166</v>
      </c>
      <c r="F29" s="45" t="s">
        <v>167</v>
      </c>
      <c r="G29" s="39" t="s">
        <v>168</v>
      </c>
      <c r="H29" s="45"/>
      <c r="I29" s="42">
        <v>2</v>
      </c>
      <c r="J29" s="42" t="s">
        <v>31</v>
      </c>
      <c r="K29" s="42" t="s">
        <v>58</v>
      </c>
      <c r="L29" s="42">
        <v>1</v>
      </c>
      <c r="M29" s="42">
        <v>5</v>
      </c>
      <c r="N29" s="42">
        <v>24</v>
      </c>
      <c r="O29" s="45"/>
      <c r="P29" s="45"/>
      <c r="Q29" s="45"/>
      <c r="R29" s="45"/>
    </row>
    <row r="30" spans="2:18" s="40" customFormat="1" ht="58.5" customHeight="1">
      <c r="B30" s="45" t="s">
        <v>169</v>
      </c>
      <c r="C30" s="45" t="s">
        <v>170</v>
      </c>
      <c r="D30" s="42" t="s">
        <v>53</v>
      </c>
      <c r="E30" s="45" t="s">
        <v>171</v>
      </c>
      <c r="F30" s="45" t="s">
        <v>172</v>
      </c>
      <c r="G30" s="39" t="s">
        <v>173</v>
      </c>
      <c r="H30" s="45"/>
      <c r="I30" s="42">
        <v>1</v>
      </c>
      <c r="J30" s="42" t="s">
        <v>31</v>
      </c>
      <c r="K30" s="42" t="s">
        <v>58</v>
      </c>
      <c r="L30" s="42">
        <v>1</v>
      </c>
      <c r="M30" s="42">
        <v>3</v>
      </c>
      <c r="N30" s="42">
        <v>12</v>
      </c>
      <c r="O30" s="45"/>
      <c r="P30" s="45"/>
      <c r="Q30" s="45"/>
      <c r="R30" s="45"/>
    </row>
    <row r="31" spans="2:18" s="40" customFormat="1" ht="58.5" customHeight="1">
      <c r="B31" s="45" t="s">
        <v>174</v>
      </c>
      <c r="C31" s="45" t="s">
        <v>175</v>
      </c>
      <c r="D31" s="42" t="s">
        <v>53</v>
      </c>
      <c r="E31" s="45" t="s">
        <v>176</v>
      </c>
      <c r="F31" s="45" t="s">
        <v>177</v>
      </c>
      <c r="G31" s="39" t="s">
        <v>178</v>
      </c>
      <c r="H31" s="45"/>
      <c r="I31" s="42">
        <v>1</v>
      </c>
      <c r="J31" s="42" t="s">
        <v>31</v>
      </c>
      <c r="K31" s="42" t="s">
        <v>58</v>
      </c>
      <c r="L31" s="42">
        <v>1</v>
      </c>
      <c r="M31" s="42">
        <v>4</v>
      </c>
      <c r="N31" s="42">
        <v>21</v>
      </c>
      <c r="O31" s="45"/>
      <c r="P31" s="45"/>
      <c r="Q31" s="45"/>
      <c r="R31" s="45"/>
    </row>
    <row r="32" spans="2:18" s="40" customFormat="1" ht="58.5" customHeight="1">
      <c r="B32" s="45" t="s">
        <v>179</v>
      </c>
      <c r="C32" s="45" t="s">
        <v>180</v>
      </c>
      <c r="D32" s="42" t="s">
        <v>53</v>
      </c>
      <c r="E32" s="45" t="s">
        <v>181</v>
      </c>
      <c r="F32" s="45" t="s">
        <v>182</v>
      </c>
      <c r="G32" s="39" t="s">
        <v>183</v>
      </c>
      <c r="H32" s="45"/>
      <c r="I32" s="42">
        <v>1</v>
      </c>
      <c r="J32" s="42" t="s">
        <v>31</v>
      </c>
      <c r="K32" s="42" t="s">
        <v>58</v>
      </c>
      <c r="L32" s="42">
        <v>1</v>
      </c>
      <c r="M32" s="42">
        <v>4</v>
      </c>
      <c r="N32" s="42">
        <v>17</v>
      </c>
      <c r="O32" s="45"/>
      <c r="P32" s="45"/>
      <c r="Q32" s="45"/>
      <c r="R32" s="45"/>
    </row>
    <row r="33" spans="2:18" s="40" customFormat="1" ht="58.5" customHeight="1">
      <c r="B33" s="45" t="s">
        <v>184</v>
      </c>
      <c r="C33" s="45" t="s">
        <v>185</v>
      </c>
      <c r="D33" s="42" t="s">
        <v>151</v>
      </c>
      <c r="E33" s="45" t="s">
        <v>186</v>
      </c>
      <c r="F33" s="45" t="s">
        <v>187</v>
      </c>
      <c r="G33" s="39" t="s">
        <v>188</v>
      </c>
      <c r="H33" s="45"/>
      <c r="I33" s="42">
        <v>2</v>
      </c>
      <c r="J33" s="42" t="s">
        <v>31</v>
      </c>
      <c r="K33" s="42" t="s">
        <v>58</v>
      </c>
      <c r="L33" s="42">
        <v>1</v>
      </c>
      <c r="M33" s="42">
        <v>5</v>
      </c>
      <c r="N33" s="42">
        <v>8</v>
      </c>
      <c r="O33" s="45"/>
      <c r="P33" s="45"/>
      <c r="Q33" s="45"/>
      <c r="R33" s="45"/>
    </row>
    <row r="34" spans="2:18" s="40" customFormat="1" ht="58.5" customHeight="1">
      <c r="B34" s="45" t="s">
        <v>189</v>
      </c>
      <c r="C34" s="45" t="s">
        <v>190</v>
      </c>
      <c r="D34" s="42" t="s">
        <v>151</v>
      </c>
      <c r="E34" s="45" t="s">
        <v>191</v>
      </c>
      <c r="F34" s="45" t="s">
        <v>192</v>
      </c>
      <c r="G34" s="39" t="s">
        <v>193</v>
      </c>
      <c r="H34" s="45"/>
      <c r="I34" s="42">
        <v>2</v>
      </c>
      <c r="J34" s="42" t="s">
        <v>31</v>
      </c>
      <c r="K34" s="42" t="s">
        <v>58</v>
      </c>
      <c r="L34" s="42">
        <v>1</v>
      </c>
      <c r="M34" s="42">
        <v>5</v>
      </c>
      <c r="N34" s="42">
        <v>14</v>
      </c>
      <c r="O34" s="45"/>
      <c r="P34" s="45"/>
      <c r="Q34" s="45"/>
      <c r="R34" s="45"/>
    </row>
    <row r="35" spans="2:18" ht="58.5" customHeight="1">
      <c r="B35" s="45" t="s">
        <v>194</v>
      </c>
      <c r="C35" s="45" t="s">
        <v>195</v>
      </c>
      <c r="D35" s="42" t="s">
        <v>151</v>
      </c>
      <c r="E35" s="45" t="s">
        <v>196</v>
      </c>
      <c r="F35" s="39" t="s">
        <v>197</v>
      </c>
      <c r="G35" s="46" t="s">
        <v>193</v>
      </c>
      <c r="H35" s="42"/>
      <c r="I35" s="42">
        <v>2</v>
      </c>
      <c r="J35" s="42" t="s">
        <v>31</v>
      </c>
      <c r="K35" s="42" t="s">
        <v>58</v>
      </c>
      <c r="L35" s="42">
        <v>1</v>
      </c>
      <c r="M35" s="42">
        <v>5</v>
      </c>
      <c r="N35" s="42">
        <v>12</v>
      </c>
      <c r="O35" s="45"/>
      <c r="P35" s="45"/>
      <c r="Q35" s="45"/>
      <c r="R35" s="45"/>
    </row>
    <row r="36" spans="2:18" ht="58.5" customHeight="1">
      <c r="B36" s="45" t="s">
        <v>198</v>
      </c>
      <c r="C36" s="45" t="s">
        <v>199</v>
      </c>
      <c r="D36" s="42" t="s">
        <v>5</v>
      </c>
      <c r="E36" s="45" t="s">
        <v>200</v>
      </c>
      <c r="F36" s="39" t="s">
        <v>201</v>
      </c>
      <c r="G36" s="46" t="s">
        <v>202</v>
      </c>
      <c r="H36" s="42" t="s">
        <v>203</v>
      </c>
      <c r="I36" s="42">
        <v>1</v>
      </c>
      <c r="J36" s="42" t="s">
        <v>31</v>
      </c>
      <c r="K36" s="42" t="s">
        <v>92</v>
      </c>
      <c r="L36" s="42">
        <v>1</v>
      </c>
      <c r="M36" s="42">
        <v>1</v>
      </c>
      <c r="N36" s="42">
        <v>27</v>
      </c>
      <c r="O36" s="45"/>
      <c r="P36" s="45"/>
      <c r="Q36" s="45"/>
      <c r="R36" s="45"/>
    </row>
    <row r="37" spans="2:18" ht="58.5" customHeight="1">
      <c r="B37" s="45" t="s">
        <v>204</v>
      </c>
      <c r="C37" s="45" t="s">
        <v>205</v>
      </c>
      <c r="D37" s="42" t="s">
        <v>5</v>
      </c>
      <c r="E37" s="45" t="s">
        <v>206</v>
      </c>
      <c r="F37" s="39" t="s">
        <v>207</v>
      </c>
      <c r="G37" s="46" t="s">
        <v>208</v>
      </c>
      <c r="H37" s="42"/>
      <c r="I37" s="42">
        <v>1</v>
      </c>
      <c r="J37" s="42" t="s">
        <v>31</v>
      </c>
      <c r="K37" s="42" t="s">
        <v>92</v>
      </c>
      <c r="L37" s="42">
        <v>1</v>
      </c>
      <c r="M37" s="42">
        <v>4</v>
      </c>
      <c r="N37" s="42">
        <v>17</v>
      </c>
      <c r="O37" s="45"/>
      <c r="P37" s="45"/>
      <c r="Q37" s="45"/>
      <c r="R37" s="45"/>
    </row>
    <row r="38" spans="2:18" ht="58.5" customHeight="1">
      <c r="B38" s="45" t="s">
        <v>209</v>
      </c>
      <c r="C38" s="45" t="s">
        <v>210</v>
      </c>
      <c r="D38" s="42" t="s">
        <v>53</v>
      </c>
      <c r="E38" s="45" t="s">
        <v>211</v>
      </c>
      <c r="F38" s="39" t="s">
        <v>212</v>
      </c>
      <c r="G38" s="46" t="s">
        <v>213</v>
      </c>
      <c r="H38" s="42" t="s">
        <v>214</v>
      </c>
      <c r="I38" s="42">
        <v>1</v>
      </c>
      <c r="J38" s="42" t="s">
        <v>31</v>
      </c>
      <c r="K38" s="42" t="s">
        <v>58</v>
      </c>
      <c r="L38" s="42">
        <v>1</v>
      </c>
      <c r="M38" s="42">
        <v>4</v>
      </c>
      <c r="N38" s="42">
        <v>52</v>
      </c>
      <c r="O38" s="45"/>
      <c r="P38" s="45"/>
      <c r="Q38" s="45"/>
      <c r="R38" s="45"/>
    </row>
    <row r="39" spans="2:18" ht="58.5" customHeight="1">
      <c r="B39" s="45" t="s">
        <v>215</v>
      </c>
      <c r="C39" s="45" t="s">
        <v>216</v>
      </c>
      <c r="D39" s="42" t="s">
        <v>53</v>
      </c>
      <c r="E39" s="45" t="s">
        <v>217</v>
      </c>
      <c r="F39" s="39" t="s">
        <v>218</v>
      </c>
      <c r="G39" s="46" t="s">
        <v>219</v>
      </c>
      <c r="H39" s="42"/>
      <c r="I39" s="42">
        <v>1</v>
      </c>
      <c r="J39" s="42" t="s">
        <v>31</v>
      </c>
      <c r="K39" s="42" t="s">
        <v>58</v>
      </c>
      <c r="L39" s="42">
        <v>1</v>
      </c>
      <c r="M39" s="42">
        <v>5</v>
      </c>
      <c r="N39" s="42">
        <v>9</v>
      </c>
      <c r="O39" s="45"/>
      <c r="P39" s="45"/>
      <c r="Q39" s="45"/>
      <c r="R39" s="45"/>
    </row>
    <row r="40" spans="2:18" ht="58.5" customHeight="1">
      <c r="B40" s="45" t="s">
        <v>220</v>
      </c>
      <c r="C40" s="45" t="s">
        <v>221</v>
      </c>
      <c r="D40" s="42" t="s">
        <v>53</v>
      </c>
      <c r="E40" s="45" t="s">
        <v>222</v>
      </c>
      <c r="F40" s="39" t="s">
        <v>223</v>
      </c>
      <c r="G40" s="46" t="s">
        <v>224</v>
      </c>
      <c r="H40" s="42" t="s">
        <v>225</v>
      </c>
      <c r="I40" s="42">
        <v>2</v>
      </c>
      <c r="J40" s="42" t="s">
        <v>31</v>
      </c>
      <c r="K40" s="42" t="s">
        <v>58</v>
      </c>
      <c r="L40" s="42">
        <v>1</v>
      </c>
      <c r="M40" s="42">
        <v>6</v>
      </c>
      <c r="N40" s="42">
        <v>21</v>
      </c>
      <c r="O40" s="45"/>
      <c r="P40" s="45"/>
      <c r="Q40" s="45"/>
      <c r="R40" s="45"/>
    </row>
    <row r="41" spans="2:18" ht="58.5" customHeight="1">
      <c r="B41" s="45" t="s">
        <v>226</v>
      </c>
      <c r="C41" s="45" t="s">
        <v>227</v>
      </c>
      <c r="D41" s="42" t="s">
        <v>53</v>
      </c>
      <c r="E41" s="45" t="s">
        <v>228</v>
      </c>
      <c r="F41" s="39" t="s">
        <v>229</v>
      </c>
      <c r="G41" s="46" t="s">
        <v>230</v>
      </c>
      <c r="H41" s="42"/>
      <c r="I41" s="42">
        <v>1</v>
      </c>
      <c r="J41" s="42" t="s">
        <v>31</v>
      </c>
      <c r="K41" s="42" t="s">
        <v>58</v>
      </c>
      <c r="L41" s="42">
        <v>1</v>
      </c>
      <c r="M41" s="42">
        <v>5</v>
      </c>
      <c r="N41" s="42">
        <v>14</v>
      </c>
      <c r="O41" s="45"/>
      <c r="P41" s="45"/>
      <c r="Q41" s="45"/>
      <c r="R41" s="45"/>
    </row>
    <row r="42" spans="2:18" ht="58.5" customHeight="1">
      <c r="B42" s="45" t="s">
        <v>231</v>
      </c>
      <c r="C42" s="45" t="s">
        <v>232</v>
      </c>
      <c r="D42" s="42" t="s">
        <v>71</v>
      </c>
      <c r="E42" s="45" t="s">
        <v>233</v>
      </c>
      <c r="F42" s="39" t="s">
        <v>234</v>
      </c>
      <c r="G42" s="46" t="s">
        <v>235</v>
      </c>
      <c r="H42" s="42"/>
      <c r="I42" s="42">
        <v>1</v>
      </c>
      <c r="J42" s="42" t="s">
        <v>31</v>
      </c>
      <c r="K42" s="42" t="s">
        <v>58</v>
      </c>
      <c r="L42" s="42">
        <v>1</v>
      </c>
      <c r="M42" s="42">
        <v>5</v>
      </c>
      <c r="N42" s="42">
        <v>15</v>
      </c>
      <c r="O42" s="45"/>
      <c r="P42" s="45"/>
      <c r="Q42" s="45"/>
      <c r="R42" s="45"/>
    </row>
    <row r="43" spans="2:18" ht="58.5" customHeight="1">
      <c r="B43" s="45" t="s">
        <v>236</v>
      </c>
      <c r="C43" s="45" t="s">
        <v>237</v>
      </c>
      <c r="D43" s="42" t="s">
        <v>71</v>
      </c>
      <c r="E43" s="45" t="s">
        <v>238</v>
      </c>
      <c r="F43" s="39" t="s">
        <v>239</v>
      </c>
      <c r="G43" s="46" t="s">
        <v>240</v>
      </c>
      <c r="H43" s="42"/>
      <c r="I43" s="42">
        <v>2</v>
      </c>
      <c r="J43" s="42" t="s">
        <v>31</v>
      </c>
      <c r="K43" s="42" t="s">
        <v>58</v>
      </c>
      <c r="L43" s="42">
        <v>1</v>
      </c>
      <c r="M43" s="42">
        <v>6</v>
      </c>
      <c r="N43" s="42">
        <v>12</v>
      </c>
      <c r="O43" s="45"/>
      <c r="P43" s="45"/>
      <c r="Q43" s="45"/>
      <c r="R43" s="45"/>
    </row>
    <row r="44" spans="2:18" ht="58.5" customHeight="1">
      <c r="B44" s="45" t="s">
        <v>241</v>
      </c>
      <c r="C44" s="45" t="s">
        <v>242</v>
      </c>
      <c r="D44" s="42" t="s">
        <v>53</v>
      </c>
      <c r="E44" s="45" t="s">
        <v>243</v>
      </c>
      <c r="F44" s="39" t="s">
        <v>244</v>
      </c>
      <c r="G44" s="106" t="s">
        <v>245</v>
      </c>
      <c r="H44" s="42"/>
      <c r="I44" s="42">
        <v>1</v>
      </c>
      <c r="J44" s="42" t="s">
        <v>31</v>
      </c>
      <c r="K44" s="42" t="s">
        <v>58</v>
      </c>
      <c r="L44" s="42">
        <v>1</v>
      </c>
      <c r="M44" s="42">
        <v>5</v>
      </c>
      <c r="N44" s="42">
        <v>29</v>
      </c>
      <c r="O44" s="45"/>
      <c r="P44" s="45"/>
      <c r="Q44" s="45"/>
      <c r="R44" s="45"/>
    </row>
    <row r="45" spans="2:18" ht="58.5" customHeight="1">
      <c r="B45" s="45" t="s">
        <v>246</v>
      </c>
      <c r="C45" s="45" t="s">
        <v>247</v>
      </c>
      <c r="D45" s="42" t="s">
        <v>151</v>
      </c>
      <c r="E45" s="45" t="s">
        <v>248</v>
      </c>
      <c r="F45" s="39" t="s">
        <v>249</v>
      </c>
      <c r="G45" s="45" t="s">
        <v>250</v>
      </c>
      <c r="H45" s="42"/>
      <c r="I45" s="42">
        <v>2</v>
      </c>
      <c r="J45" s="42" t="s">
        <v>31</v>
      </c>
      <c r="K45" s="42" t="s">
        <v>58</v>
      </c>
      <c r="L45" s="42">
        <v>1</v>
      </c>
      <c r="M45" s="42">
        <v>6</v>
      </c>
      <c r="N45" s="42">
        <v>8</v>
      </c>
      <c r="O45" s="45"/>
      <c r="P45" s="45"/>
      <c r="Q45" s="45"/>
      <c r="R45" s="45"/>
    </row>
    <row r="46" spans="2:18" ht="58.5" customHeight="1">
      <c r="B46" s="45" t="s">
        <v>251</v>
      </c>
      <c r="C46" s="45" t="s">
        <v>252</v>
      </c>
      <c r="D46" s="42" t="s">
        <v>71</v>
      </c>
      <c r="E46" s="45" t="s">
        <v>253</v>
      </c>
      <c r="F46" s="39" t="s">
        <v>254</v>
      </c>
      <c r="G46" s="46" t="s">
        <v>255</v>
      </c>
      <c r="H46" s="42" t="s">
        <v>256</v>
      </c>
      <c r="I46" s="42">
        <v>1</v>
      </c>
      <c r="J46" s="42" t="s">
        <v>31</v>
      </c>
      <c r="K46" s="42" t="s">
        <v>58</v>
      </c>
      <c r="L46" s="42">
        <v>1</v>
      </c>
      <c r="M46" s="42">
        <v>6</v>
      </c>
      <c r="N46" s="42">
        <v>25</v>
      </c>
      <c r="O46" s="45"/>
      <c r="P46" s="45"/>
      <c r="Q46" s="45"/>
      <c r="R46" s="45"/>
    </row>
    <row r="47" spans="2:18" ht="58.5" customHeight="1">
      <c r="B47" s="45" t="s">
        <v>257</v>
      </c>
      <c r="C47" s="45" t="s">
        <v>258</v>
      </c>
      <c r="D47" s="42" t="s">
        <v>71</v>
      </c>
      <c r="E47" s="45" t="s">
        <v>259</v>
      </c>
      <c r="F47" s="39" t="s">
        <v>260</v>
      </c>
      <c r="G47" s="46" t="s">
        <v>261</v>
      </c>
      <c r="H47" s="42"/>
      <c r="I47" s="42">
        <v>1</v>
      </c>
      <c r="J47" s="42" t="s">
        <v>31</v>
      </c>
      <c r="K47" s="42" t="s">
        <v>58</v>
      </c>
      <c r="L47" s="42">
        <v>1</v>
      </c>
      <c r="M47" s="42">
        <v>6</v>
      </c>
      <c r="N47" s="42">
        <v>16</v>
      </c>
      <c r="O47" s="45"/>
      <c r="P47" s="45"/>
      <c r="Q47" s="45"/>
      <c r="R47" s="45"/>
    </row>
    <row r="48" spans="2:18" ht="58.5" customHeight="1">
      <c r="B48" s="45" t="s">
        <v>262</v>
      </c>
      <c r="C48" s="45" t="s">
        <v>263</v>
      </c>
      <c r="D48" s="42" t="s">
        <v>5</v>
      </c>
      <c r="E48" s="45" t="s">
        <v>264</v>
      </c>
      <c r="F48" s="39" t="s">
        <v>265</v>
      </c>
      <c r="G48" s="46" t="s">
        <v>266</v>
      </c>
      <c r="H48" s="42"/>
      <c r="I48" s="42">
        <v>1</v>
      </c>
      <c r="J48" s="42" t="s">
        <v>31</v>
      </c>
      <c r="K48" s="42" t="s">
        <v>92</v>
      </c>
      <c r="L48" s="42">
        <v>1</v>
      </c>
      <c r="M48" s="42">
        <v>6</v>
      </c>
      <c r="N48" s="42">
        <v>46</v>
      </c>
      <c r="O48" s="45"/>
      <c r="P48" s="45"/>
      <c r="Q48" s="45"/>
      <c r="R48" s="45"/>
    </row>
    <row r="49" spans="5:14" ht="58.5" customHeight="1">
      <c r="E49" s="26"/>
      <c r="F49" s="26"/>
      <c r="G49" s="27"/>
      <c r="H49" s="26"/>
      <c r="M49" t="s">
        <v>267</v>
      </c>
      <c r="N49">
        <f>SUM(N7:N48)</f>
        <v>724</v>
      </c>
    </row>
    <row r="50" spans="5:14" ht="58.5" customHeight="1">
      <c r="E50" s="26"/>
      <c r="F50" s="26"/>
      <c r="G50" s="27"/>
      <c r="H50" s="26"/>
    </row>
    <row r="51" spans="5:14" ht="58.5" customHeight="1">
      <c r="E51" s="26"/>
      <c r="F51" s="26"/>
      <c r="G51" s="27"/>
      <c r="H51" s="26"/>
    </row>
    <row r="52" spans="5:14" ht="58.5" customHeight="1">
      <c r="E52" s="26"/>
      <c r="F52" s="26"/>
      <c r="G52" s="27"/>
      <c r="H52" s="26"/>
    </row>
    <row r="53" spans="5:14" ht="58.5" customHeight="1">
      <c r="E53" s="26"/>
      <c r="F53" s="26"/>
      <c r="G53" s="27"/>
      <c r="H53" s="26"/>
    </row>
    <row r="54" spans="5:14" ht="58.5" customHeight="1">
      <c r="E54" s="26"/>
      <c r="F54" s="26"/>
      <c r="G54" s="27"/>
      <c r="H54" s="26"/>
    </row>
    <row r="55" spans="5:14" ht="58.5" customHeight="1">
      <c r="E55" s="26"/>
      <c r="F55" s="26"/>
      <c r="G55" s="27"/>
      <c r="H55" s="26"/>
    </row>
    <row r="56" spans="5:14" ht="58.5" customHeight="1">
      <c r="E56" s="26"/>
      <c r="F56" s="26"/>
      <c r="G56" s="27"/>
      <c r="H56" s="26"/>
    </row>
    <row r="57" spans="5:14" ht="58.5" customHeight="1">
      <c r="E57" s="26"/>
      <c r="F57" s="26"/>
      <c r="G57" s="27"/>
      <c r="H57" s="26"/>
    </row>
    <row r="58" spans="5:14" ht="58.5" customHeight="1">
      <c r="E58" s="26"/>
      <c r="F58" s="26"/>
      <c r="G58" s="27"/>
      <c r="H58" s="26"/>
    </row>
    <row r="59" spans="5:14" ht="58.5" customHeight="1">
      <c r="E59" s="26"/>
      <c r="F59" s="26"/>
      <c r="G59" s="27"/>
      <c r="H59" s="26"/>
    </row>
    <row r="60" spans="5:14" ht="58.5" customHeight="1">
      <c r="E60" s="26"/>
      <c r="F60" s="26"/>
      <c r="G60" s="27"/>
      <c r="H60" s="26"/>
    </row>
    <row r="61" spans="5:14" ht="13.5" customHeight="1">
      <c r="E61" s="26"/>
      <c r="F61" s="26"/>
      <c r="G61" s="27"/>
      <c r="H61" s="26"/>
    </row>
    <row r="62" spans="5:14" ht="13.5" customHeight="1">
      <c r="E62" s="26"/>
      <c r="F62" s="26"/>
      <c r="G62" s="27"/>
      <c r="H62" s="26"/>
    </row>
    <row r="63" spans="5:14" ht="13.5" customHeight="1">
      <c r="E63" s="26"/>
      <c r="F63" s="26"/>
      <c r="G63" s="27"/>
      <c r="H63" s="26"/>
    </row>
    <row r="64" spans="5:14" ht="13.5" customHeight="1">
      <c r="E64" s="26"/>
      <c r="F64" s="26"/>
      <c r="G64" s="27"/>
      <c r="H64" s="26"/>
    </row>
    <row r="65" spans="5:8" ht="13.5" customHeight="1">
      <c r="E65" s="26"/>
      <c r="F65" s="26"/>
      <c r="G65" s="27"/>
      <c r="H65" s="26"/>
    </row>
    <row r="66" spans="5:8" ht="13.5" customHeight="1">
      <c r="E66" s="26"/>
      <c r="F66" s="26"/>
      <c r="G66" s="27"/>
      <c r="H66" s="26"/>
    </row>
    <row r="67" spans="5:8" ht="13.5" customHeight="1">
      <c r="E67" s="26"/>
      <c r="F67" s="26"/>
      <c r="G67" s="27"/>
      <c r="H67" s="26"/>
    </row>
    <row r="68" spans="5:8" ht="13.5" customHeight="1">
      <c r="E68" s="26"/>
      <c r="F68" s="26"/>
      <c r="G68" s="27"/>
      <c r="H68" s="26"/>
    </row>
    <row r="69" spans="5:8" ht="13.5" customHeight="1">
      <c r="E69" s="26"/>
      <c r="F69" s="26"/>
      <c r="G69" s="27"/>
      <c r="H69" s="26"/>
    </row>
    <row r="70" spans="5:8" ht="13.5" customHeight="1">
      <c r="E70" s="26"/>
      <c r="F70" s="26"/>
      <c r="G70" s="27"/>
      <c r="H70" s="26"/>
    </row>
    <row r="71" spans="5:8" ht="13.5" customHeight="1">
      <c r="E71" s="26"/>
      <c r="F71" s="26"/>
      <c r="G71" s="27"/>
      <c r="H71" s="26"/>
    </row>
    <row r="72" spans="5:8" ht="13.5" customHeight="1">
      <c r="E72" s="26"/>
      <c r="F72" s="26"/>
      <c r="G72" s="27"/>
      <c r="H72" s="26"/>
    </row>
    <row r="73" spans="5:8" ht="13.5" customHeight="1">
      <c r="E73" s="26"/>
      <c r="F73" s="26"/>
      <c r="G73" s="27"/>
      <c r="H73" s="26"/>
    </row>
    <row r="74" spans="5:8" ht="13.5" customHeight="1">
      <c r="E74" s="26"/>
      <c r="F74" s="26"/>
      <c r="G74" s="27"/>
      <c r="H74" s="26"/>
    </row>
    <row r="75" spans="5:8" ht="13.5" customHeight="1">
      <c r="E75" s="26"/>
      <c r="F75" s="26"/>
      <c r="G75" s="27"/>
      <c r="H75" s="26"/>
    </row>
    <row r="76" spans="5:8" ht="13.5" customHeight="1">
      <c r="E76" s="26"/>
      <c r="F76" s="26"/>
      <c r="G76" s="27"/>
      <c r="H76" s="26"/>
    </row>
    <row r="77" spans="5:8" ht="13.5" customHeight="1">
      <c r="E77" s="26"/>
      <c r="F77" s="26"/>
      <c r="G77" s="27"/>
      <c r="H77" s="26"/>
    </row>
    <row r="78" spans="5:8" ht="13.5" customHeight="1">
      <c r="E78" s="26"/>
      <c r="F78" s="26"/>
      <c r="G78" s="27"/>
      <c r="H78" s="26"/>
    </row>
    <row r="79" spans="5:8" ht="13.5" customHeight="1">
      <c r="E79" s="26"/>
      <c r="F79" s="26"/>
      <c r="G79" s="27"/>
      <c r="H79" s="26"/>
    </row>
    <row r="80" spans="5:8" ht="13.5" customHeight="1">
      <c r="E80" s="26"/>
      <c r="F80" s="26"/>
      <c r="G80" s="27"/>
      <c r="H80" s="26"/>
    </row>
    <row r="81" spans="5:8" ht="13.5" customHeight="1">
      <c r="E81" s="26"/>
      <c r="F81" s="26"/>
      <c r="G81" s="27"/>
      <c r="H81" s="26"/>
    </row>
    <row r="82" spans="5:8" ht="13.5" customHeight="1">
      <c r="E82" s="26"/>
      <c r="F82" s="26"/>
      <c r="G82" s="27"/>
      <c r="H82" s="26"/>
    </row>
    <row r="83" spans="5:8" ht="13.5" customHeight="1">
      <c r="E83" s="26"/>
      <c r="F83" s="26"/>
      <c r="G83" s="27"/>
      <c r="H83" s="26"/>
    </row>
    <row r="84" spans="5:8" ht="13.5" customHeight="1">
      <c r="E84" s="26"/>
      <c r="F84" s="26"/>
      <c r="G84" s="27"/>
      <c r="H84" s="26"/>
    </row>
    <row r="85" spans="5:8" ht="13.5" customHeight="1">
      <c r="E85" s="26"/>
      <c r="F85" s="26"/>
      <c r="G85" s="27"/>
      <c r="H85" s="26"/>
    </row>
    <row r="86" spans="5:8" ht="13.5" customHeight="1">
      <c r="E86" s="26"/>
      <c r="F86" s="26"/>
      <c r="G86" s="27"/>
      <c r="H86" s="26"/>
    </row>
    <row r="87" spans="5:8" ht="13.5" customHeight="1">
      <c r="E87" s="26"/>
      <c r="F87" s="26"/>
      <c r="G87" s="27"/>
      <c r="H87" s="26"/>
    </row>
    <row r="88" spans="5:8" ht="13.5" customHeight="1">
      <c r="E88" s="26"/>
      <c r="F88" s="26"/>
      <c r="G88" s="27"/>
      <c r="H88" s="26"/>
    </row>
    <row r="89" spans="5:8" ht="13.5" customHeight="1">
      <c r="E89" s="26"/>
      <c r="F89" s="26"/>
      <c r="G89" s="27"/>
      <c r="H89" s="26"/>
    </row>
    <row r="90" spans="5:8" ht="13.5" customHeight="1">
      <c r="E90" s="26"/>
      <c r="F90" s="26"/>
      <c r="G90" s="27"/>
      <c r="H90" s="26"/>
    </row>
    <row r="91" spans="5:8" ht="13.5" customHeight="1">
      <c r="E91" s="26"/>
      <c r="F91" s="26"/>
      <c r="G91" s="27"/>
      <c r="H91" s="26"/>
    </row>
    <row r="92" spans="5:8" ht="13.5" customHeight="1">
      <c r="E92" s="26"/>
      <c r="F92" s="26"/>
      <c r="G92" s="27"/>
      <c r="H92" s="26"/>
    </row>
    <row r="93" spans="5:8" ht="13.5" customHeight="1">
      <c r="E93" s="26"/>
      <c r="F93" s="26"/>
      <c r="G93" s="27"/>
      <c r="H93" s="26"/>
    </row>
    <row r="94" spans="5:8" ht="13.5" customHeight="1">
      <c r="E94" s="26"/>
      <c r="F94" s="26"/>
      <c r="G94" s="27"/>
      <c r="H94" s="26"/>
    </row>
    <row r="95" spans="5:8" ht="13.5" customHeight="1">
      <c r="E95" s="26"/>
      <c r="F95" s="26"/>
      <c r="G95" s="27"/>
      <c r="H95" s="26"/>
    </row>
    <row r="96" spans="5:8" ht="13.5" customHeight="1">
      <c r="E96" s="26"/>
      <c r="F96" s="26"/>
      <c r="G96" s="27"/>
      <c r="H96" s="26"/>
    </row>
    <row r="97" spans="5:8" ht="13.5" customHeight="1">
      <c r="E97" s="26"/>
      <c r="F97" s="26"/>
      <c r="G97" s="27"/>
      <c r="H97" s="26"/>
    </row>
    <row r="98" spans="5:8" ht="13.5" customHeight="1">
      <c r="E98" s="26"/>
      <c r="F98" s="26"/>
      <c r="G98" s="27"/>
      <c r="H98" s="26"/>
    </row>
    <row r="99" spans="5:8" ht="13.5" customHeight="1">
      <c r="E99" s="26"/>
      <c r="F99" s="26"/>
      <c r="G99" s="27"/>
      <c r="H99" s="26"/>
    </row>
    <row r="100" spans="5:8" ht="13.5" customHeight="1">
      <c r="E100" s="26"/>
      <c r="F100" s="26"/>
      <c r="G100" s="27"/>
      <c r="H100" s="26"/>
    </row>
    <row r="101" spans="5:8" ht="13.5" customHeight="1">
      <c r="E101" s="26"/>
      <c r="F101" s="26"/>
      <c r="G101" s="27"/>
      <c r="H101" s="26"/>
    </row>
    <row r="102" spans="5:8" ht="13.5" customHeight="1">
      <c r="E102" s="26"/>
      <c r="F102" s="26"/>
      <c r="G102" s="27"/>
      <c r="H102" s="26"/>
    </row>
    <row r="103" spans="5:8" ht="13.5" customHeight="1">
      <c r="E103" s="26"/>
      <c r="F103" s="26"/>
      <c r="G103" s="27"/>
      <c r="H103" s="26"/>
    </row>
    <row r="104" spans="5:8" ht="13.5" customHeight="1">
      <c r="E104" s="26"/>
      <c r="F104" s="26"/>
      <c r="G104" s="27"/>
      <c r="H104" s="26"/>
    </row>
    <row r="105" spans="5:8" ht="13.5" customHeight="1">
      <c r="E105" s="26"/>
      <c r="F105" s="26"/>
      <c r="G105" s="27"/>
      <c r="H105" s="26"/>
    </row>
    <row r="106" spans="5:8" ht="13.5" customHeight="1">
      <c r="E106" s="26"/>
      <c r="F106" s="26"/>
      <c r="G106" s="27"/>
      <c r="H106" s="26"/>
    </row>
    <row r="107" spans="5:8" ht="13.5" customHeight="1">
      <c r="E107" s="26"/>
      <c r="F107" s="26"/>
      <c r="G107" s="27"/>
      <c r="H107" s="26"/>
    </row>
    <row r="108" spans="5:8" ht="13.5" customHeight="1">
      <c r="E108" s="26"/>
      <c r="F108" s="26"/>
      <c r="G108" s="27"/>
      <c r="H108" s="26"/>
    </row>
    <row r="109" spans="5:8" ht="13.5" customHeight="1">
      <c r="E109" s="26"/>
      <c r="F109" s="26"/>
      <c r="G109" s="27"/>
      <c r="H109" s="26"/>
    </row>
    <row r="110" spans="5:8" ht="13.5" customHeight="1">
      <c r="E110" s="26"/>
      <c r="F110" s="26"/>
      <c r="G110" s="27"/>
      <c r="H110" s="26"/>
    </row>
    <row r="111" spans="5:8" ht="13.5" customHeight="1">
      <c r="E111" s="26"/>
      <c r="F111" s="26"/>
      <c r="G111" s="27"/>
      <c r="H111" s="26"/>
    </row>
    <row r="112" spans="5:8" ht="13.5" customHeight="1">
      <c r="E112" s="26"/>
      <c r="F112" s="26"/>
      <c r="G112" s="27"/>
      <c r="H112" s="26"/>
    </row>
    <row r="113" spans="5:8" ht="13.5" customHeight="1">
      <c r="E113" s="26"/>
      <c r="F113" s="26"/>
      <c r="G113" s="27"/>
      <c r="H113" s="26"/>
    </row>
    <row r="114" spans="5:8" ht="13.5" customHeight="1">
      <c r="E114" s="26"/>
      <c r="F114" s="26"/>
      <c r="G114" s="27"/>
      <c r="H114" s="26"/>
    </row>
    <row r="115" spans="5:8" ht="13.5" customHeight="1">
      <c r="E115" s="26"/>
      <c r="F115" s="26"/>
      <c r="G115" s="27"/>
      <c r="H115" s="26"/>
    </row>
    <row r="116" spans="5:8" ht="13.5" customHeight="1">
      <c r="E116" s="26"/>
      <c r="F116" s="26"/>
      <c r="G116" s="27"/>
      <c r="H116" s="26"/>
    </row>
    <row r="117" spans="5:8" ht="13.5" customHeight="1">
      <c r="E117" s="26"/>
      <c r="F117" s="26"/>
      <c r="G117" s="27"/>
      <c r="H117" s="26"/>
    </row>
    <row r="118" spans="5:8" ht="13.5" customHeight="1">
      <c r="E118" s="26"/>
      <c r="F118" s="26"/>
      <c r="G118" s="27"/>
      <c r="H118" s="26"/>
    </row>
    <row r="119" spans="5:8" ht="13.5" customHeight="1">
      <c r="E119" s="26"/>
      <c r="F119" s="26"/>
      <c r="G119" s="27"/>
      <c r="H119" s="26"/>
    </row>
    <row r="120" spans="5:8" ht="13.5" customHeight="1">
      <c r="E120" s="26"/>
      <c r="F120" s="26"/>
      <c r="G120" s="27"/>
      <c r="H120" s="26"/>
    </row>
    <row r="121" spans="5:8" ht="13.5" customHeight="1">
      <c r="E121" s="26"/>
      <c r="F121" s="26"/>
      <c r="G121" s="27"/>
      <c r="H121" s="26"/>
    </row>
    <row r="122" spans="5:8" ht="13.5" customHeight="1">
      <c r="E122" s="26"/>
      <c r="F122" s="26"/>
      <c r="G122" s="27"/>
      <c r="H122" s="26"/>
    </row>
    <row r="123" spans="5:8" ht="13.5" customHeight="1">
      <c r="E123" s="26"/>
      <c r="F123" s="26"/>
      <c r="G123" s="27"/>
      <c r="H123" s="26"/>
    </row>
    <row r="124" spans="5:8" ht="13.5" customHeight="1">
      <c r="E124" s="26"/>
      <c r="F124" s="26"/>
      <c r="G124" s="27"/>
      <c r="H124" s="26"/>
    </row>
    <row r="125" spans="5:8" ht="13.5" customHeight="1">
      <c r="E125" s="26"/>
      <c r="F125" s="26"/>
      <c r="G125" s="27"/>
      <c r="H125" s="26"/>
    </row>
    <row r="126" spans="5:8" ht="13.5" customHeight="1">
      <c r="E126" s="26"/>
      <c r="F126" s="26"/>
      <c r="G126" s="27"/>
      <c r="H126" s="26"/>
    </row>
    <row r="127" spans="5:8" ht="13.5" customHeight="1">
      <c r="E127" s="26"/>
      <c r="F127" s="26"/>
      <c r="G127" s="27"/>
      <c r="H127" s="26"/>
    </row>
    <row r="128" spans="5:8" ht="13.5" customHeight="1">
      <c r="E128" s="26"/>
      <c r="F128" s="26"/>
      <c r="G128" s="27"/>
      <c r="H128" s="26"/>
    </row>
    <row r="129" spans="5:8" ht="13.5" customHeight="1">
      <c r="E129" s="26"/>
      <c r="F129" s="26"/>
      <c r="G129" s="27"/>
      <c r="H129" s="26"/>
    </row>
    <row r="130" spans="5:8" ht="13.5" customHeight="1">
      <c r="E130" s="26"/>
      <c r="F130" s="26"/>
      <c r="G130" s="27"/>
      <c r="H130" s="26"/>
    </row>
    <row r="131" spans="5:8" ht="13.5" customHeight="1">
      <c r="E131" s="26"/>
      <c r="F131" s="26"/>
      <c r="G131" s="27"/>
      <c r="H131" s="26"/>
    </row>
    <row r="132" spans="5:8" ht="13.5" customHeight="1">
      <c r="E132" s="26"/>
      <c r="F132" s="26"/>
      <c r="G132" s="27"/>
      <c r="H132" s="26"/>
    </row>
    <row r="133" spans="5:8" ht="13.5" customHeight="1">
      <c r="E133" s="26"/>
      <c r="F133" s="26"/>
      <c r="G133" s="27"/>
      <c r="H133" s="26"/>
    </row>
    <row r="134" spans="5:8" ht="13.5" customHeight="1">
      <c r="E134" s="26"/>
      <c r="F134" s="26"/>
      <c r="G134" s="27"/>
      <c r="H134" s="26"/>
    </row>
    <row r="135" spans="5:8" ht="13.5" customHeight="1">
      <c r="E135" s="26"/>
      <c r="F135" s="26"/>
      <c r="G135" s="27"/>
      <c r="H135" s="26"/>
    </row>
    <row r="136" spans="5:8" ht="13.5" customHeight="1">
      <c r="E136" s="26"/>
      <c r="F136" s="26"/>
      <c r="G136" s="27"/>
      <c r="H136" s="26"/>
    </row>
    <row r="137" spans="5:8" ht="13.5" customHeight="1">
      <c r="E137" s="26"/>
      <c r="F137" s="26"/>
      <c r="G137" s="27"/>
      <c r="H137" s="26"/>
    </row>
    <row r="138" spans="5:8" ht="13.5" customHeight="1">
      <c r="E138" s="26"/>
      <c r="F138" s="26"/>
      <c r="G138" s="27"/>
      <c r="H138" s="26"/>
    </row>
    <row r="139" spans="5:8" ht="13.5" customHeight="1">
      <c r="E139" s="26"/>
      <c r="F139" s="26"/>
      <c r="G139" s="27"/>
      <c r="H139" s="26"/>
    </row>
    <row r="140" spans="5:8" ht="13.5" customHeight="1">
      <c r="E140" s="26"/>
      <c r="F140" s="26"/>
      <c r="G140" s="27"/>
      <c r="H140" s="26"/>
    </row>
    <row r="141" spans="5:8" ht="13.5" customHeight="1">
      <c r="E141" s="26"/>
      <c r="F141" s="26"/>
      <c r="G141" s="27"/>
      <c r="H141" s="26"/>
    </row>
    <row r="142" spans="5:8" ht="13.5" customHeight="1">
      <c r="E142" s="26"/>
      <c r="F142" s="26"/>
      <c r="G142" s="27"/>
      <c r="H142" s="26"/>
    </row>
    <row r="143" spans="5:8" ht="13.5" customHeight="1">
      <c r="E143" s="26"/>
      <c r="F143" s="26"/>
      <c r="G143" s="27"/>
      <c r="H143" s="26"/>
    </row>
    <row r="144" spans="5:8" ht="13.5" customHeight="1">
      <c r="E144" s="26"/>
      <c r="F144" s="26"/>
      <c r="G144" s="27"/>
      <c r="H144" s="26"/>
    </row>
    <row r="145" spans="5:8" ht="13.5" customHeight="1">
      <c r="E145" s="26"/>
      <c r="F145" s="26"/>
      <c r="G145" s="27"/>
      <c r="H145" s="26"/>
    </row>
    <row r="146" spans="5:8" ht="13.5" customHeight="1">
      <c r="E146" s="26"/>
      <c r="F146" s="26"/>
      <c r="G146" s="27"/>
      <c r="H146" s="26"/>
    </row>
    <row r="147" spans="5:8" ht="13.5" customHeight="1">
      <c r="E147" s="26"/>
      <c r="F147" s="26"/>
      <c r="G147" s="27"/>
      <c r="H147" s="26"/>
    </row>
    <row r="148" spans="5:8" ht="13.5" customHeight="1">
      <c r="E148" s="26"/>
      <c r="F148" s="26"/>
      <c r="G148" s="27"/>
      <c r="H148" s="26"/>
    </row>
    <row r="149" spans="5:8" ht="13.5" customHeight="1">
      <c r="E149" s="26"/>
      <c r="F149" s="26"/>
      <c r="G149" s="27"/>
      <c r="H149" s="26"/>
    </row>
    <row r="150" spans="5:8" ht="13.5" customHeight="1">
      <c r="E150" s="26"/>
      <c r="F150" s="26"/>
      <c r="G150" s="27"/>
      <c r="H150" s="26"/>
    </row>
    <row r="151" spans="5:8" ht="13.5" customHeight="1">
      <c r="E151" s="26"/>
      <c r="F151" s="26"/>
      <c r="G151" s="27"/>
      <c r="H151" s="26"/>
    </row>
    <row r="152" spans="5:8" ht="13.5" customHeight="1">
      <c r="E152" s="26"/>
      <c r="F152" s="26"/>
      <c r="G152" s="27"/>
      <c r="H152" s="26"/>
    </row>
    <row r="153" spans="5:8" ht="13.5" customHeight="1">
      <c r="E153" s="26"/>
      <c r="F153" s="26"/>
      <c r="G153" s="27"/>
      <c r="H153" s="26"/>
    </row>
    <row r="154" spans="5:8" ht="13.5" customHeight="1">
      <c r="E154" s="26"/>
      <c r="F154" s="26"/>
      <c r="G154" s="27"/>
      <c r="H154" s="26"/>
    </row>
    <row r="155" spans="5:8" ht="13.5" customHeight="1">
      <c r="E155" s="26"/>
      <c r="F155" s="26"/>
      <c r="G155" s="27"/>
      <c r="H155" s="26"/>
    </row>
    <row r="156" spans="5:8" ht="13.5" customHeight="1">
      <c r="E156" s="26"/>
      <c r="F156" s="26"/>
      <c r="G156" s="27"/>
      <c r="H156" s="26"/>
    </row>
    <row r="157" spans="5:8" ht="13.5" customHeight="1">
      <c r="E157" s="26"/>
      <c r="F157" s="26"/>
      <c r="G157" s="27"/>
      <c r="H157" s="26"/>
    </row>
    <row r="158" spans="5:8" ht="13.5" customHeight="1">
      <c r="E158" s="26"/>
      <c r="F158" s="26"/>
      <c r="G158" s="27"/>
      <c r="H158" s="26"/>
    </row>
    <row r="159" spans="5:8" ht="13.5" customHeight="1">
      <c r="E159" s="26"/>
      <c r="F159" s="26"/>
      <c r="G159" s="27"/>
      <c r="H159" s="26"/>
    </row>
    <row r="160" spans="5:8" ht="13.5" customHeight="1">
      <c r="E160" s="26"/>
      <c r="F160" s="26"/>
      <c r="G160" s="27"/>
      <c r="H160" s="26"/>
    </row>
    <row r="161" spans="5:8" ht="13.5" customHeight="1">
      <c r="E161" s="26"/>
      <c r="F161" s="26"/>
      <c r="G161" s="27"/>
      <c r="H161" s="26"/>
    </row>
    <row r="162" spans="5:8" ht="13.5" customHeight="1">
      <c r="E162" s="26"/>
      <c r="F162" s="26"/>
      <c r="G162" s="27"/>
      <c r="H162" s="26"/>
    </row>
    <row r="163" spans="5:8" ht="13.5" customHeight="1">
      <c r="E163" s="26"/>
      <c r="F163" s="26"/>
      <c r="G163" s="27"/>
      <c r="H163" s="26"/>
    </row>
    <row r="164" spans="5:8" ht="13.5" customHeight="1">
      <c r="E164" s="26"/>
      <c r="F164" s="26"/>
      <c r="G164" s="27"/>
      <c r="H164" s="26"/>
    </row>
    <row r="165" spans="5:8" ht="13.5" customHeight="1">
      <c r="E165" s="26"/>
      <c r="F165" s="26"/>
      <c r="G165" s="27"/>
      <c r="H165" s="26"/>
    </row>
    <row r="166" spans="5:8" ht="13.5" customHeight="1">
      <c r="E166" s="26"/>
      <c r="F166" s="26"/>
      <c r="G166" s="27"/>
      <c r="H166" s="26"/>
    </row>
    <row r="167" spans="5:8" ht="13.5" customHeight="1">
      <c r="E167" s="26"/>
      <c r="F167" s="26"/>
      <c r="G167" s="27"/>
      <c r="H167" s="26"/>
    </row>
    <row r="168" spans="5:8" ht="13.5" customHeight="1">
      <c r="E168" s="26"/>
      <c r="F168" s="26"/>
      <c r="G168" s="27"/>
      <c r="H168" s="26"/>
    </row>
    <row r="169" spans="5:8" ht="13.5" customHeight="1">
      <c r="E169" s="26"/>
      <c r="F169" s="26"/>
      <c r="G169" s="27"/>
      <c r="H169" s="26"/>
    </row>
    <row r="170" spans="5:8" ht="13.5" customHeight="1">
      <c r="E170" s="26"/>
      <c r="F170" s="26"/>
      <c r="G170" s="27"/>
      <c r="H170" s="26"/>
    </row>
    <row r="171" spans="5:8" ht="13.5" customHeight="1">
      <c r="E171" s="26"/>
      <c r="F171" s="26"/>
      <c r="G171" s="27"/>
      <c r="H171" s="26"/>
    </row>
    <row r="172" spans="5:8" ht="13.5" customHeight="1">
      <c r="E172" s="26"/>
      <c r="F172" s="26"/>
      <c r="G172" s="27"/>
      <c r="H172" s="26"/>
    </row>
    <row r="173" spans="5:8" ht="13.5" customHeight="1">
      <c r="E173" s="26"/>
      <c r="F173" s="26"/>
      <c r="G173" s="27"/>
      <c r="H173" s="26"/>
    </row>
    <row r="174" spans="5:8" ht="13.5" customHeight="1">
      <c r="E174" s="26"/>
      <c r="F174" s="26"/>
      <c r="G174" s="27"/>
      <c r="H174" s="26"/>
    </row>
    <row r="175" spans="5:8" ht="13.5" customHeight="1">
      <c r="E175" s="26"/>
      <c r="F175" s="26"/>
      <c r="G175" s="27"/>
      <c r="H175" s="26"/>
    </row>
    <row r="176" spans="5:8" ht="13.5" customHeight="1">
      <c r="E176" s="26"/>
      <c r="F176" s="26"/>
      <c r="G176" s="27"/>
      <c r="H176" s="26"/>
    </row>
    <row r="177" spans="5:8" ht="13.5" customHeight="1">
      <c r="E177" s="26"/>
      <c r="F177" s="26"/>
      <c r="G177" s="27"/>
      <c r="H177" s="26"/>
    </row>
    <row r="178" spans="5:8" ht="13.5" customHeight="1">
      <c r="E178" s="26"/>
      <c r="F178" s="26"/>
      <c r="G178" s="27"/>
      <c r="H178" s="26"/>
    </row>
    <row r="179" spans="5:8" ht="13.5" customHeight="1">
      <c r="E179" s="26"/>
      <c r="F179" s="26"/>
      <c r="G179" s="27"/>
      <c r="H179" s="26"/>
    </row>
    <row r="180" spans="5:8" ht="13.5" customHeight="1">
      <c r="E180" s="26"/>
      <c r="F180" s="26"/>
      <c r="G180" s="27"/>
      <c r="H180" s="26"/>
    </row>
    <row r="181" spans="5:8" ht="13.5" customHeight="1">
      <c r="E181" s="26"/>
      <c r="F181" s="26"/>
      <c r="G181" s="27"/>
      <c r="H181" s="26"/>
    </row>
    <row r="182" spans="5:8" ht="13.5" customHeight="1">
      <c r="E182" s="26"/>
      <c r="F182" s="26"/>
      <c r="G182" s="27"/>
      <c r="H182" s="26"/>
    </row>
    <row r="183" spans="5:8" ht="13.5" customHeight="1">
      <c r="E183" s="26"/>
      <c r="F183" s="26"/>
      <c r="G183" s="27"/>
      <c r="H183" s="26"/>
    </row>
    <row r="184" spans="5:8" ht="13.5" customHeight="1">
      <c r="E184" s="26"/>
      <c r="F184" s="26"/>
      <c r="G184" s="27"/>
      <c r="H184" s="26"/>
    </row>
    <row r="185" spans="5:8" ht="13.5" customHeight="1">
      <c r="E185" s="26"/>
      <c r="F185" s="26"/>
      <c r="G185" s="27"/>
      <c r="H185" s="26"/>
    </row>
    <row r="186" spans="5:8" ht="13.5" customHeight="1">
      <c r="E186" s="26"/>
      <c r="F186" s="26"/>
      <c r="G186" s="27"/>
      <c r="H186" s="26"/>
    </row>
    <row r="187" spans="5:8" ht="13.5" customHeight="1">
      <c r="E187" s="26"/>
      <c r="F187" s="26"/>
      <c r="G187" s="27"/>
      <c r="H187" s="26"/>
    </row>
    <row r="188" spans="5:8" ht="13.5" customHeight="1">
      <c r="E188" s="26"/>
      <c r="F188" s="26"/>
      <c r="G188" s="27"/>
      <c r="H188" s="26"/>
    </row>
    <row r="189" spans="5:8" ht="13.5" customHeight="1">
      <c r="E189" s="26"/>
      <c r="F189" s="26"/>
      <c r="G189" s="27"/>
      <c r="H189" s="26"/>
    </row>
    <row r="190" spans="5:8" ht="13.5" customHeight="1">
      <c r="E190" s="26"/>
      <c r="F190" s="26"/>
      <c r="G190" s="27"/>
      <c r="H190" s="26"/>
    </row>
    <row r="191" spans="5:8" ht="13.5" customHeight="1">
      <c r="E191" s="26"/>
      <c r="F191" s="26"/>
      <c r="G191" s="27"/>
      <c r="H191" s="26"/>
    </row>
    <row r="192" spans="5:8" ht="13.5" customHeight="1">
      <c r="E192" s="26"/>
      <c r="F192" s="26"/>
      <c r="G192" s="27"/>
      <c r="H192" s="26"/>
    </row>
    <row r="193" spans="5:8" ht="13.5" customHeight="1">
      <c r="E193" s="26"/>
      <c r="F193" s="26"/>
      <c r="G193" s="27"/>
      <c r="H193" s="26"/>
    </row>
    <row r="194" spans="5:8" ht="13.5" customHeight="1">
      <c r="E194" s="26"/>
      <c r="F194" s="26"/>
      <c r="G194" s="27"/>
      <c r="H194" s="26"/>
    </row>
    <row r="195" spans="5:8" ht="13.5" customHeight="1">
      <c r="E195" s="26"/>
      <c r="F195" s="26"/>
      <c r="G195" s="27"/>
      <c r="H195" s="26"/>
    </row>
    <row r="196" spans="5:8" ht="13.5" customHeight="1">
      <c r="E196" s="26"/>
      <c r="F196" s="26"/>
      <c r="G196" s="27"/>
      <c r="H196" s="26"/>
    </row>
    <row r="197" spans="5:8" ht="13.5" customHeight="1">
      <c r="E197" s="26"/>
      <c r="F197" s="26"/>
      <c r="G197" s="27"/>
      <c r="H197" s="26"/>
    </row>
    <row r="198" spans="5:8" ht="13.5" customHeight="1">
      <c r="E198" s="26"/>
      <c r="F198" s="26"/>
      <c r="G198" s="27"/>
      <c r="H198" s="26"/>
    </row>
    <row r="199" spans="5:8" ht="13.5" customHeight="1">
      <c r="E199" s="26"/>
      <c r="F199" s="26"/>
      <c r="G199" s="27"/>
      <c r="H199" s="26"/>
    </row>
    <row r="200" spans="5:8" ht="13.5" customHeight="1">
      <c r="E200" s="26"/>
      <c r="F200" s="26"/>
      <c r="G200" s="27"/>
      <c r="H200" s="26"/>
    </row>
    <row r="201" spans="5:8" ht="13.5" customHeight="1">
      <c r="E201" s="26"/>
      <c r="F201" s="26"/>
      <c r="G201" s="27"/>
      <c r="H201" s="26"/>
    </row>
    <row r="202" spans="5:8" ht="13.5" customHeight="1">
      <c r="E202" s="26"/>
      <c r="F202" s="26"/>
      <c r="G202" s="27"/>
      <c r="H202" s="26"/>
    </row>
    <row r="203" spans="5:8" ht="13.5" customHeight="1">
      <c r="E203" s="26"/>
      <c r="F203" s="26"/>
      <c r="G203" s="27"/>
      <c r="H203" s="26"/>
    </row>
    <row r="204" spans="5:8" ht="13.5" customHeight="1">
      <c r="E204" s="26"/>
      <c r="F204" s="26"/>
      <c r="G204" s="27"/>
      <c r="H204" s="26"/>
    </row>
    <row r="205" spans="5:8" ht="13.5" customHeight="1">
      <c r="E205" s="26"/>
      <c r="F205" s="26"/>
      <c r="G205" s="27"/>
      <c r="H205" s="26"/>
    </row>
    <row r="206" spans="5:8" ht="13.5" customHeight="1">
      <c r="E206" s="26"/>
      <c r="F206" s="26"/>
      <c r="G206" s="27"/>
      <c r="H206" s="26"/>
    </row>
    <row r="207" spans="5:8" ht="13.5" customHeight="1">
      <c r="E207" s="26"/>
      <c r="F207" s="26"/>
      <c r="G207" s="27"/>
      <c r="H207" s="26"/>
    </row>
    <row r="208" spans="5:8" ht="13.5" customHeight="1">
      <c r="E208" s="26"/>
      <c r="F208" s="26"/>
      <c r="G208" s="27"/>
      <c r="H208" s="26"/>
    </row>
    <row r="209" spans="5:8" ht="13.5" customHeight="1">
      <c r="E209" s="26"/>
      <c r="F209" s="26"/>
      <c r="G209" s="27"/>
      <c r="H209" s="26"/>
    </row>
    <row r="210" spans="5:8" ht="13.5" customHeight="1">
      <c r="E210" s="26"/>
      <c r="F210" s="26"/>
      <c r="G210" s="27"/>
      <c r="H210" s="26"/>
    </row>
    <row r="211" spans="5:8" ht="13.5" customHeight="1">
      <c r="E211" s="26"/>
      <c r="F211" s="26"/>
      <c r="G211" s="27"/>
      <c r="H211" s="26"/>
    </row>
    <row r="212" spans="5:8" ht="13.5" customHeight="1">
      <c r="E212" s="26"/>
      <c r="F212" s="26"/>
      <c r="G212" s="27"/>
      <c r="H212" s="26"/>
    </row>
    <row r="213" spans="5:8" ht="13.5" customHeight="1">
      <c r="E213" s="26"/>
      <c r="F213" s="26"/>
      <c r="G213" s="27"/>
      <c r="H213" s="26"/>
    </row>
    <row r="214" spans="5:8" ht="13.5" customHeight="1">
      <c r="E214" s="26"/>
      <c r="F214" s="26"/>
      <c r="G214" s="27"/>
      <c r="H214" s="26"/>
    </row>
    <row r="215" spans="5:8" ht="13.5" customHeight="1">
      <c r="E215" s="26"/>
      <c r="F215" s="26"/>
      <c r="G215" s="27"/>
      <c r="H215" s="26"/>
    </row>
    <row r="216" spans="5:8" ht="13.5" customHeight="1">
      <c r="E216" s="26"/>
      <c r="F216" s="26"/>
      <c r="G216" s="27"/>
      <c r="H216" s="26"/>
    </row>
    <row r="217" spans="5:8" ht="13.5" customHeight="1">
      <c r="E217" s="26"/>
      <c r="F217" s="26"/>
      <c r="G217" s="27"/>
      <c r="H217" s="26"/>
    </row>
    <row r="218" spans="5:8" ht="13.5" customHeight="1">
      <c r="E218" s="26"/>
      <c r="F218" s="26"/>
      <c r="G218" s="27"/>
      <c r="H218" s="26"/>
    </row>
    <row r="219" spans="5:8" ht="13.5" customHeight="1">
      <c r="E219" s="26"/>
      <c r="F219" s="26"/>
      <c r="G219" s="27"/>
      <c r="H219" s="26"/>
    </row>
    <row r="220" spans="5:8" ht="13.5" customHeight="1">
      <c r="E220" s="26"/>
      <c r="F220" s="26"/>
      <c r="G220" s="27"/>
      <c r="H220" s="26"/>
    </row>
    <row r="221" spans="5:8" ht="13.5" customHeight="1">
      <c r="E221" s="26"/>
      <c r="F221" s="26"/>
      <c r="G221" s="27"/>
      <c r="H221" s="26"/>
    </row>
    <row r="222" spans="5:8" ht="13.5" customHeight="1">
      <c r="E222" s="26"/>
      <c r="F222" s="26"/>
      <c r="G222" s="27"/>
      <c r="H222" s="26"/>
    </row>
    <row r="223" spans="5:8" ht="13.5" customHeight="1">
      <c r="E223" s="26"/>
      <c r="F223" s="26"/>
      <c r="G223" s="27"/>
      <c r="H223" s="26"/>
    </row>
    <row r="224" spans="5:8" ht="13.5" customHeight="1">
      <c r="E224" s="26"/>
      <c r="F224" s="26"/>
      <c r="G224" s="27"/>
      <c r="H224" s="26"/>
    </row>
    <row r="225" spans="5:8" ht="13.5" customHeight="1">
      <c r="E225" s="26"/>
      <c r="F225" s="26"/>
      <c r="G225" s="27"/>
      <c r="H225" s="26"/>
    </row>
    <row r="226" spans="5:8" ht="13.5" customHeight="1">
      <c r="E226" s="26"/>
      <c r="F226" s="26"/>
      <c r="G226" s="27"/>
      <c r="H226" s="26"/>
    </row>
    <row r="227" spans="5:8" ht="13.5" customHeight="1">
      <c r="E227" s="26"/>
      <c r="F227" s="26"/>
      <c r="G227" s="27"/>
      <c r="H227" s="26"/>
    </row>
    <row r="228" spans="5:8" ht="13.5" customHeight="1">
      <c r="E228" s="26"/>
      <c r="F228" s="26"/>
      <c r="G228" s="27"/>
      <c r="H228" s="26"/>
    </row>
    <row r="229" spans="5:8" ht="13.5" customHeight="1">
      <c r="E229" s="26"/>
      <c r="F229" s="26"/>
      <c r="G229" s="27"/>
      <c r="H229" s="26"/>
    </row>
    <row r="230" spans="5:8" ht="13.5" customHeight="1">
      <c r="E230" s="26"/>
      <c r="F230" s="26"/>
      <c r="G230" s="27"/>
      <c r="H230" s="26"/>
    </row>
    <row r="231" spans="5:8" ht="13.5" customHeight="1">
      <c r="E231" s="26"/>
      <c r="F231" s="26"/>
      <c r="G231" s="27"/>
      <c r="H231" s="26"/>
    </row>
    <row r="232" spans="5:8" ht="13.5" customHeight="1">
      <c r="E232" s="26"/>
      <c r="F232" s="26"/>
      <c r="G232" s="27"/>
      <c r="H232" s="26"/>
    </row>
    <row r="233" spans="5:8" ht="13.5" customHeight="1">
      <c r="E233" s="26"/>
      <c r="F233" s="26"/>
      <c r="G233" s="27"/>
      <c r="H233" s="26"/>
    </row>
    <row r="234" spans="5:8" ht="13.5" customHeight="1">
      <c r="E234" s="26"/>
      <c r="F234" s="26"/>
      <c r="G234" s="27"/>
      <c r="H234" s="26"/>
    </row>
    <row r="235" spans="5:8" ht="13.5" customHeight="1">
      <c r="E235" s="26"/>
      <c r="F235" s="26"/>
      <c r="G235" s="27"/>
      <c r="H235" s="26"/>
    </row>
    <row r="236" spans="5:8" ht="13.5" customHeight="1">
      <c r="E236" s="26"/>
      <c r="F236" s="26"/>
      <c r="G236" s="27"/>
      <c r="H236" s="26"/>
    </row>
    <row r="237" spans="5:8" ht="13.5" customHeight="1">
      <c r="E237" s="26"/>
      <c r="F237" s="26"/>
      <c r="G237" s="27"/>
      <c r="H237" s="26"/>
    </row>
    <row r="238" spans="5:8" ht="13.5" customHeight="1">
      <c r="E238" s="26"/>
      <c r="F238" s="26"/>
      <c r="G238" s="27"/>
      <c r="H238" s="26"/>
    </row>
    <row r="239" spans="5:8" ht="13.5" customHeight="1">
      <c r="E239" s="26"/>
      <c r="F239" s="26"/>
      <c r="G239" s="27"/>
      <c r="H239" s="26"/>
    </row>
    <row r="240" spans="5:8" ht="13.5" customHeight="1">
      <c r="E240" s="26"/>
      <c r="F240" s="26"/>
      <c r="G240" s="27"/>
      <c r="H240" s="26"/>
    </row>
    <row r="241" spans="5:8" ht="13.5" customHeight="1">
      <c r="E241" s="26"/>
      <c r="F241" s="26"/>
      <c r="G241" s="27"/>
      <c r="H241" s="26"/>
    </row>
    <row r="242" spans="5:8" ht="13.5" customHeight="1">
      <c r="E242" s="26"/>
      <c r="F242" s="26"/>
      <c r="G242" s="27"/>
      <c r="H242" s="26"/>
    </row>
    <row r="243" spans="5:8" ht="13.5" customHeight="1">
      <c r="E243" s="26"/>
      <c r="F243" s="26"/>
      <c r="G243" s="27"/>
      <c r="H243" s="26"/>
    </row>
    <row r="244" spans="5:8" ht="13.5" customHeight="1">
      <c r="E244" s="26"/>
      <c r="F244" s="26"/>
      <c r="G244" s="27"/>
      <c r="H244" s="26"/>
    </row>
    <row r="245" spans="5:8" ht="13.5" customHeight="1">
      <c r="E245" s="26"/>
      <c r="F245" s="26"/>
      <c r="G245" s="27"/>
      <c r="H245" s="26"/>
    </row>
    <row r="246" spans="5:8" ht="13.5" customHeight="1">
      <c r="E246" s="26"/>
      <c r="F246" s="26"/>
      <c r="G246" s="27"/>
      <c r="H246" s="26"/>
    </row>
    <row r="247" spans="5:8" ht="13.5" customHeight="1">
      <c r="E247" s="26"/>
      <c r="F247" s="26"/>
      <c r="G247" s="27"/>
      <c r="H247" s="26"/>
    </row>
    <row r="248" spans="5:8" ht="13.5" customHeight="1">
      <c r="E248" s="26"/>
      <c r="F248" s="26"/>
      <c r="G248" s="27"/>
      <c r="H248" s="26"/>
    </row>
    <row r="249" spans="5:8" ht="13.5" customHeight="1">
      <c r="E249" s="26"/>
      <c r="F249" s="26"/>
      <c r="G249" s="27"/>
      <c r="H249" s="26"/>
    </row>
    <row r="250" spans="5:8" ht="13.5" customHeight="1">
      <c r="E250" s="26"/>
      <c r="F250" s="26"/>
      <c r="G250" s="27"/>
      <c r="H250" s="26"/>
    </row>
    <row r="251" spans="5:8" ht="13.5" customHeight="1">
      <c r="E251" s="26"/>
      <c r="F251" s="26"/>
      <c r="G251" s="27"/>
      <c r="H251" s="26"/>
    </row>
    <row r="252" spans="5:8" ht="13.5" customHeight="1">
      <c r="E252" s="26"/>
      <c r="F252" s="26"/>
      <c r="G252" s="27"/>
      <c r="H252" s="26"/>
    </row>
    <row r="253" spans="5:8" ht="13.5" customHeight="1">
      <c r="E253" s="26"/>
      <c r="F253" s="26"/>
      <c r="G253" s="27"/>
      <c r="H253" s="26"/>
    </row>
    <row r="254" spans="5:8" ht="13.5" customHeight="1">
      <c r="E254" s="26"/>
      <c r="F254" s="26"/>
      <c r="G254" s="27"/>
      <c r="H254" s="26"/>
    </row>
    <row r="255" spans="5:8" ht="13.5" customHeight="1">
      <c r="E255" s="26"/>
      <c r="F255" s="26"/>
      <c r="G255" s="27"/>
      <c r="H255" s="26"/>
    </row>
    <row r="256" spans="5:8" ht="13.5" customHeight="1">
      <c r="E256" s="26"/>
      <c r="F256" s="26"/>
      <c r="G256" s="27"/>
      <c r="H256" s="26"/>
    </row>
    <row r="257" spans="5:8" ht="13.5" customHeight="1">
      <c r="E257" s="26"/>
      <c r="F257" s="26"/>
      <c r="G257" s="27"/>
      <c r="H257" s="26"/>
    </row>
    <row r="258" spans="5:8" ht="13.5" customHeight="1">
      <c r="E258" s="26"/>
      <c r="F258" s="26"/>
      <c r="G258" s="27"/>
      <c r="H258" s="26"/>
    </row>
    <row r="259" spans="5:8" ht="13.5" customHeight="1">
      <c r="E259" s="26"/>
      <c r="F259" s="26"/>
      <c r="G259" s="27"/>
      <c r="H259" s="26"/>
    </row>
    <row r="260" spans="5:8" ht="13.5" customHeight="1">
      <c r="E260" s="26"/>
      <c r="F260" s="26"/>
      <c r="G260" s="27"/>
      <c r="H260" s="26"/>
    </row>
    <row r="261" spans="5:8" ht="13.5" customHeight="1">
      <c r="E261" s="26"/>
      <c r="F261" s="26"/>
      <c r="G261" s="27"/>
      <c r="H261" s="26"/>
    </row>
    <row r="262" spans="5:8" ht="13.5" customHeight="1">
      <c r="E262" s="26"/>
      <c r="F262" s="26"/>
      <c r="G262" s="27"/>
      <c r="H262" s="26"/>
    </row>
    <row r="263" spans="5:8" ht="13.5" customHeight="1">
      <c r="E263" s="26"/>
      <c r="F263" s="26"/>
      <c r="G263" s="27"/>
      <c r="H263" s="26"/>
    </row>
    <row r="264" spans="5:8" ht="13.5" customHeight="1">
      <c r="E264" s="26"/>
      <c r="F264" s="26"/>
      <c r="G264" s="27"/>
      <c r="H264" s="26"/>
    </row>
    <row r="265" spans="5:8" ht="13.5" customHeight="1">
      <c r="E265" s="26"/>
      <c r="F265" s="26"/>
      <c r="G265" s="27"/>
      <c r="H265" s="26"/>
    </row>
    <row r="266" spans="5:8" ht="13.5" customHeight="1">
      <c r="E266" s="26"/>
      <c r="F266" s="26"/>
      <c r="G266" s="27"/>
      <c r="H266" s="26"/>
    </row>
    <row r="267" spans="5:8" ht="13.5" customHeight="1">
      <c r="E267" s="26"/>
      <c r="F267" s="26"/>
      <c r="G267" s="27"/>
      <c r="H267" s="26"/>
    </row>
    <row r="268" spans="5:8" ht="13.5" customHeight="1">
      <c r="E268" s="26"/>
      <c r="F268" s="26"/>
      <c r="G268" s="27"/>
      <c r="H268" s="26"/>
    </row>
    <row r="269" spans="5:8" ht="13.5" customHeight="1">
      <c r="E269" s="26"/>
      <c r="F269" s="26"/>
      <c r="G269" s="27"/>
      <c r="H269" s="26"/>
    </row>
    <row r="270" spans="5:8" ht="13.5" customHeight="1">
      <c r="E270" s="26"/>
      <c r="F270" s="26"/>
      <c r="G270" s="27"/>
      <c r="H270" s="26"/>
    </row>
    <row r="271" spans="5:8" ht="13.5" customHeight="1">
      <c r="E271" s="26"/>
      <c r="F271" s="26"/>
      <c r="G271" s="27"/>
      <c r="H271" s="26"/>
    </row>
    <row r="272" spans="5:8" ht="13.5" customHeight="1">
      <c r="E272" s="26"/>
      <c r="F272" s="26"/>
      <c r="G272" s="27"/>
      <c r="H272" s="26"/>
    </row>
    <row r="273" spans="5:8" ht="13.5" customHeight="1">
      <c r="E273" s="26"/>
      <c r="F273" s="26"/>
      <c r="G273" s="27"/>
      <c r="H273" s="26"/>
    </row>
    <row r="274" spans="5:8" ht="13.5" customHeight="1">
      <c r="E274" s="26"/>
      <c r="F274" s="26"/>
      <c r="G274" s="27"/>
      <c r="H274" s="26"/>
    </row>
    <row r="275" spans="5:8" ht="13.5" customHeight="1">
      <c r="E275" s="26"/>
      <c r="F275" s="26"/>
      <c r="G275" s="27"/>
      <c r="H275" s="26"/>
    </row>
    <row r="276" spans="5:8" ht="13.5" customHeight="1">
      <c r="E276" s="26"/>
      <c r="F276" s="26"/>
      <c r="G276" s="27"/>
      <c r="H276" s="26"/>
    </row>
    <row r="277" spans="5:8" ht="13.5" customHeight="1">
      <c r="E277" s="26"/>
      <c r="F277" s="26"/>
      <c r="G277" s="27"/>
      <c r="H277" s="26"/>
    </row>
    <row r="278" spans="5:8" ht="13.5" customHeight="1">
      <c r="E278" s="26"/>
      <c r="F278" s="26"/>
      <c r="G278" s="27"/>
      <c r="H278" s="26"/>
    </row>
    <row r="279" spans="5:8" ht="13.5" customHeight="1">
      <c r="E279" s="26"/>
      <c r="F279" s="26"/>
      <c r="G279" s="27"/>
      <c r="H279" s="26"/>
    </row>
    <row r="280" spans="5:8" ht="13.5" customHeight="1">
      <c r="E280" s="26"/>
      <c r="F280" s="26"/>
      <c r="G280" s="27"/>
      <c r="H280" s="26"/>
    </row>
    <row r="281" spans="5:8" ht="13.5" customHeight="1">
      <c r="E281" s="26"/>
      <c r="F281" s="26"/>
      <c r="G281" s="27"/>
      <c r="H281" s="26"/>
    </row>
    <row r="282" spans="5:8" ht="13.5" customHeight="1">
      <c r="E282" s="26"/>
      <c r="F282" s="26"/>
      <c r="G282" s="27"/>
      <c r="H282" s="26"/>
    </row>
    <row r="283" spans="5:8" ht="13.5" customHeight="1">
      <c r="E283" s="26"/>
      <c r="F283" s="26"/>
      <c r="G283" s="27"/>
      <c r="H283" s="26"/>
    </row>
    <row r="284" spans="5:8" ht="13.5" customHeight="1">
      <c r="E284" s="26"/>
      <c r="F284" s="26"/>
      <c r="G284" s="27"/>
      <c r="H284" s="26"/>
    </row>
    <row r="285" spans="5:8" ht="13.5" customHeight="1">
      <c r="E285" s="26"/>
      <c r="F285" s="26"/>
      <c r="G285" s="27"/>
      <c r="H285" s="26"/>
    </row>
    <row r="286" spans="5:8" ht="13.5" customHeight="1">
      <c r="E286" s="26"/>
      <c r="F286" s="26"/>
      <c r="G286" s="27"/>
      <c r="H286" s="26"/>
    </row>
    <row r="287" spans="5:8" ht="13.5" customHeight="1">
      <c r="E287" s="26"/>
      <c r="F287" s="26"/>
      <c r="G287" s="27"/>
      <c r="H287" s="26"/>
    </row>
    <row r="288" spans="5:8" ht="13.5" customHeight="1">
      <c r="E288" s="26"/>
      <c r="F288" s="26"/>
      <c r="G288" s="27"/>
      <c r="H288" s="26"/>
    </row>
    <row r="289" spans="5:8" ht="13.5" customHeight="1">
      <c r="E289" s="26"/>
      <c r="F289" s="26"/>
      <c r="G289" s="27"/>
      <c r="H289" s="26"/>
    </row>
    <row r="290" spans="5:8" ht="13.5" customHeight="1">
      <c r="E290" s="26"/>
      <c r="F290" s="26"/>
      <c r="G290" s="27"/>
      <c r="H290" s="26"/>
    </row>
    <row r="291" spans="5:8" ht="13.5" customHeight="1">
      <c r="E291" s="26"/>
      <c r="F291" s="26"/>
      <c r="G291" s="27"/>
      <c r="H291" s="26"/>
    </row>
    <row r="292" spans="5:8" ht="13.5" customHeight="1">
      <c r="E292" s="26"/>
      <c r="F292" s="26"/>
      <c r="G292" s="27"/>
      <c r="H292" s="26"/>
    </row>
    <row r="293" spans="5:8" ht="13.5" customHeight="1">
      <c r="E293" s="26"/>
      <c r="F293" s="26"/>
      <c r="G293" s="27"/>
      <c r="H293" s="26"/>
    </row>
    <row r="294" spans="5:8" ht="13.5" customHeight="1">
      <c r="E294" s="26"/>
      <c r="F294" s="26"/>
      <c r="G294" s="27"/>
      <c r="H294" s="26"/>
    </row>
    <row r="295" spans="5:8" ht="13.5" customHeight="1">
      <c r="E295" s="26"/>
      <c r="F295" s="26"/>
      <c r="G295" s="27"/>
      <c r="H295" s="26"/>
    </row>
    <row r="296" spans="5:8" ht="13.5" customHeight="1">
      <c r="E296" s="26"/>
      <c r="F296" s="26"/>
      <c r="G296" s="27"/>
      <c r="H296" s="26"/>
    </row>
    <row r="297" spans="5:8" ht="13.5" customHeight="1">
      <c r="E297" s="26"/>
      <c r="F297" s="26"/>
      <c r="G297" s="27"/>
      <c r="H297" s="26"/>
    </row>
    <row r="298" spans="5:8" ht="13.5" customHeight="1">
      <c r="E298" s="26"/>
      <c r="F298" s="26"/>
      <c r="G298" s="27"/>
      <c r="H298" s="26"/>
    </row>
    <row r="299" spans="5:8" ht="13.5" customHeight="1">
      <c r="E299" s="26"/>
      <c r="F299" s="26"/>
      <c r="G299" s="27"/>
      <c r="H299" s="26"/>
    </row>
    <row r="300" spans="5:8" ht="13.5" customHeight="1">
      <c r="E300" s="26"/>
      <c r="F300" s="26"/>
      <c r="G300" s="27"/>
      <c r="H300" s="26"/>
    </row>
    <row r="301" spans="5:8" ht="13.5" customHeight="1">
      <c r="E301" s="26"/>
      <c r="F301" s="26"/>
      <c r="G301" s="27"/>
      <c r="H301" s="26"/>
    </row>
    <row r="302" spans="5:8" ht="13.5" customHeight="1">
      <c r="E302" s="26"/>
      <c r="F302" s="26"/>
      <c r="G302" s="27"/>
      <c r="H302" s="26"/>
    </row>
    <row r="303" spans="5:8" ht="13.5" customHeight="1">
      <c r="E303" s="26"/>
      <c r="F303" s="26"/>
      <c r="G303" s="27"/>
      <c r="H303" s="26"/>
    </row>
    <row r="304" spans="5:8" ht="13.5" customHeight="1">
      <c r="E304" s="26"/>
      <c r="F304" s="26"/>
      <c r="G304" s="27"/>
      <c r="H304" s="26"/>
    </row>
    <row r="305" spans="5:8" ht="13.5" customHeight="1">
      <c r="E305" s="26"/>
      <c r="F305" s="26"/>
      <c r="G305" s="27"/>
      <c r="H305" s="26"/>
    </row>
    <row r="306" spans="5:8" ht="13.5" customHeight="1">
      <c r="E306" s="26"/>
      <c r="F306" s="26"/>
      <c r="G306" s="27"/>
      <c r="H306" s="26"/>
    </row>
    <row r="307" spans="5:8" ht="13.5" customHeight="1">
      <c r="E307" s="26"/>
      <c r="F307" s="26"/>
      <c r="G307" s="27"/>
      <c r="H307" s="26"/>
    </row>
    <row r="308" spans="5:8" ht="13.5" customHeight="1">
      <c r="E308" s="26"/>
      <c r="F308" s="26"/>
      <c r="G308" s="27"/>
      <c r="H308" s="26"/>
    </row>
    <row r="309" spans="5:8" ht="13.5" customHeight="1">
      <c r="E309" s="26"/>
      <c r="F309" s="26"/>
      <c r="G309" s="27"/>
      <c r="H309" s="26"/>
    </row>
    <row r="310" spans="5:8" ht="13.5" customHeight="1">
      <c r="E310" s="26"/>
      <c r="F310" s="26"/>
      <c r="G310" s="27"/>
      <c r="H310" s="26"/>
    </row>
    <row r="311" spans="5:8" ht="13.5" customHeight="1">
      <c r="E311" s="26"/>
      <c r="F311" s="26"/>
      <c r="G311" s="27"/>
      <c r="H311" s="26"/>
    </row>
    <row r="312" spans="5:8" ht="13.5" customHeight="1">
      <c r="E312" s="26"/>
      <c r="F312" s="26"/>
      <c r="G312" s="27"/>
      <c r="H312" s="26"/>
    </row>
    <row r="313" spans="5:8" ht="13.5" customHeight="1">
      <c r="E313" s="26"/>
      <c r="F313" s="26"/>
      <c r="G313" s="27"/>
      <c r="H313" s="26"/>
    </row>
    <row r="314" spans="5:8" ht="13.5" customHeight="1">
      <c r="E314" s="26"/>
      <c r="F314" s="26"/>
      <c r="G314" s="27"/>
      <c r="H314" s="26"/>
    </row>
    <row r="315" spans="5:8" ht="13.5" customHeight="1">
      <c r="E315" s="26"/>
      <c r="F315" s="26"/>
      <c r="G315" s="27"/>
      <c r="H315" s="26"/>
    </row>
    <row r="316" spans="5:8" ht="13.5" customHeight="1">
      <c r="E316" s="26"/>
      <c r="F316" s="26"/>
      <c r="G316" s="27"/>
      <c r="H316" s="26"/>
    </row>
    <row r="317" spans="5:8" ht="13.5" customHeight="1">
      <c r="E317" s="26"/>
      <c r="F317" s="26"/>
      <c r="G317" s="27"/>
      <c r="H317" s="26"/>
    </row>
    <row r="318" spans="5:8" ht="13.5" customHeight="1">
      <c r="E318" s="26"/>
      <c r="F318" s="26"/>
      <c r="G318" s="27"/>
      <c r="H318" s="26"/>
    </row>
    <row r="319" spans="5:8" ht="13.5" customHeight="1">
      <c r="E319" s="26"/>
      <c r="F319" s="26"/>
      <c r="G319" s="27"/>
      <c r="H319" s="26"/>
    </row>
    <row r="320" spans="5:8" ht="13.5" customHeight="1">
      <c r="E320" s="26"/>
      <c r="F320" s="26"/>
      <c r="G320" s="27"/>
      <c r="H320" s="26"/>
    </row>
    <row r="321" spans="5:8" ht="13.5" customHeight="1">
      <c r="E321" s="26"/>
      <c r="F321" s="26"/>
      <c r="G321" s="27"/>
      <c r="H321" s="26"/>
    </row>
    <row r="322" spans="5:8" ht="13.5" customHeight="1">
      <c r="E322" s="26"/>
      <c r="F322" s="26"/>
      <c r="G322" s="27"/>
      <c r="H322" s="26"/>
    </row>
    <row r="323" spans="5:8" ht="13.5" customHeight="1">
      <c r="E323" s="26"/>
      <c r="F323" s="26"/>
      <c r="G323" s="27"/>
      <c r="H323" s="26"/>
    </row>
    <row r="324" spans="5:8" ht="13.5" customHeight="1">
      <c r="E324" s="26"/>
      <c r="F324" s="26"/>
      <c r="G324" s="27"/>
      <c r="H324" s="26"/>
    </row>
    <row r="325" spans="5:8" ht="13.5" customHeight="1">
      <c r="E325" s="26"/>
      <c r="F325" s="26"/>
      <c r="G325" s="27"/>
      <c r="H325" s="26"/>
    </row>
    <row r="326" spans="5:8" ht="13.5" customHeight="1">
      <c r="E326" s="26"/>
      <c r="F326" s="26"/>
      <c r="G326" s="27"/>
      <c r="H326" s="26"/>
    </row>
    <row r="327" spans="5:8" ht="13.5" customHeight="1">
      <c r="E327" s="26"/>
      <c r="F327" s="26"/>
      <c r="G327" s="27"/>
      <c r="H327" s="26"/>
    </row>
    <row r="328" spans="5:8" ht="13.5" customHeight="1">
      <c r="E328" s="26"/>
      <c r="F328" s="26"/>
      <c r="G328" s="27"/>
      <c r="H328" s="26"/>
    </row>
    <row r="329" spans="5:8" ht="13.5" customHeight="1">
      <c r="E329" s="26"/>
      <c r="F329" s="26"/>
      <c r="G329" s="27"/>
      <c r="H329" s="26"/>
    </row>
    <row r="330" spans="5:8" ht="13.5" customHeight="1">
      <c r="E330" s="26"/>
      <c r="F330" s="26"/>
      <c r="G330" s="27"/>
      <c r="H330" s="26"/>
    </row>
    <row r="331" spans="5:8" ht="13.5" customHeight="1">
      <c r="E331" s="26"/>
      <c r="F331" s="26"/>
      <c r="G331" s="27"/>
      <c r="H331" s="26"/>
    </row>
    <row r="332" spans="5:8" ht="13.5" customHeight="1">
      <c r="E332" s="26"/>
      <c r="F332" s="26"/>
      <c r="G332" s="27"/>
      <c r="H332" s="26"/>
    </row>
    <row r="333" spans="5:8" ht="13.5" customHeight="1">
      <c r="E333" s="26"/>
      <c r="F333" s="26"/>
      <c r="G333" s="27"/>
      <c r="H333" s="26"/>
    </row>
    <row r="334" spans="5:8" ht="13.5" customHeight="1">
      <c r="E334" s="26"/>
      <c r="F334" s="26"/>
      <c r="G334" s="27"/>
      <c r="H334" s="26"/>
    </row>
    <row r="335" spans="5:8" ht="13.5" customHeight="1">
      <c r="E335" s="26"/>
      <c r="F335" s="26"/>
      <c r="G335" s="27"/>
      <c r="H335" s="26"/>
    </row>
    <row r="336" spans="5:8" ht="13.5" customHeight="1">
      <c r="E336" s="26"/>
      <c r="F336" s="26"/>
      <c r="G336" s="27"/>
      <c r="H336" s="26"/>
    </row>
    <row r="337" spans="5:8" ht="13.5" customHeight="1">
      <c r="E337" s="26"/>
      <c r="F337" s="26"/>
      <c r="G337" s="27"/>
      <c r="H337" s="26"/>
    </row>
    <row r="338" spans="5:8" ht="13.5" customHeight="1">
      <c r="E338" s="26"/>
      <c r="F338" s="26"/>
      <c r="G338" s="27"/>
      <c r="H338" s="26"/>
    </row>
    <row r="339" spans="5:8" ht="13.5" customHeight="1">
      <c r="E339" s="26"/>
      <c r="F339" s="26"/>
      <c r="G339" s="27"/>
      <c r="H339" s="26"/>
    </row>
    <row r="340" spans="5:8" ht="13.5" customHeight="1">
      <c r="E340" s="26"/>
      <c r="F340" s="26"/>
      <c r="G340" s="27"/>
      <c r="H340" s="26"/>
    </row>
    <row r="341" spans="5:8" ht="13.5" customHeight="1">
      <c r="E341" s="26"/>
      <c r="F341" s="26"/>
      <c r="G341" s="27"/>
      <c r="H341" s="26"/>
    </row>
    <row r="342" spans="5:8" ht="13.5" customHeight="1">
      <c r="E342" s="26"/>
      <c r="F342" s="26"/>
      <c r="G342" s="27"/>
      <c r="H342" s="26"/>
    </row>
    <row r="343" spans="5:8" ht="13.5" customHeight="1">
      <c r="E343" s="26"/>
      <c r="F343" s="26"/>
      <c r="G343" s="27"/>
      <c r="H343" s="26"/>
    </row>
    <row r="344" spans="5:8" ht="13.5" customHeight="1">
      <c r="E344" s="26"/>
      <c r="F344" s="26"/>
      <c r="G344" s="27"/>
      <c r="H344" s="26"/>
    </row>
    <row r="345" spans="5:8" ht="13.5" customHeight="1">
      <c r="E345" s="26"/>
      <c r="F345" s="26"/>
      <c r="G345" s="27"/>
      <c r="H345" s="26"/>
    </row>
    <row r="346" spans="5:8" ht="13.5" customHeight="1">
      <c r="E346" s="26"/>
      <c r="F346" s="26"/>
      <c r="G346" s="27"/>
      <c r="H346" s="26"/>
    </row>
    <row r="347" spans="5:8" ht="13.5" customHeight="1">
      <c r="E347" s="26"/>
      <c r="F347" s="26"/>
      <c r="G347" s="27"/>
      <c r="H347" s="26"/>
    </row>
    <row r="348" spans="5:8" ht="13.5" customHeight="1">
      <c r="E348" s="26"/>
      <c r="F348" s="26"/>
      <c r="G348" s="27"/>
      <c r="H348" s="26"/>
    </row>
    <row r="349" spans="5:8" ht="13.5" customHeight="1">
      <c r="E349" s="26"/>
      <c r="F349" s="26"/>
      <c r="G349" s="27"/>
      <c r="H349" s="26"/>
    </row>
    <row r="350" spans="5:8" ht="13.5" customHeight="1">
      <c r="E350" s="26"/>
      <c r="F350" s="26"/>
      <c r="G350" s="27"/>
      <c r="H350" s="26"/>
    </row>
    <row r="351" spans="5:8" ht="13.5" customHeight="1">
      <c r="E351" s="26"/>
      <c r="F351" s="26"/>
      <c r="G351" s="27"/>
      <c r="H351" s="26"/>
    </row>
    <row r="352" spans="5:8" ht="13.5" customHeight="1">
      <c r="E352" s="26"/>
      <c r="F352" s="26"/>
      <c r="G352" s="27"/>
      <c r="H352" s="26"/>
    </row>
    <row r="353" spans="5:8" ht="13.5" customHeight="1">
      <c r="E353" s="26"/>
      <c r="F353" s="26"/>
      <c r="G353" s="27"/>
      <c r="H353" s="26"/>
    </row>
    <row r="354" spans="5:8" ht="13.5" customHeight="1">
      <c r="E354" s="26"/>
      <c r="F354" s="26"/>
      <c r="G354" s="27"/>
      <c r="H354" s="26"/>
    </row>
    <row r="355" spans="5:8" ht="13.5" customHeight="1">
      <c r="E355" s="26"/>
      <c r="F355" s="26"/>
      <c r="G355" s="27"/>
      <c r="H355" s="26"/>
    </row>
    <row r="356" spans="5:8" ht="13.5" customHeight="1">
      <c r="E356" s="26"/>
      <c r="F356" s="26"/>
      <c r="G356" s="27"/>
      <c r="H356" s="26"/>
    </row>
    <row r="357" spans="5:8" ht="13.5" customHeight="1">
      <c r="E357" s="26"/>
      <c r="F357" s="26"/>
      <c r="G357" s="27"/>
      <c r="H357" s="26"/>
    </row>
    <row r="358" spans="5:8" ht="13.5" customHeight="1">
      <c r="E358" s="26"/>
      <c r="F358" s="26"/>
      <c r="G358" s="27"/>
      <c r="H358" s="26"/>
    </row>
    <row r="359" spans="5:8" ht="13.5" customHeight="1">
      <c r="E359" s="26"/>
      <c r="F359" s="26"/>
      <c r="G359" s="27"/>
      <c r="H359" s="26"/>
    </row>
    <row r="360" spans="5:8" ht="13.5" customHeight="1">
      <c r="E360" s="26"/>
      <c r="F360" s="26"/>
      <c r="G360" s="27"/>
      <c r="H360" s="26"/>
    </row>
    <row r="361" spans="5:8" ht="13.5" customHeight="1">
      <c r="E361" s="26"/>
      <c r="F361" s="26"/>
      <c r="G361" s="27"/>
      <c r="H361" s="26"/>
    </row>
    <row r="362" spans="5:8" ht="13.5" customHeight="1">
      <c r="E362" s="26"/>
      <c r="F362" s="26"/>
      <c r="G362" s="27"/>
      <c r="H362" s="26"/>
    </row>
    <row r="363" spans="5:8" ht="13.5" customHeight="1">
      <c r="E363" s="26"/>
      <c r="F363" s="26"/>
      <c r="G363" s="27"/>
      <c r="H363" s="26"/>
    </row>
    <row r="364" spans="5:8" ht="13.5" customHeight="1">
      <c r="E364" s="26"/>
      <c r="F364" s="26"/>
      <c r="G364" s="27"/>
      <c r="H364" s="26"/>
    </row>
    <row r="365" spans="5:8" ht="13.5" customHeight="1">
      <c r="E365" s="26"/>
      <c r="F365" s="26"/>
      <c r="G365" s="27"/>
      <c r="H365" s="26"/>
    </row>
    <row r="366" spans="5:8" ht="13.5" customHeight="1">
      <c r="E366" s="26"/>
      <c r="F366" s="26"/>
      <c r="G366" s="27"/>
      <c r="H366" s="26"/>
    </row>
    <row r="367" spans="5:8" ht="13.5" customHeight="1">
      <c r="E367" s="26"/>
      <c r="F367" s="26"/>
      <c r="G367" s="27"/>
      <c r="H367" s="26"/>
    </row>
    <row r="368" spans="5:8" ht="13.5" customHeight="1">
      <c r="E368" s="26"/>
      <c r="F368" s="26"/>
      <c r="G368" s="27"/>
      <c r="H368" s="26"/>
    </row>
    <row r="369" spans="5:8" ht="13.5" customHeight="1">
      <c r="E369" s="26"/>
      <c r="F369" s="26"/>
      <c r="G369" s="27"/>
      <c r="H369" s="26"/>
    </row>
    <row r="370" spans="5:8" ht="13.5" customHeight="1">
      <c r="E370" s="26"/>
      <c r="F370" s="26"/>
      <c r="G370" s="27"/>
      <c r="H370" s="26"/>
    </row>
    <row r="371" spans="5:8" ht="13.5" customHeight="1">
      <c r="E371" s="26"/>
      <c r="F371" s="26"/>
      <c r="G371" s="27"/>
      <c r="H371" s="26"/>
    </row>
    <row r="372" spans="5:8" ht="13.5" customHeight="1">
      <c r="E372" s="26"/>
      <c r="F372" s="26"/>
      <c r="G372" s="27"/>
      <c r="H372" s="26"/>
    </row>
    <row r="373" spans="5:8" ht="13.5" customHeight="1">
      <c r="E373" s="26"/>
      <c r="F373" s="26"/>
      <c r="G373" s="27"/>
      <c r="H373" s="26"/>
    </row>
    <row r="374" spans="5:8" ht="13.5" customHeight="1">
      <c r="E374" s="26"/>
      <c r="F374" s="26"/>
      <c r="G374" s="27"/>
      <c r="H374" s="26"/>
    </row>
    <row r="375" spans="5:8" ht="13.5" customHeight="1">
      <c r="E375" s="26"/>
      <c r="F375" s="26"/>
      <c r="G375" s="27"/>
      <c r="H375" s="26"/>
    </row>
    <row r="376" spans="5:8" ht="13.5" customHeight="1">
      <c r="E376" s="26"/>
      <c r="F376" s="26"/>
      <c r="G376" s="27"/>
      <c r="H376" s="26"/>
    </row>
    <row r="377" spans="5:8" ht="13.5" customHeight="1">
      <c r="E377" s="26"/>
      <c r="F377" s="26"/>
      <c r="G377" s="27"/>
      <c r="H377" s="26"/>
    </row>
    <row r="378" spans="5:8" ht="13.5" customHeight="1">
      <c r="E378" s="26"/>
      <c r="F378" s="26"/>
      <c r="G378" s="27"/>
      <c r="H378" s="26"/>
    </row>
    <row r="379" spans="5:8" ht="13.5" customHeight="1">
      <c r="E379" s="26"/>
      <c r="F379" s="26"/>
      <c r="G379" s="27"/>
      <c r="H379" s="26"/>
    </row>
    <row r="380" spans="5:8" ht="13.5" customHeight="1">
      <c r="E380" s="26"/>
      <c r="F380" s="26"/>
      <c r="G380" s="27"/>
      <c r="H380" s="26"/>
    </row>
    <row r="381" spans="5:8" ht="13.5" customHeight="1">
      <c r="E381" s="26"/>
      <c r="F381" s="26"/>
      <c r="G381" s="27"/>
      <c r="H381" s="26"/>
    </row>
    <row r="382" spans="5:8" ht="13.5" customHeight="1">
      <c r="E382" s="26"/>
      <c r="F382" s="26"/>
      <c r="G382" s="27"/>
      <c r="H382" s="26"/>
    </row>
    <row r="383" spans="5:8" ht="13.5" customHeight="1">
      <c r="E383" s="26"/>
      <c r="F383" s="26"/>
      <c r="G383" s="27"/>
      <c r="H383" s="26"/>
    </row>
    <row r="384" spans="5:8" ht="13.5" customHeight="1">
      <c r="E384" s="26"/>
      <c r="F384" s="26"/>
      <c r="G384" s="27"/>
      <c r="H384" s="26"/>
    </row>
    <row r="385" spans="5:8" ht="13.5" customHeight="1">
      <c r="E385" s="26"/>
      <c r="F385" s="26"/>
      <c r="G385" s="27"/>
      <c r="H385" s="26"/>
    </row>
    <row r="386" spans="5:8" ht="13.5" customHeight="1">
      <c r="E386" s="26"/>
      <c r="F386" s="26"/>
      <c r="G386" s="27"/>
      <c r="H386" s="26"/>
    </row>
    <row r="387" spans="5:8" ht="13.5" customHeight="1">
      <c r="E387" s="26"/>
      <c r="F387" s="26"/>
      <c r="G387" s="27"/>
      <c r="H387" s="26"/>
    </row>
    <row r="388" spans="5:8" ht="13.5" customHeight="1">
      <c r="E388" s="26"/>
      <c r="F388" s="26"/>
      <c r="G388" s="27"/>
      <c r="H388" s="26"/>
    </row>
    <row r="389" spans="5:8" ht="13.5" customHeight="1">
      <c r="E389" s="26"/>
      <c r="F389" s="26"/>
      <c r="G389" s="27"/>
      <c r="H389" s="26"/>
    </row>
    <row r="390" spans="5:8" ht="13.5" customHeight="1">
      <c r="E390" s="26"/>
      <c r="F390" s="26"/>
      <c r="G390" s="27"/>
      <c r="H390" s="26"/>
    </row>
    <row r="391" spans="5:8" ht="13.5" customHeight="1">
      <c r="E391" s="26"/>
      <c r="F391" s="26"/>
      <c r="G391" s="27"/>
      <c r="H391" s="26"/>
    </row>
    <row r="392" spans="5:8" ht="13.5" customHeight="1">
      <c r="E392" s="26"/>
      <c r="F392" s="26"/>
      <c r="G392" s="27"/>
      <c r="H392" s="26"/>
    </row>
    <row r="393" spans="5:8" ht="13.5" customHeight="1">
      <c r="E393" s="26"/>
      <c r="F393" s="26"/>
      <c r="G393" s="27"/>
      <c r="H393" s="26"/>
    </row>
    <row r="394" spans="5:8" ht="13.5" customHeight="1">
      <c r="E394" s="26"/>
      <c r="F394" s="26"/>
      <c r="G394" s="27"/>
      <c r="H394" s="26"/>
    </row>
    <row r="395" spans="5:8" ht="13.5" customHeight="1">
      <c r="E395" s="26"/>
      <c r="F395" s="26"/>
      <c r="G395" s="27"/>
      <c r="H395" s="26"/>
    </row>
    <row r="396" spans="5:8" ht="13.5" customHeight="1">
      <c r="E396" s="26"/>
      <c r="F396" s="26"/>
      <c r="G396" s="27"/>
      <c r="H396" s="26"/>
    </row>
    <row r="397" spans="5:8" ht="13.5" customHeight="1">
      <c r="E397" s="26"/>
      <c r="F397" s="26"/>
      <c r="G397" s="27"/>
      <c r="H397" s="26"/>
    </row>
    <row r="398" spans="5:8" ht="13.5" customHeight="1">
      <c r="E398" s="26"/>
      <c r="F398" s="26"/>
      <c r="G398" s="27"/>
      <c r="H398" s="26"/>
    </row>
    <row r="399" spans="5:8" ht="13.5" customHeight="1">
      <c r="E399" s="26"/>
      <c r="F399" s="26"/>
      <c r="G399" s="27"/>
      <c r="H399" s="26"/>
    </row>
    <row r="400" spans="5:8" ht="13.5" customHeight="1">
      <c r="E400" s="26"/>
      <c r="F400" s="26"/>
      <c r="G400" s="27"/>
      <c r="H400" s="26"/>
    </row>
    <row r="401" spans="5:8" ht="13.5" customHeight="1">
      <c r="E401" s="26"/>
      <c r="F401" s="26"/>
      <c r="G401" s="27"/>
      <c r="H401" s="26"/>
    </row>
    <row r="402" spans="5:8" ht="13.5" customHeight="1">
      <c r="E402" s="26"/>
      <c r="F402" s="26"/>
      <c r="G402" s="27"/>
      <c r="H402" s="26"/>
    </row>
    <row r="403" spans="5:8" ht="13.5" customHeight="1">
      <c r="E403" s="26"/>
      <c r="F403" s="26"/>
      <c r="G403" s="27"/>
      <c r="H403" s="26"/>
    </row>
    <row r="404" spans="5:8" ht="13.5" customHeight="1">
      <c r="E404" s="26"/>
      <c r="F404" s="26"/>
      <c r="G404" s="27"/>
      <c r="H404" s="26"/>
    </row>
    <row r="405" spans="5:8" ht="13.5" customHeight="1">
      <c r="E405" s="26"/>
      <c r="F405" s="26"/>
      <c r="G405" s="27"/>
      <c r="H405" s="26"/>
    </row>
    <row r="406" spans="5:8" ht="13.5" customHeight="1">
      <c r="E406" s="26"/>
      <c r="F406" s="26"/>
      <c r="G406" s="27"/>
      <c r="H406" s="26"/>
    </row>
    <row r="407" spans="5:8" ht="13.5" customHeight="1">
      <c r="E407" s="26"/>
      <c r="F407" s="26"/>
      <c r="G407" s="27"/>
      <c r="H407" s="26"/>
    </row>
    <row r="408" spans="5:8" ht="13.5" customHeight="1">
      <c r="E408" s="26"/>
      <c r="F408" s="26"/>
      <c r="G408" s="27"/>
      <c r="H408" s="26"/>
    </row>
    <row r="409" spans="5:8" ht="13.5" customHeight="1">
      <c r="E409" s="26"/>
      <c r="F409" s="26"/>
      <c r="G409" s="27"/>
      <c r="H409" s="26"/>
    </row>
    <row r="410" spans="5:8" ht="13.5" customHeight="1">
      <c r="E410" s="26"/>
      <c r="F410" s="26"/>
      <c r="G410" s="27"/>
      <c r="H410" s="26"/>
    </row>
    <row r="411" spans="5:8" ht="13.5" customHeight="1">
      <c r="E411" s="26"/>
      <c r="F411" s="26"/>
      <c r="G411" s="27"/>
      <c r="H411" s="26"/>
    </row>
    <row r="412" spans="5:8" ht="13.5" customHeight="1">
      <c r="E412" s="26"/>
      <c r="F412" s="26"/>
      <c r="G412" s="27"/>
      <c r="H412" s="26"/>
    </row>
    <row r="413" spans="5:8" ht="13.5" customHeight="1">
      <c r="E413" s="26"/>
      <c r="F413" s="26"/>
      <c r="G413" s="27"/>
      <c r="H413" s="26"/>
    </row>
    <row r="414" spans="5:8" ht="13.5" customHeight="1">
      <c r="E414" s="26"/>
      <c r="F414" s="26"/>
      <c r="G414" s="27"/>
      <c r="H414" s="26"/>
    </row>
    <row r="415" spans="5:8" ht="13.5" customHeight="1">
      <c r="E415" s="26"/>
      <c r="F415" s="26"/>
      <c r="G415" s="27"/>
      <c r="H415" s="26"/>
    </row>
    <row r="416" spans="5:8" ht="13.5" customHeight="1">
      <c r="E416" s="26"/>
      <c r="F416" s="26"/>
      <c r="G416" s="27"/>
      <c r="H416" s="26"/>
    </row>
    <row r="417" spans="5:8" ht="13.5" customHeight="1">
      <c r="E417" s="26"/>
      <c r="F417" s="26"/>
      <c r="G417" s="27"/>
      <c r="H417" s="26"/>
    </row>
    <row r="418" spans="5:8" ht="13.5" customHeight="1">
      <c r="E418" s="26"/>
      <c r="F418" s="26"/>
      <c r="G418" s="27"/>
      <c r="H418" s="26"/>
    </row>
    <row r="419" spans="5:8" ht="13.5" customHeight="1">
      <c r="E419" s="26"/>
      <c r="F419" s="26"/>
      <c r="G419" s="27"/>
      <c r="H419" s="26"/>
    </row>
    <row r="420" spans="5:8" ht="13.5" customHeight="1">
      <c r="E420" s="26"/>
      <c r="F420" s="26"/>
      <c r="G420" s="27"/>
      <c r="H420" s="26"/>
    </row>
    <row r="421" spans="5:8" ht="13.5" customHeight="1">
      <c r="E421" s="26"/>
      <c r="F421" s="26"/>
      <c r="G421" s="27"/>
      <c r="H421" s="26"/>
    </row>
    <row r="422" spans="5:8" ht="13.5" customHeight="1">
      <c r="E422" s="26"/>
      <c r="F422" s="26"/>
      <c r="G422" s="27"/>
      <c r="H422" s="26"/>
    </row>
    <row r="423" spans="5:8" ht="13.5" customHeight="1">
      <c r="E423" s="26"/>
      <c r="F423" s="26"/>
      <c r="G423" s="27"/>
      <c r="H423" s="26"/>
    </row>
    <row r="424" spans="5:8" ht="13.5" customHeight="1">
      <c r="E424" s="26"/>
      <c r="F424" s="26"/>
      <c r="G424" s="27"/>
      <c r="H424" s="26"/>
    </row>
    <row r="425" spans="5:8" ht="13.5" customHeight="1">
      <c r="E425" s="26"/>
      <c r="F425" s="26"/>
      <c r="G425" s="27"/>
      <c r="H425" s="26"/>
    </row>
    <row r="426" spans="5:8" ht="13.5" customHeight="1">
      <c r="E426" s="26"/>
      <c r="F426" s="26"/>
      <c r="G426" s="27"/>
      <c r="H426" s="26"/>
    </row>
    <row r="427" spans="5:8" ht="13.5" customHeight="1">
      <c r="E427" s="26"/>
      <c r="F427" s="26"/>
      <c r="G427" s="27"/>
      <c r="H427" s="26"/>
    </row>
    <row r="428" spans="5:8" ht="13.5" customHeight="1">
      <c r="E428" s="26"/>
      <c r="F428" s="26"/>
      <c r="G428" s="27"/>
      <c r="H428" s="26"/>
    </row>
    <row r="429" spans="5:8" ht="13.5" customHeight="1">
      <c r="E429" s="26"/>
      <c r="F429" s="26"/>
      <c r="G429" s="27"/>
      <c r="H429" s="26"/>
    </row>
    <row r="430" spans="5:8" ht="13.5" customHeight="1">
      <c r="E430" s="26"/>
      <c r="F430" s="26"/>
      <c r="G430" s="27"/>
      <c r="H430" s="26"/>
    </row>
    <row r="431" spans="5:8" ht="13.5" customHeight="1">
      <c r="E431" s="26"/>
      <c r="F431" s="26"/>
      <c r="G431" s="27"/>
      <c r="H431" s="26"/>
    </row>
    <row r="432" spans="5:8" ht="13.5" customHeight="1">
      <c r="E432" s="26"/>
      <c r="F432" s="26"/>
      <c r="G432" s="27"/>
      <c r="H432" s="26"/>
    </row>
    <row r="433" spans="5:8" ht="13.5" customHeight="1">
      <c r="E433" s="26"/>
      <c r="F433" s="26"/>
      <c r="G433" s="27"/>
      <c r="H433" s="26"/>
    </row>
    <row r="434" spans="5:8" ht="13.5" customHeight="1">
      <c r="E434" s="26"/>
      <c r="F434" s="26"/>
      <c r="G434" s="27"/>
      <c r="H434" s="26"/>
    </row>
    <row r="435" spans="5:8" ht="13.5" customHeight="1">
      <c r="E435" s="26"/>
      <c r="F435" s="26"/>
      <c r="G435" s="27"/>
      <c r="H435" s="26"/>
    </row>
    <row r="436" spans="5:8" ht="13.5" customHeight="1">
      <c r="E436" s="26"/>
      <c r="F436" s="26"/>
      <c r="G436" s="27"/>
      <c r="H436" s="26"/>
    </row>
    <row r="437" spans="5:8" ht="13.5" customHeight="1">
      <c r="E437" s="26"/>
      <c r="F437" s="26"/>
      <c r="G437" s="27"/>
      <c r="H437" s="26"/>
    </row>
    <row r="438" spans="5:8" ht="13.5" customHeight="1">
      <c r="E438" s="26"/>
      <c r="F438" s="26"/>
      <c r="G438" s="27"/>
      <c r="H438" s="26"/>
    </row>
    <row r="439" spans="5:8" ht="13.5" customHeight="1">
      <c r="E439" s="26"/>
      <c r="F439" s="26"/>
      <c r="G439" s="27"/>
      <c r="H439" s="26"/>
    </row>
    <row r="440" spans="5:8" ht="13.5" customHeight="1">
      <c r="E440" s="26"/>
      <c r="F440" s="26"/>
      <c r="G440" s="27"/>
      <c r="H440" s="26"/>
    </row>
    <row r="441" spans="5:8" ht="13.5" customHeight="1">
      <c r="E441" s="26"/>
      <c r="F441" s="26"/>
      <c r="G441" s="27"/>
      <c r="H441" s="26"/>
    </row>
    <row r="442" spans="5:8" ht="13.5" customHeight="1">
      <c r="E442" s="26"/>
      <c r="F442" s="26"/>
      <c r="G442" s="27"/>
      <c r="H442" s="26"/>
    </row>
    <row r="443" spans="5:8" ht="13.5" customHeight="1">
      <c r="E443" s="26"/>
      <c r="F443" s="26"/>
      <c r="G443" s="27"/>
      <c r="H443" s="26"/>
    </row>
    <row r="444" spans="5:8" ht="13.5" customHeight="1">
      <c r="E444" s="26"/>
      <c r="F444" s="26"/>
      <c r="G444" s="27"/>
      <c r="H444" s="26"/>
    </row>
    <row r="445" spans="5:8" ht="13.5" customHeight="1">
      <c r="E445" s="26"/>
      <c r="F445" s="26"/>
      <c r="G445" s="27"/>
      <c r="H445" s="26"/>
    </row>
    <row r="446" spans="5:8" ht="13.5" customHeight="1">
      <c r="E446" s="26"/>
      <c r="F446" s="26"/>
      <c r="G446" s="27"/>
      <c r="H446" s="26"/>
    </row>
    <row r="447" spans="5:8" ht="13.5" customHeight="1">
      <c r="E447" s="26"/>
      <c r="F447" s="26"/>
      <c r="G447" s="27"/>
      <c r="H447" s="26"/>
    </row>
    <row r="448" spans="5:8" ht="13.5" customHeight="1">
      <c r="E448" s="26"/>
      <c r="F448" s="26"/>
      <c r="G448" s="27"/>
      <c r="H448" s="26"/>
    </row>
    <row r="449" spans="5:8" ht="13.5" customHeight="1">
      <c r="E449" s="26"/>
      <c r="F449" s="26"/>
      <c r="G449" s="27"/>
      <c r="H449" s="26"/>
    </row>
    <row r="450" spans="5:8" ht="13.5" customHeight="1">
      <c r="E450" s="26"/>
      <c r="F450" s="26"/>
      <c r="G450" s="27"/>
      <c r="H450" s="26"/>
    </row>
    <row r="451" spans="5:8" ht="13.5" customHeight="1">
      <c r="E451" s="26"/>
      <c r="F451" s="26"/>
      <c r="G451" s="27"/>
      <c r="H451" s="26"/>
    </row>
    <row r="452" spans="5:8" ht="13.5" customHeight="1">
      <c r="E452" s="26"/>
      <c r="F452" s="26"/>
      <c r="G452" s="27"/>
      <c r="H452" s="26"/>
    </row>
    <row r="453" spans="5:8" ht="13.5" customHeight="1">
      <c r="E453" s="26"/>
      <c r="F453" s="26"/>
      <c r="G453" s="27"/>
      <c r="H453" s="26"/>
    </row>
    <row r="454" spans="5:8" ht="13.5" customHeight="1">
      <c r="E454" s="26"/>
      <c r="F454" s="26"/>
      <c r="G454" s="27"/>
      <c r="H454" s="26"/>
    </row>
    <row r="455" spans="5:8" ht="13.5" customHeight="1">
      <c r="E455" s="26"/>
      <c r="F455" s="26"/>
      <c r="G455" s="27"/>
      <c r="H455" s="26"/>
    </row>
    <row r="456" spans="5:8" ht="13.5" customHeight="1">
      <c r="E456" s="26"/>
      <c r="F456" s="26"/>
      <c r="G456" s="27"/>
      <c r="H456" s="26"/>
    </row>
    <row r="457" spans="5:8" ht="13.5" customHeight="1">
      <c r="E457" s="26"/>
      <c r="F457" s="26"/>
      <c r="G457" s="27"/>
      <c r="H457" s="26"/>
    </row>
    <row r="458" spans="5:8" ht="13.5" customHeight="1">
      <c r="E458" s="26"/>
      <c r="F458" s="26"/>
      <c r="G458" s="27"/>
      <c r="H458" s="26"/>
    </row>
    <row r="459" spans="5:8" ht="13.5" customHeight="1">
      <c r="E459" s="26"/>
      <c r="F459" s="26"/>
      <c r="G459" s="27"/>
      <c r="H459" s="26"/>
    </row>
    <row r="460" spans="5:8" ht="13.5" customHeight="1">
      <c r="E460" s="26"/>
      <c r="F460" s="26"/>
      <c r="G460" s="27"/>
      <c r="H460" s="26"/>
    </row>
    <row r="461" spans="5:8" ht="13.5" customHeight="1">
      <c r="E461" s="26"/>
      <c r="F461" s="26"/>
      <c r="G461" s="27"/>
      <c r="H461" s="26"/>
    </row>
    <row r="462" spans="5:8" ht="13.5" customHeight="1">
      <c r="E462" s="26"/>
      <c r="F462" s="26"/>
      <c r="G462" s="27"/>
      <c r="H462" s="26"/>
    </row>
    <row r="463" spans="5:8" ht="13.5" customHeight="1">
      <c r="E463" s="26"/>
      <c r="F463" s="26"/>
      <c r="G463" s="27"/>
      <c r="H463" s="26"/>
    </row>
    <row r="464" spans="5:8" ht="13.5" customHeight="1">
      <c r="E464" s="26"/>
      <c r="F464" s="26"/>
      <c r="G464" s="27"/>
      <c r="H464" s="26"/>
    </row>
    <row r="465" spans="5:8" ht="13.5" customHeight="1">
      <c r="E465" s="26"/>
      <c r="F465" s="26"/>
      <c r="G465" s="27"/>
      <c r="H465" s="26"/>
    </row>
    <row r="466" spans="5:8" ht="13.5" customHeight="1">
      <c r="E466" s="26"/>
      <c r="F466" s="26"/>
      <c r="G466" s="27"/>
      <c r="H466" s="26"/>
    </row>
    <row r="467" spans="5:8" ht="13.5" customHeight="1">
      <c r="E467" s="26"/>
      <c r="F467" s="26"/>
      <c r="G467" s="27"/>
      <c r="H467" s="26"/>
    </row>
    <row r="468" spans="5:8" ht="13.5" customHeight="1">
      <c r="E468" s="26"/>
      <c r="F468" s="26"/>
      <c r="G468" s="27"/>
      <c r="H468" s="26"/>
    </row>
    <row r="469" spans="5:8" ht="13.5" customHeight="1">
      <c r="E469" s="26"/>
      <c r="F469" s="26"/>
      <c r="G469" s="27"/>
      <c r="H469" s="26"/>
    </row>
    <row r="470" spans="5:8" ht="13.5" customHeight="1">
      <c r="E470" s="26"/>
      <c r="F470" s="26"/>
      <c r="G470" s="27"/>
      <c r="H470" s="26"/>
    </row>
    <row r="471" spans="5:8" ht="13.5" customHeight="1">
      <c r="E471" s="26"/>
      <c r="F471" s="26"/>
      <c r="G471" s="27"/>
      <c r="H471" s="26"/>
    </row>
    <row r="472" spans="5:8" ht="13.5" customHeight="1">
      <c r="E472" s="26"/>
      <c r="F472" s="26"/>
      <c r="G472" s="27"/>
      <c r="H472" s="26"/>
    </row>
    <row r="473" spans="5:8" ht="13.5" customHeight="1">
      <c r="E473" s="26"/>
      <c r="F473" s="26"/>
      <c r="G473" s="27"/>
      <c r="H473" s="26"/>
    </row>
    <row r="474" spans="5:8" ht="13.5" customHeight="1">
      <c r="E474" s="26"/>
      <c r="F474" s="26"/>
      <c r="G474" s="27"/>
      <c r="H474" s="26"/>
    </row>
    <row r="475" spans="5:8" ht="13.5" customHeight="1">
      <c r="E475" s="26"/>
      <c r="F475" s="26"/>
      <c r="G475" s="27"/>
      <c r="H475" s="26"/>
    </row>
    <row r="476" spans="5:8" ht="13.5" customHeight="1">
      <c r="E476" s="26"/>
      <c r="F476" s="26"/>
      <c r="G476" s="27"/>
      <c r="H476" s="26"/>
    </row>
    <row r="477" spans="5:8" ht="13.5" customHeight="1">
      <c r="E477" s="26"/>
      <c r="F477" s="26"/>
      <c r="G477" s="27"/>
      <c r="H477" s="26"/>
    </row>
    <row r="478" spans="5:8" ht="13.5" customHeight="1">
      <c r="E478" s="26"/>
      <c r="F478" s="26"/>
      <c r="G478" s="27"/>
      <c r="H478" s="26"/>
    </row>
    <row r="479" spans="5:8" ht="13.5" customHeight="1">
      <c r="E479" s="26"/>
      <c r="F479" s="26"/>
      <c r="G479" s="27"/>
      <c r="H479" s="26"/>
    </row>
    <row r="480" spans="5:8" ht="13.5" customHeight="1">
      <c r="E480" s="26"/>
      <c r="F480" s="26"/>
      <c r="G480" s="27"/>
      <c r="H480" s="26"/>
    </row>
    <row r="481" spans="5:8" ht="13.5" customHeight="1">
      <c r="E481" s="26"/>
      <c r="F481" s="26"/>
      <c r="G481" s="27"/>
      <c r="H481" s="26"/>
    </row>
    <row r="482" spans="5:8" ht="13.5" customHeight="1">
      <c r="E482" s="26"/>
      <c r="F482" s="26"/>
      <c r="G482" s="27"/>
      <c r="H482" s="26"/>
    </row>
    <row r="483" spans="5:8" ht="13.5" customHeight="1">
      <c r="E483" s="26"/>
      <c r="F483" s="26"/>
      <c r="G483" s="27"/>
      <c r="H483" s="26"/>
    </row>
    <row r="484" spans="5:8" ht="13.5" customHeight="1">
      <c r="E484" s="26"/>
      <c r="F484" s="26"/>
      <c r="G484" s="27"/>
      <c r="H484" s="26"/>
    </row>
    <row r="485" spans="5:8" ht="13.5" customHeight="1">
      <c r="E485" s="26"/>
      <c r="F485" s="26"/>
      <c r="G485" s="27"/>
      <c r="H485" s="26"/>
    </row>
    <row r="486" spans="5:8" ht="13.5" customHeight="1">
      <c r="E486" s="26"/>
      <c r="F486" s="26"/>
      <c r="G486" s="27"/>
      <c r="H486" s="26"/>
    </row>
    <row r="487" spans="5:8" ht="13.5" customHeight="1">
      <c r="E487" s="26"/>
      <c r="F487" s="26"/>
      <c r="G487" s="27"/>
      <c r="H487" s="26"/>
    </row>
    <row r="488" spans="5:8" ht="13.5" customHeight="1">
      <c r="E488" s="26"/>
      <c r="F488" s="26"/>
      <c r="G488" s="27"/>
      <c r="H488" s="26"/>
    </row>
    <row r="489" spans="5:8" ht="13.5" customHeight="1">
      <c r="E489" s="26"/>
      <c r="F489" s="26"/>
      <c r="G489" s="27"/>
      <c r="H489" s="26"/>
    </row>
    <row r="490" spans="5:8" ht="13.5" customHeight="1">
      <c r="E490" s="26"/>
      <c r="F490" s="26"/>
      <c r="G490" s="27"/>
      <c r="H490" s="26"/>
    </row>
    <row r="491" spans="5:8" ht="13.5" customHeight="1">
      <c r="E491" s="26"/>
      <c r="F491" s="26"/>
      <c r="G491" s="27"/>
      <c r="H491" s="26"/>
    </row>
    <row r="492" spans="5:8" ht="13.5" customHeight="1">
      <c r="E492" s="26"/>
      <c r="F492" s="26"/>
      <c r="G492" s="27"/>
      <c r="H492" s="26"/>
    </row>
    <row r="493" spans="5:8" ht="13.5" customHeight="1">
      <c r="E493" s="26"/>
      <c r="F493" s="26"/>
      <c r="G493" s="27"/>
      <c r="H493" s="26"/>
    </row>
    <row r="494" spans="5:8" ht="13.5" customHeight="1">
      <c r="E494" s="26"/>
      <c r="F494" s="26"/>
      <c r="G494" s="27"/>
      <c r="H494" s="26"/>
    </row>
    <row r="495" spans="5:8" ht="13.5" customHeight="1">
      <c r="E495" s="26"/>
      <c r="F495" s="26"/>
      <c r="G495" s="27"/>
      <c r="H495" s="26"/>
    </row>
    <row r="496" spans="5:8" ht="13.5" customHeight="1">
      <c r="E496" s="26"/>
      <c r="F496" s="26"/>
      <c r="G496" s="27"/>
      <c r="H496" s="26"/>
    </row>
    <row r="497" spans="5:8" ht="13.5" customHeight="1">
      <c r="E497" s="26"/>
      <c r="F497" s="26"/>
      <c r="G497" s="27"/>
      <c r="H497" s="26"/>
    </row>
    <row r="498" spans="5:8" ht="13.5" customHeight="1">
      <c r="E498" s="26"/>
      <c r="F498" s="26"/>
      <c r="G498" s="27"/>
      <c r="H498" s="26"/>
    </row>
    <row r="499" spans="5:8" ht="13.5" customHeight="1">
      <c r="E499" s="26"/>
      <c r="F499" s="26"/>
      <c r="G499" s="27"/>
      <c r="H499" s="26"/>
    </row>
    <row r="500" spans="5:8" ht="13.5" customHeight="1">
      <c r="E500" s="26"/>
      <c r="F500" s="26"/>
      <c r="G500" s="27"/>
      <c r="H500" s="26"/>
    </row>
    <row r="501" spans="5:8" ht="13.5" customHeight="1">
      <c r="E501" s="26"/>
      <c r="F501" s="26"/>
      <c r="G501" s="27"/>
      <c r="H501" s="26"/>
    </row>
    <row r="502" spans="5:8" ht="13.5" customHeight="1">
      <c r="E502" s="26"/>
      <c r="F502" s="26"/>
      <c r="G502" s="27"/>
      <c r="H502" s="26"/>
    </row>
    <row r="503" spans="5:8" ht="13.5" customHeight="1">
      <c r="E503" s="26"/>
      <c r="F503" s="26"/>
      <c r="G503" s="27"/>
      <c r="H503" s="26"/>
    </row>
    <row r="504" spans="5:8" ht="13.5" customHeight="1">
      <c r="E504" s="26"/>
      <c r="F504" s="26"/>
      <c r="G504" s="27"/>
      <c r="H504" s="26"/>
    </row>
    <row r="505" spans="5:8" ht="13.5" customHeight="1">
      <c r="E505" s="26"/>
      <c r="F505" s="26"/>
      <c r="G505" s="27"/>
      <c r="H505" s="26"/>
    </row>
    <row r="506" spans="5:8" ht="13.5" customHeight="1">
      <c r="E506" s="26"/>
      <c r="F506" s="26"/>
      <c r="G506" s="27"/>
      <c r="H506" s="26"/>
    </row>
    <row r="507" spans="5:8" ht="13.5" customHeight="1">
      <c r="E507" s="26"/>
      <c r="F507" s="26"/>
      <c r="G507" s="27"/>
      <c r="H507" s="26"/>
    </row>
    <row r="508" spans="5:8" ht="13.5" customHeight="1">
      <c r="E508" s="26"/>
      <c r="F508" s="26"/>
      <c r="G508" s="27"/>
      <c r="H508" s="26"/>
    </row>
    <row r="509" spans="5:8" ht="13.5" customHeight="1">
      <c r="E509" s="26"/>
      <c r="F509" s="26"/>
      <c r="G509" s="27"/>
      <c r="H509" s="26"/>
    </row>
    <row r="510" spans="5:8" ht="13.5" customHeight="1">
      <c r="E510" s="26"/>
      <c r="F510" s="26"/>
      <c r="G510" s="27"/>
      <c r="H510" s="26"/>
    </row>
    <row r="511" spans="5:8" ht="13.5" customHeight="1">
      <c r="E511" s="26"/>
      <c r="F511" s="26"/>
      <c r="G511" s="27"/>
      <c r="H511" s="26"/>
    </row>
    <row r="512" spans="5:8" ht="13.5" customHeight="1">
      <c r="E512" s="26"/>
      <c r="F512" s="26"/>
      <c r="G512" s="27"/>
      <c r="H512" s="26"/>
    </row>
    <row r="513" spans="5:8" ht="13.5" customHeight="1">
      <c r="E513" s="26"/>
      <c r="F513" s="26"/>
      <c r="G513" s="27"/>
      <c r="H513" s="26"/>
    </row>
    <row r="514" spans="5:8" ht="13.5" customHeight="1">
      <c r="E514" s="26"/>
      <c r="F514" s="26"/>
      <c r="G514" s="27"/>
      <c r="H514" s="26"/>
    </row>
    <row r="515" spans="5:8" ht="13.5" customHeight="1">
      <c r="E515" s="26"/>
      <c r="F515" s="26"/>
      <c r="G515" s="27"/>
      <c r="H515" s="26"/>
    </row>
    <row r="516" spans="5:8" ht="13.5" customHeight="1">
      <c r="E516" s="26"/>
      <c r="F516" s="26"/>
      <c r="G516" s="27"/>
      <c r="H516" s="26"/>
    </row>
    <row r="517" spans="5:8" ht="13.5" customHeight="1">
      <c r="E517" s="26"/>
      <c r="F517" s="26"/>
      <c r="G517" s="27"/>
      <c r="H517" s="26"/>
    </row>
    <row r="518" spans="5:8" ht="13.5" customHeight="1">
      <c r="E518" s="26"/>
      <c r="F518" s="26"/>
      <c r="G518" s="27"/>
      <c r="H518" s="26"/>
    </row>
    <row r="519" spans="5:8" ht="13.5" customHeight="1">
      <c r="E519" s="26"/>
      <c r="F519" s="26"/>
      <c r="G519" s="27"/>
      <c r="H519" s="26"/>
    </row>
    <row r="520" spans="5:8" ht="13.5" customHeight="1">
      <c r="E520" s="26"/>
      <c r="F520" s="26"/>
      <c r="G520" s="27"/>
      <c r="H520" s="26"/>
    </row>
    <row r="521" spans="5:8" ht="13.5" customHeight="1">
      <c r="E521" s="26"/>
      <c r="F521" s="26"/>
      <c r="G521" s="27"/>
      <c r="H521" s="26"/>
    </row>
    <row r="522" spans="5:8" ht="13.5" customHeight="1">
      <c r="E522" s="26"/>
      <c r="F522" s="26"/>
      <c r="G522" s="27"/>
      <c r="H522" s="26"/>
    </row>
    <row r="523" spans="5:8" ht="13.5" customHeight="1">
      <c r="E523" s="26"/>
      <c r="F523" s="26"/>
      <c r="G523" s="27"/>
      <c r="H523" s="26"/>
    </row>
    <row r="524" spans="5:8" ht="13.5" customHeight="1">
      <c r="E524" s="26"/>
      <c r="F524" s="26"/>
      <c r="G524" s="27"/>
      <c r="H524" s="26"/>
    </row>
    <row r="525" spans="5:8" ht="13.5" customHeight="1">
      <c r="E525" s="26"/>
      <c r="F525" s="26"/>
      <c r="G525" s="27"/>
      <c r="H525" s="26"/>
    </row>
    <row r="526" spans="5:8" ht="13.5" customHeight="1">
      <c r="E526" s="26"/>
      <c r="F526" s="26"/>
      <c r="G526" s="27"/>
      <c r="H526" s="26"/>
    </row>
    <row r="527" spans="5:8" ht="13.5" customHeight="1">
      <c r="E527" s="26"/>
      <c r="F527" s="26"/>
      <c r="G527" s="27"/>
      <c r="H527" s="26"/>
    </row>
    <row r="528" spans="5:8" ht="13.5" customHeight="1">
      <c r="E528" s="26"/>
      <c r="F528" s="26"/>
      <c r="G528" s="27"/>
      <c r="H528" s="26"/>
    </row>
    <row r="529" spans="5:8" ht="13.5" customHeight="1">
      <c r="E529" s="26"/>
      <c r="F529" s="26"/>
      <c r="G529" s="27"/>
      <c r="H529" s="26"/>
    </row>
    <row r="530" spans="5:8" ht="13.5" customHeight="1">
      <c r="E530" s="26"/>
      <c r="F530" s="26"/>
      <c r="G530" s="27"/>
      <c r="H530" s="26"/>
    </row>
    <row r="531" spans="5:8" ht="13.5" customHeight="1">
      <c r="E531" s="26"/>
      <c r="F531" s="26"/>
      <c r="G531" s="27"/>
      <c r="H531" s="26"/>
    </row>
    <row r="532" spans="5:8" ht="13.5" customHeight="1">
      <c r="E532" s="26"/>
      <c r="F532" s="26"/>
      <c r="G532" s="27"/>
      <c r="H532" s="26"/>
    </row>
    <row r="533" spans="5:8" ht="13.5" customHeight="1">
      <c r="E533" s="26"/>
      <c r="F533" s="26"/>
      <c r="G533" s="27"/>
      <c r="H533" s="26"/>
    </row>
    <row r="534" spans="5:8" ht="13.5" customHeight="1">
      <c r="E534" s="26"/>
      <c r="F534" s="26"/>
      <c r="G534" s="27"/>
      <c r="H534" s="26"/>
    </row>
    <row r="535" spans="5:8" ht="13.5" customHeight="1">
      <c r="E535" s="26"/>
      <c r="F535" s="26"/>
      <c r="G535" s="27"/>
      <c r="H535" s="26"/>
    </row>
    <row r="536" spans="5:8" ht="13.5" customHeight="1">
      <c r="E536" s="26"/>
      <c r="F536" s="26"/>
      <c r="G536" s="27"/>
      <c r="H536" s="26"/>
    </row>
    <row r="537" spans="5:8" ht="13.5" customHeight="1">
      <c r="E537" s="26"/>
      <c r="F537" s="26"/>
      <c r="G537" s="27"/>
      <c r="H537" s="26"/>
    </row>
    <row r="538" spans="5:8" ht="13.5" customHeight="1">
      <c r="E538" s="26"/>
      <c r="F538" s="26"/>
      <c r="G538" s="27"/>
      <c r="H538" s="26"/>
    </row>
    <row r="539" spans="5:8" ht="13.5" customHeight="1">
      <c r="E539" s="26"/>
      <c r="F539" s="26"/>
      <c r="G539" s="27"/>
      <c r="H539" s="26"/>
    </row>
    <row r="540" spans="5:8" ht="13.5" customHeight="1">
      <c r="E540" s="26"/>
      <c r="F540" s="26"/>
      <c r="G540" s="27"/>
      <c r="H540" s="26"/>
    </row>
    <row r="541" spans="5:8" ht="13.5" customHeight="1">
      <c r="E541" s="26"/>
      <c r="F541" s="26"/>
      <c r="G541" s="27"/>
      <c r="H541" s="26"/>
    </row>
    <row r="542" spans="5:8" ht="13.5" customHeight="1">
      <c r="E542" s="26"/>
      <c r="F542" s="26"/>
      <c r="G542" s="27"/>
      <c r="H542" s="26"/>
    </row>
    <row r="543" spans="5:8" ht="13.5" customHeight="1">
      <c r="E543" s="26"/>
      <c r="F543" s="26"/>
      <c r="G543" s="27"/>
      <c r="H543" s="26"/>
    </row>
    <row r="544" spans="5:8" ht="13.5" customHeight="1">
      <c r="E544" s="26"/>
      <c r="F544" s="26"/>
      <c r="G544" s="27"/>
      <c r="H544" s="26"/>
    </row>
    <row r="545" spans="5:8" ht="13.5" customHeight="1">
      <c r="E545" s="26"/>
      <c r="F545" s="26"/>
      <c r="G545" s="27"/>
      <c r="H545" s="26"/>
    </row>
    <row r="546" spans="5:8" ht="13.5" customHeight="1">
      <c r="E546" s="26"/>
      <c r="F546" s="26"/>
      <c r="G546" s="27"/>
      <c r="H546" s="26"/>
    </row>
    <row r="547" spans="5:8" ht="13.5" customHeight="1">
      <c r="E547" s="26"/>
      <c r="F547" s="26"/>
      <c r="G547" s="27"/>
      <c r="H547" s="26"/>
    </row>
    <row r="548" spans="5:8" ht="13.5" customHeight="1">
      <c r="E548" s="26"/>
      <c r="F548" s="26"/>
      <c r="G548" s="27"/>
      <c r="H548" s="26"/>
    </row>
    <row r="549" spans="5:8" ht="13.5" customHeight="1">
      <c r="E549" s="26"/>
      <c r="F549" s="26"/>
      <c r="G549" s="27"/>
      <c r="H549" s="26"/>
    </row>
    <row r="550" spans="5:8" ht="13.5" customHeight="1">
      <c r="E550" s="26"/>
      <c r="F550" s="26"/>
      <c r="G550" s="27"/>
      <c r="H550" s="26"/>
    </row>
    <row r="551" spans="5:8" ht="13.5" customHeight="1">
      <c r="E551" s="26"/>
      <c r="F551" s="26"/>
      <c r="G551" s="27"/>
      <c r="H551" s="26"/>
    </row>
    <row r="552" spans="5:8" ht="13.5" customHeight="1">
      <c r="E552" s="26"/>
      <c r="F552" s="26"/>
      <c r="G552" s="27"/>
      <c r="H552" s="26"/>
    </row>
    <row r="553" spans="5:8" ht="13.5" customHeight="1">
      <c r="E553" s="26"/>
      <c r="F553" s="26"/>
      <c r="G553" s="27"/>
      <c r="H553" s="26"/>
    </row>
    <row r="554" spans="5:8" ht="13.5" customHeight="1">
      <c r="E554" s="26"/>
      <c r="F554" s="26"/>
      <c r="G554" s="27"/>
      <c r="H554" s="26"/>
    </row>
    <row r="555" spans="5:8" ht="13.5" customHeight="1">
      <c r="E555" s="26"/>
      <c r="F555" s="26"/>
      <c r="G555" s="27"/>
      <c r="H555" s="26"/>
    </row>
    <row r="556" spans="5:8" ht="13.5" customHeight="1">
      <c r="E556" s="26"/>
      <c r="F556" s="26"/>
      <c r="G556" s="27"/>
      <c r="H556" s="26"/>
    </row>
    <row r="557" spans="5:8" ht="13.5" customHeight="1">
      <c r="E557" s="26"/>
      <c r="F557" s="26"/>
      <c r="G557" s="27"/>
      <c r="H557" s="26"/>
    </row>
    <row r="558" spans="5:8" ht="13.5" customHeight="1">
      <c r="E558" s="26"/>
      <c r="F558" s="26"/>
      <c r="G558" s="27"/>
      <c r="H558" s="26"/>
    </row>
    <row r="559" spans="5:8" ht="13.5" customHeight="1">
      <c r="E559" s="26"/>
      <c r="F559" s="26"/>
      <c r="G559" s="27"/>
      <c r="H559" s="26"/>
    </row>
    <row r="560" spans="5:8" ht="13.5" customHeight="1">
      <c r="E560" s="26"/>
      <c r="F560" s="26"/>
      <c r="G560" s="27"/>
      <c r="H560" s="26"/>
    </row>
    <row r="561" spans="5:8" ht="13.5" customHeight="1">
      <c r="E561" s="26"/>
      <c r="F561" s="26"/>
      <c r="G561" s="27"/>
      <c r="H561" s="26"/>
    </row>
    <row r="562" spans="5:8" ht="13.5" customHeight="1">
      <c r="E562" s="26"/>
      <c r="F562" s="26"/>
      <c r="G562" s="27"/>
      <c r="H562" s="26"/>
    </row>
    <row r="563" spans="5:8" ht="13.5" customHeight="1">
      <c r="E563" s="26"/>
      <c r="F563" s="26"/>
      <c r="G563" s="27"/>
      <c r="H563" s="26"/>
    </row>
    <row r="564" spans="5:8" ht="13.5" customHeight="1">
      <c r="E564" s="26"/>
      <c r="F564" s="26"/>
      <c r="G564" s="27"/>
      <c r="H564" s="26"/>
    </row>
    <row r="565" spans="5:8" ht="13.5" customHeight="1">
      <c r="E565" s="26"/>
      <c r="F565" s="26"/>
      <c r="G565" s="27"/>
      <c r="H565" s="26"/>
    </row>
    <row r="566" spans="5:8" ht="13.5" customHeight="1">
      <c r="E566" s="26"/>
      <c r="F566" s="26"/>
      <c r="G566" s="27"/>
      <c r="H566" s="26"/>
    </row>
    <row r="567" spans="5:8" ht="13.5" customHeight="1">
      <c r="E567" s="26"/>
      <c r="F567" s="26"/>
      <c r="G567" s="27"/>
      <c r="H567" s="26"/>
    </row>
    <row r="568" spans="5:8" ht="13.5" customHeight="1">
      <c r="E568" s="26"/>
      <c r="F568" s="26"/>
      <c r="G568" s="27"/>
      <c r="H568" s="26"/>
    </row>
    <row r="569" spans="5:8" ht="13.5" customHeight="1">
      <c r="E569" s="26"/>
      <c r="F569" s="26"/>
      <c r="G569" s="27"/>
      <c r="H569" s="26"/>
    </row>
    <row r="570" spans="5:8" ht="13.5" customHeight="1">
      <c r="E570" s="26"/>
      <c r="F570" s="26"/>
      <c r="G570" s="27"/>
      <c r="H570" s="26"/>
    </row>
    <row r="571" spans="5:8" ht="13.5" customHeight="1">
      <c r="E571" s="26"/>
      <c r="F571" s="26"/>
      <c r="G571" s="27"/>
      <c r="H571" s="26"/>
    </row>
    <row r="572" spans="5:8" ht="13.5" customHeight="1">
      <c r="E572" s="26"/>
      <c r="F572" s="26"/>
      <c r="G572" s="27"/>
      <c r="H572" s="26"/>
    </row>
    <row r="573" spans="5:8" ht="13.5" customHeight="1">
      <c r="E573" s="26"/>
      <c r="F573" s="26"/>
      <c r="G573" s="27"/>
      <c r="H573" s="26"/>
    </row>
    <row r="574" spans="5:8" ht="13.5" customHeight="1">
      <c r="E574" s="26"/>
      <c r="F574" s="26"/>
      <c r="G574" s="27"/>
      <c r="H574" s="26"/>
    </row>
    <row r="575" spans="5:8" ht="13.5" customHeight="1">
      <c r="E575" s="26"/>
      <c r="F575" s="26"/>
      <c r="G575" s="27"/>
      <c r="H575" s="26"/>
    </row>
    <row r="576" spans="5:8" ht="13.5" customHeight="1">
      <c r="E576" s="26"/>
      <c r="F576" s="26"/>
      <c r="G576" s="27"/>
      <c r="H576" s="26"/>
    </row>
    <row r="577" spans="5:8" ht="13.5" customHeight="1">
      <c r="E577" s="26"/>
      <c r="F577" s="26"/>
      <c r="G577" s="27"/>
      <c r="H577" s="26"/>
    </row>
    <row r="578" spans="5:8" ht="13.5" customHeight="1">
      <c r="E578" s="26"/>
      <c r="F578" s="26"/>
      <c r="G578" s="27"/>
      <c r="H578" s="26"/>
    </row>
    <row r="579" spans="5:8" ht="13.5" customHeight="1">
      <c r="E579" s="26"/>
      <c r="F579" s="26"/>
      <c r="G579" s="27"/>
      <c r="H579" s="26"/>
    </row>
    <row r="580" spans="5:8" ht="13.5" customHeight="1">
      <c r="E580" s="26"/>
      <c r="F580" s="26"/>
      <c r="G580" s="27"/>
      <c r="H580" s="26"/>
    </row>
    <row r="581" spans="5:8" ht="13.5" customHeight="1">
      <c r="E581" s="26"/>
      <c r="F581" s="26"/>
      <c r="G581" s="27"/>
      <c r="H581" s="26"/>
    </row>
    <row r="582" spans="5:8" ht="13.5" customHeight="1">
      <c r="E582" s="26"/>
      <c r="F582" s="26"/>
      <c r="G582" s="27"/>
      <c r="H582" s="26"/>
    </row>
    <row r="583" spans="5:8" ht="13.5" customHeight="1">
      <c r="E583" s="26"/>
      <c r="F583" s="26"/>
      <c r="G583" s="27"/>
      <c r="H583" s="26"/>
    </row>
    <row r="584" spans="5:8" ht="13.5" customHeight="1">
      <c r="E584" s="26"/>
      <c r="F584" s="26"/>
      <c r="G584" s="27"/>
      <c r="H584" s="26"/>
    </row>
    <row r="585" spans="5:8" ht="13.5" customHeight="1">
      <c r="E585" s="26"/>
      <c r="F585" s="26"/>
      <c r="G585" s="27"/>
      <c r="H585" s="26"/>
    </row>
    <row r="586" spans="5:8" ht="13.5" customHeight="1">
      <c r="E586" s="26"/>
      <c r="F586" s="26"/>
      <c r="G586" s="27"/>
      <c r="H586" s="26"/>
    </row>
    <row r="587" spans="5:8" ht="13.5" customHeight="1">
      <c r="E587" s="26"/>
      <c r="F587" s="26"/>
      <c r="G587" s="27"/>
      <c r="H587" s="26"/>
    </row>
    <row r="588" spans="5:8" ht="13.5" customHeight="1">
      <c r="E588" s="26"/>
      <c r="F588" s="26"/>
      <c r="G588" s="27"/>
      <c r="H588" s="26"/>
    </row>
    <row r="589" spans="5:8" ht="13.5" customHeight="1">
      <c r="E589" s="26"/>
      <c r="F589" s="26"/>
      <c r="G589" s="27"/>
      <c r="H589" s="26"/>
    </row>
    <row r="590" spans="5:8" ht="13.5" customHeight="1">
      <c r="E590" s="26"/>
      <c r="F590" s="26"/>
      <c r="G590" s="27"/>
      <c r="H590" s="26"/>
    </row>
    <row r="591" spans="5:8" ht="13.5" customHeight="1">
      <c r="E591" s="26"/>
      <c r="F591" s="26"/>
      <c r="G591" s="27"/>
      <c r="H591" s="26"/>
    </row>
    <row r="592" spans="5:8" ht="13.5" customHeight="1">
      <c r="E592" s="26"/>
      <c r="F592" s="26"/>
      <c r="G592" s="27"/>
      <c r="H592" s="26"/>
    </row>
    <row r="593" spans="5:8" ht="13.5" customHeight="1">
      <c r="E593" s="26"/>
      <c r="F593" s="26"/>
      <c r="G593" s="27"/>
      <c r="H593" s="26"/>
    </row>
    <row r="594" spans="5:8" ht="13.5" customHeight="1">
      <c r="E594" s="26"/>
      <c r="F594" s="26"/>
      <c r="G594" s="27"/>
      <c r="H594" s="26"/>
    </row>
    <row r="595" spans="5:8" ht="13.5" customHeight="1">
      <c r="E595" s="26"/>
      <c r="F595" s="26"/>
      <c r="G595" s="27"/>
      <c r="H595" s="26"/>
    </row>
    <row r="596" spans="5:8" ht="13.5" customHeight="1">
      <c r="E596" s="26"/>
      <c r="F596" s="26"/>
      <c r="G596" s="27"/>
      <c r="H596" s="26"/>
    </row>
    <row r="597" spans="5:8" ht="13.5" customHeight="1">
      <c r="E597" s="26"/>
      <c r="F597" s="26"/>
      <c r="G597" s="27"/>
      <c r="H597" s="26"/>
    </row>
    <row r="598" spans="5:8" ht="13.5" customHeight="1">
      <c r="E598" s="26"/>
      <c r="F598" s="26"/>
      <c r="G598" s="27"/>
      <c r="H598" s="26"/>
    </row>
    <row r="599" spans="5:8" ht="13.5" customHeight="1">
      <c r="E599" s="26"/>
      <c r="F599" s="26"/>
      <c r="G599" s="27"/>
      <c r="H599" s="26"/>
    </row>
    <row r="600" spans="5:8" ht="13.5" customHeight="1">
      <c r="E600" s="26"/>
      <c r="F600" s="26"/>
      <c r="G600" s="27"/>
      <c r="H600" s="26"/>
    </row>
    <row r="601" spans="5:8" ht="13.5" customHeight="1">
      <c r="E601" s="26"/>
      <c r="F601" s="26"/>
      <c r="G601" s="27"/>
      <c r="H601" s="26"/>
    </row>
    <row r="602" spans="5:8" ht="13.5" customHeight="1">
      <c r="E602" s="26"/>
      <c r="F602" s="26"/>
      <c r="G602" s="27"/>
      <c r="H602" s="26"/>
    </row>
    <row r="603" spans="5:8" ht="13.5" customHeight="1">
      <c r="E603" s="26"/>
      <c r="F603" s="26"/>
      <c r="G603" s="27"/>
      <c r="H603" s="26"/>
    </row>
    <row r="604" spans="5:8" ht="13.5" customHeight="1">
      <c r="E604" s="26"/>
      <c r="F604" s="26"/>
      <c r="G604" s="27"/>
      <c r="H604" s="26"/>
    </row>
    <row r="605" spans="5:8" ht="13.5" customHeight="1">
      <c r="E605" s="26"/>
      <c r="F605" s="26"/>
      <c r="G605" s="27"/>
      <c r="H605" s="26"/>
    </row>
    <row r="606" spans="5:8" ht="13.5" customHeight="1">
      <c r="E606" s="26"/>
      <c r="F606" s="26"/>
      <c r="G606" s="27"/>
      <c r="H606" s="26"/>
    </row>
    <row r="607" spans="5:8" ht="13.5" customHeight="1">
      <c r="E607" s="26"/>
      <c r="F607" s="26"/>
      <c r="G607" s="27"/>
      <c r="H607" s="26"/>
    </row>
    <row r="608" spans="5:8" ht="13.5" customHeight="1">
      <c r="E608" s="26"/>
      <c r="F608" s="26"/>
      <c r="G608" s="27"/>
      <c r="H608" s="26"/>
    </row>
    <row r="609" spans="5:8" ht="13.5" customHeight="1">
      <c r="E609" s="26"/>
      <c r="F609" s="26"/>
      <c r="G609" s="27"/>
      <c r="H609" s="26"/>
    </row>
    <row r="610" spans="5:8" ht="13.5" customHeight="1">
      <c r="E610" s="26"/>
      <c r="F610" s="26"/>
      <c r="G610" s="27"/>
      <c r="H610" s="26"/>
    </row>
    <row r="611" spans="5:8" ht="13.5" customHeight="1">
      <c r="E611" s="26"/>
      <c r="F611" s="26"/>
      <c r="G611" s="27"/>
      <c r="H611" s="26"/>
    </row>
    <row r="612" spans="5:8" ht="13.5" customHeight="1">
      <c r="E612" s="26"/>
      <c r="F612" s="26"/>
      <c r="G612" s="27"/>
      <c r="H612" s="26"/>
    </row>
    <row r="613" spans="5:8" ht="13.5" customHeight="1">
      <c r="E613" s="26"/>
      <c r="F613" s="26"/>
      <c r="G613" s="27"/>
      <c r="H613" s="26"/>
    </row>
    <row r="614" spans="5:8" ht="13.5" customHeight="1">
      <c r="E614" s="26"/>
      <c r="F614" s="26"/>
      <c r="G614" s="27"/>
      <c r="H614" s="26"/>
    </row>
    <row r="615" spans="5:8" ht="13.5" customHeight="1">
      <c r="E615" s="26"/>
      <c r="F615" s="26"/>
      <c r="G615" s="27"/>
      <c r="H615" s="26"/>
    </row>
    <row r="616" spans="5:8" ht="13.5" customHeight="1">
      <c r="E616" s="26"/>
      <c r="F616" s="26"/>
      <c r="G616" s="27"/>
      <c r="H616" s="26"/>
    </row>
    <row r="617" spans="5:8" ht="13.5" customHeight="1">
      <c r="E617" s="26"/>
      <c r="F617" s="26"/>
      <c r="G617" s="27"/>
      <c r="H617" s="26"/>
    </row>
    <row r="618" spans="5:8" ht="13.5" customHeight="1">
      <c r="E618" s="26"/>
      <c r="F618" s="26"/>
      <c r="G618" s="27"/>
      <c r="H618" s="26"/>
    </row>
    <row r="619" spans="5:8" ht="13.5" customHeight="1">
      <c r="E619" s="26"/>
      <c r="F619" s="26"/>
      <c r="G619" s="27"/>
      <c r="H619" s="26"/>
    </row>
    <row r="620" spans="5:8" ht="13.5" customHeight="1">
      <c r="E620" s="26"/>
      <c r="F620" s="26"/>
      <c r="G620" s="27"/>
      <c r="H620" s="26"/>
    </row>
    <row r="621" spans="5:8" ht="13.5" customHeight="1">
      <c r="E621" s="26"/>
      <c r="F621" s="26"/>
      <c r="G621" s="27"/>
      <c r="H621" s="26"/>
    </row>
    <row r="622" spans="5:8" ht="13.5" customHeight="1">
      <c r="E622" s="26"/>
      <c r="F622" s="26"/>
      <c r="G622" s="27"/>
      <c r="H622" s="26"/>
    </row>
    <row r="623" spans="5:8" ht="13.5" customHeight="1">
      <c r="E623" s="26"/>
      <c r="F623" s="26"/>
      <c r="G623" s="27"/>
      <c r="H623" s="26"/>
    </row>
    <row r="624" spans="5:8" ht="13.5" customHeight="1">
      <c r="E624" s="26"/>
      <c r="F624" s="26"/>
      <c r="G624" s="27"/>
      <c r="H624" s="26"/>
    </row>
    <row r="625" spans="5:8" ht="13.5" customHeight="1">
      <c r="E625" s="26"/>
      <c r="F625" s="26"/>
      <c r="G625" s="27"/>
      <c r="H625" s="26"/>
    </row>
    <row r="626" spans="5:8" ht="13.5" customHeight="1">
      <c r="E626" s="26"/>
      <c r="F626" s="26"/>
      <c r="G626" s="27"/>
      <c r="H626" s="26"/>
    </row>
    <row r="627" spans="5:8" ht="13.5" customHeight="1">
      <c r="E627" s="26"/>
      <c r="F627" s="26"/>
      <c r="G627" s="27"/>
      <c r="H627" s="26"/>
    </row>
    <row r="628" spans="5:8" ht="13.5" customHeight="1">
      <c r="E628" s="26"/>
      <c r="F628" s="26"/>
      <c r="G628" s="27"/>
      <c r="H628" s="26"/>
    </row>
    <row r="629" spans="5:8" ht="13.5" customHeight="1">
      <c r="E629" s="26"/>
      <c r="F629" s="26"/>
      <c r="G629" s="27"/>
      <c r="H629" s="26"/>
    </row>
    <row r="630" spans="5:8" ht="13.5" customHeight="1">
      <c r="E630" s="26"/>
      <c r="F630" s="26"/>
      <c r="G630" s="27"/>
      <c r="H630" s="26"/>
    </row>
    <row r="631" spans="5:8" ht="13.5" customHeight="1">
      <c r="E631" s="26"/>
      <c r="F631" s="26"/>
      <c r="G631" s="27"/>
      <c r="H631" s="26"/>
    </row>
    <row r="632" spans="5:8" ht="13.5" customHeight="1">
      <c r="E632" s="26"/>
      <c r="F632" s="26"/>
      <c r="G632" s="27"/>
      <c r="H632" s="26"/>
    </row>
    <row r="633" spans="5:8" ht="13.5" customHeight="1">
      <c r="E633" s="26"/>
      <c r="F633" s="26"/>
      <c r="G633" s="27"/>
      <c r="H633" s="26"/>
    </row>
    <row r="634" spans="5:8" ht="13.5" customHeight="1">
      <c r="E634" s="26"/>
      <c r="F634" s="26"/>
      <c r="G634" s="27"/>
      <c r="H634" s="26"/>
    </row>
    <row r="635" spans="5:8" ht="13.5" customHeight="1">
      <c r="E635" s="26"/>
      <c r="F635" s="26"/>
      <c r="G635" s="27"/>
      <c r="H635" s="26"/>
    </row>
    <row r="636" spans="5:8" ht="13.5" customHeight="1">
      <c r="E636" s="26"/>
      <c r="F636" s="26"/>
      <c r="G636" s="27"/>
      <c r="H636" s="26"/>
    </row>
    <row r="637" spans="5:8" ht="13.5" customHeight="1">
      <c r="E637" s="26"/>
      <c r="F637" s="26"/>
      <c r="G637" s="27"/>
      <c r="H637" s="26"/>
    </row>
    <row r="638" spans="5:8" ht="13.5" customHeight="1">
      <c r="E638" s="26"/>
      <c r="F638" s="26"/>
      <c r="G638" s="27"/>
      <c r="H638" s="26"/>
    </row>
    <row r="639" spans="5:8" ht="13.5" customHeight="1">
      <c r="E639" s="26"/>
      <c r="F639" s="26"/>
      <c r="G639" s="27"/>
      <c r="H639" s="26"/>
    </row>
    <row r="640" spans="5:8" ht="13.5" customHeight="1">
      <c r="E640" s="26"/>
      <c r="F640" s="26"/>
      <c r="G640" s="27"/>
      <c r="H640" s="26"/>
    </row>
    <row r="641" spans="5:8" ht="13.5" customHeight="1">
      <c r="E641" s="26"/>
      <c r="F641" s="26"/>
      <c r="G641" s="27"/>
      <c r="H641" s="26"/>
    </row>
    <row r="642" spans="5:8" ht="13.5" customHeight="1">
      <c r="E642" s="26"/>
      <c r="F642" s="26"/>
      <c r="G642" s="27"/>
      <c r="H642" s="26"/>
    </row>
    <row r="643" spans="5:8" ht="13.5" customHeight="1">
      <c r="E643" s="26"/>
      <c r="F643" s="26"/>
      <c r="G643" s="27"/>
      <c r="H643" s="26"/>
    </row>
    <row r="644" spans="5:8" ht="13.5" customHeight="1">
      <c r="E644" s="26"/>
      <c r="F644" s="26"/>
      <c r="G644" s="27"/>
      <c r="H644" s="26"/>
    </row>
    <row r="645" spans="5:8" ht="13.5" customHeight="1">
      <c r="E645" s="26"/>
      <c r="F645" s="26"/>
      <c r="G645" s="27"/>
      <c r="H645" s="26"/>
    </row>
    <row r="646" spans="5:8" ht="13.5" customHeight="1">
      <c r="E646" s="26"/>
      <c r="F646" s="26"/>
      <c r="G646" s="27"/>
      <c r="H646" s="26"/>
    </row>
    <row r="647" spans="5:8" ht="13.5" customHeight="1">
      <c r="E647" s="26"/>
      <c r="F647" s="26"/>
      <c r="G647" s="27"/>
      <c r="H647" s="26"/>
    </row>
    <row r="648" spans="5:8" ht="13.5" customHeight="1">
      <c r="E648" s="26"/>
      <c r="F648" s="26"/>
      <c r="G648" s="27"/>
      <c r="H648" s="26"/>
    </row>
    <row r="649" spans="5:8" ht="13.5" customHeight="1">
      <c r="E649" s="26"/>
      <c r="F649" s="26"/>
      <c r="G649" s="27"/>
      <c r="H649" s="26"/>
    </row>
    <row r="650" spans="5:8" ht="13.5" customHeight="1">
      <c r="E650" s="26"/>
      <c r="F650" s="26"/>
      <c r="G650" s="27"/>
      <c r="H650" s="26"/>
    </row>
    <row r="651" spans="5:8" ht="13.5" customHeight="1">
      <c r="E651" s="26"/>
      <c r="F651" s="26"/>
      <c r="G651" s="27"/>
      <c r="H651" s="26"/>
    </row>
    <row r="652" spans="5:8" ht="13.5" customHeight="1">
      <c r="E652" s="26"/>
      <c r="F652" s="26"/>
      <c r="G652" s="27"/>
      <c r="H652" s="26"/>
    </row>
    <row r="653" spans="5:8" ht="13.5" customHeight="1">
      <c r="E653" s="26"/>
      <c r="F653" s="26"/>
      <c r="G653" s="27"/>
      <c r="H653" s="26"/>
    </row>
    <row r="654" spans="5:8" ht="13.5" customHeight="1">
      <c r="E654" s="26"/>
      <c r="F654" s="26"/>
      <c r="G654" s="27"/>
      <c r="H654" s="26"/>
    </row>
    <row r="655" spans="5:8" ht="13.5" customHeight="1">
      <c r="E655" s="26"/>
      <c r="F655" s="26"/>
      <c r="G655" s="27"/>
      <c r="H655" s="26"/>
    </row>
    <row r="656" spans="5:8" ht="13.5" customHeight="1">
      <c r="E656" s="26"/>
      <c r="F656" s="26"/>
      <c r="G656" s="27"/>
      <c r="H656" s="26"/>
    </row>
    <row r="657" spans="5:8" ht="13.5" customHeight="1">
      <c r="E657" s="26"/>
      <c r="F657" s="26"/>
      <c r="G657" s="27"/>
      <c r="H657" s="26"/>
    </row>
    <row r="658" spans="5:8" ht="13.5" customHeight="1">
      <c r="E658" s="26"/>
      <c r="F658" s="26"/>
      <c r="G658" s="27"/>
      <c r="H658" s="26"/>
    </row>
    <row r="659" spans="5:8" ht="13.5" customHeight="1">
      <c r="E659" s="26"/>
      <c r="F659" s="26"/>
      <c r="G659" s="27"/>
      <c r="H659" s="26"/>
    </row>
    <row r="660" spans="5:8" ht="13.5" customHeight="1">
      <c r="E660" s="26"/>
      <c r="F660" s="26"/>
      <c r="G660" s="27"/>
      <c r="H660" s="26"/>
    </row>
    <row r="661" spans="5:8" ht="13.5" customHeight="1">
      <c r="E661" s="26"/>
      <c r="F661" s="26"/>
      <c r="G661" s="27"/>
      <c r="H661" s="26"/>
    </row>
    <row r="662" spans="5:8" ht="13.5" customHeight="1">
      <c r="E662" s="26"/>
      <c r="F662" s="26"/>
      <c r="G662" s="27"/>
      <c r="H662" s="26"/>
    </row>
    <row r="663" spans="5:8" ht="13.5" customHeight="1">
      <c r="E663" s="26"/>
      <c r="F663" s="26"/>
      <c r="G663" s="27"/>
      <c r="H663" s="26"/>
    </row>
    <row r="664" spans="5:8" ht="13.5" customHeight="1">
      <c r="E664" s="26"/>
      <c r="F664" s="26"/>
      <c r="G664" s="27"/>
      <c r="H664" s="26"/>
    </row>
    <row r="665" spans="5:8" ht="13.5" customHeight="1">
      <c r="E665" s="26"/>
      <c r="F665" s="26"/>
      <c r="G665" s="27"/>
      <c r="H665" s="26"/>
    </row>
    <row r="666" spans="5:8" ht="13.5" customHeight="1">
      <c r="E666" s="26"/>
      <c r="F666" s="26"/>
      <c r="G666" s="27"/>
      <c r="H666" s="26"/>
    </row>
    <row r="667" spans="5:8" ht="13.5" customHeight="1">
      <c r="E667" s="26"/>
      <c r="F667" s="26"/>
      <c r="G667" s="27"/>
      <c r="H667" s="26"/>
    </row>
    <row r="668" spans="5:8" ht="13.5" customHeight="1">
      <c r="E668" s="26"/>
      <c r="F668" s="26"/>
      <c r="G668" s="27"/>
      <c r="H668" s="26"/>
    </row>
    <row r="669" spans="5:8" ht="13.5" customHeight="1">
      <c r="E669" s="26"/>
      <c r="F669" s="26"/>
      <c r="G669" s="27"/>
      <c r="H669" s="26"/>
    </row>
    <row r="670" spans="5:8" ht="13.5" customHeight="1">
      <c r="E670" s="26"/>
      <c r="F670" s="26"/>
      <c r="G670" s="27"/>
      <c r="H670" s="26"/>
    </row>
    <row r="671" spans="5:8" ht="13.5" customHeight="1">
      <c r="E671" s="26"/>
      <c r="F671" s="26"/>
      <c r="G671" s="27"/>
      <c r="H671" s="26"/>
    </row>
    <row r="672" spans="5:8" ht="13.5" customHeight="1">
      <c r="E672" s="26"/>
      <c r="F672" s="26"/>
      <c r="G672" s="27"/>
      <c r="H672" s="26"/>
    </row>
    <row r="673" spans="5:8" ht="13.5" customHeight="1">
      <c r="E673" s="26"/>
      <c r="F673" s="26"/>
      <c r="G673" s="27"/>
      <c r="H673" s="26"/>
    </row>
    <row r="674" spans="5:8" ht="13.5" customHeight="1">
      <c r="E674" s="26"/>
      <c r="F674" s="26"/>
      <c r="G674" s="27"/>
      <c r="H674" s="26"/>
    </row>
    <row r="675" spans="5:8" ht="13.5" customHeight="1">
      <c r="E675" s="26"/>
      <c r="F675" s="26"/>
      <c r="G675" s="27"/>
      <c r="H675" s="26"/>
    </row>
    <row r="676" spans="5:8" ht="13.5" customHeight="1">
      <c r="E676" s="26"/>
      <c r="F676" s="26"/>
      <c r="G676" s="27"/>
      <c r="H676" s="26"/>
    </row>
    <row r="677" spans="5:8" ht="13.5" customHeight="1">
      <c r="E677" s="26"/>
      <c r="F677" s="26"/>
      <c r="G677" s="27"/>
      <c r="H677" s="26"/>
    </row>
    <row r="678" spans="5:8" ht="13.5" customHeight="1">
      <c r="E678" s="26"/>
      <c r="F678" s="26"/>
      <c r="G678" s="27"/>
      <c r="H678" s="26"/>
    </row>
    <row r="679" spans="5:8" ht="13.5" customHeight="1">
      <c r="E679" s="26"/>
      <c r="F679" s="26"/>
      <c r="G679" s="27"/>
      <c r="H679" s="26"/>
    </row>
    <row r="680" spans="5:8" ht="13.5" customHeight="1">
      <c r="E680" s="26"/>
      <c r="F680" s="26"/>
      <c r="G680" s="27"/>
      <c r="H680" s="26"/>
    </row>
    <row r="681" spans="5:8" ht="13.5" customHeight="1">
      <c r="E681" s="26"/>
      <c r="F681" s="26"/>
      <c r="G681" s="27"/>
      <c r="H681" s="26"/>
    </row>
    <row r="682" spans="5:8" ht="13.5" customHeight="1">
      <c r="E682" s="26"/>
      <c r="F682" s="26"/>
      <c r="G682" s="27"/>
      <c r="H682" s="26"/>
    </row>
    <row r="683" spans="5:8" ht="13.5" customHeight="1">
      <c r="E683" s="26"/>
      <c r="F683" s="26"/>
      <c r="G683" s="27"/>
      <c r="H683" s="26"/>
    </row>
    <row r="684" spans="5:8" ht="13.5" customHeight="1">
      <c r="E684" s="26"/>
      <c r="F684" s="26"/>
      <c r="G684" s="27"/>
      <c r="H684" s="26"/>
    </row>
    <row r="685" spans="5:8" ht="13.5" customHeight="1">
      <c r="E685" s="26"/>
      <c r="F685" s="26"/>
      <c r="G685" s="27"/>
      <c r="H685" s="26"/>
    </row>
    <row r="686" spans="5:8" ht="13.5" customHeight="1">
      <c r="E686" s="26"/>
      <c r="F686" s="26"/>
      <c r="G686" s="27"/>
      <c r="H686" s="26"/>
    </row>
    <row r="687" spans="5:8" ht="13.5" customHeight="1">
      <c r="E687" s="26"/>
      <c r="F687" s="26"/>
      <c r="G687" s="27"/>
      <c r="H687" s="26"/>
    </row>
    <row r="688" spans="5:8" ht="13.5" customHeight="1">
      <c r="E688" s="26"/>
      <c r="F688" s="26"/>
      <c r="G688" s="27"/>
      <c r="H688" s="26"/>
    </row>
    <row r="689" spans="5:8" ht="13.5" customHeight="1">
      <c r="E689" s="26"/>
      <c r="F689" s="26"/>
      <c r="G689" s="27"/>
      <c r="H689" s="26"/>
    </row>
    <row r="690" spans="5:8" ht="13.5" customHeight="1">
      <c r="E690" s="26"/>
      <c r="F690" s="26"/>
      <c r="G690" s="27"/>
      <c r="H690" s="26"/>
    </row>
    <row r="691" spans="5:8" ht="13.5" customHeight="1">
      <c r="E691" s="26"/>
      <c r="F691" s="26"/>
      <c r="G691" s="27"/>
      <c r="H691" s="26"/>
    </row>
    <row r="692" spans="5:8" ht="13.5" customHeight="1">
      <c r="E692" s="26"/>
      <c r="F692" s="26"/>
      <c r="G692" s="27"/>
      <c r="H692" s="26"/>
    </row>
    <row r="693" spans="5:8" ht="13.5" customHeight="1">
      <c r="E693" s="26"/>
      <c r="F693" s="26"/>
      <c r="G693" s="27"/>
      <c r="H693" s="26"/>
    </row>
    <row r="694" spans="5:8" ht="13.5" customHeight="1">
      <c r="E694" s="26"/>
      <c r="F694" s="26"/>
      <c r="G694" s="27"/>
      <c r="H694" s="26"/>
    </row>
    <row r="695" spans="5:8" ht="13.5" customHeight="1">
      <c r="E695" s="26"/>
      <c r="F695" s="26"/>
      <c r="G695" s="27"/>
      <c r="H695" s="26"/>
    </row>
    <row r="696" spans="5:8" ht="13.5" customHeight="1">
      <c r="E696" s="26"/>
      <c r="F696" s="26"/>
      <c r="G696" s="27"/>
      <c r="H696" s="26"/>
    </row>
    <row r="697" spans="5:8" ht="13.5" customHeight="1">
      <c r="E697" s="26"/>
      <c r="F697" s="26"/>
      <c r="G697" s="27"/>
      <c r="H697" s="26"/>
    </row>
    <row r="698" spans="5:8" ht="13.5" customHeight="1">
      <c r="E698" s="26"/>
      <c r="F698" s="26"/>
      <c r="G698" s="27"/>
      <c r="H698" s="26"/>
    </row>
    <row r="699" spans="5:8" ht="13.5" customHeight="1">
      <c r="E699" s="26"/>
      <c r="F699" s="26"/>
      <c r="G699" s="27"/>
      <c r="H699" s="26"/>
    </row>
    <row r="700" spans="5:8" ht="13.5" customHeight="1">
      <c r="E700" s="26"/>
      <c r="F700" s="26"/>
      <c r="G700" s="27"/>
      <c r="H700" s="26"/>
    </row>
    <row r="701" spans="5:8" ht="13.5" customHeight="1">
      <c r="E701" s="26"/>
      <c r="F701" s="26"/>
      <c r="G701" s="27"/>
      <c r="H701" s="26"/>
    </row>
    <row r="702" spans="5:8" ht="13.5" customHeight="1">
      <c r="E702" s="26"/>
      <c r="F702" s="26"/>
      <c r="G702" s="27"/>
      <c r="H702" s="26"/>
    </row>
    <row r="703" spans="5:8" ht="13.5" customHeight="1">
      <c r="E703" s="26"/>
      <c r="F703" s="26"/>
      <c r="G703" s="27"/>
      <c r="H703" s="26"/>
    </row>
    <row r="704" spans="5:8" ht="13.5" customHeight="1">
      <c r="E704" s="26"/>
      <c r="F704" s="26"/>
      <c r="G704" s="27"/>
      <c r="H704" s="26"/>
    </row>
    <row r="705" spans="5:8" ht="13.5" customHeight="1">
      <c r="E705" s="26"/>
      <c r="F705" s="26"/>
      <c r="G705" s="27"/>
      <c r="H705" s="26"/>
    </row>
    <row r="706" spans="5:8" ht="13.5" customHeight="1">
      <c r="E706" s="26"/>
      <c r="F706" s="26"/>
      <c r="G706" s="27"/>
      <c r="H706" s="26"/>
    </row>
    <row r="707" spans="5:8" ht="13.5" customHeight="1">
      <c r="E707" s="26"/>
      <c r="F707" s="26"/>
      <c r="G707" s="27"/>
      <c r="H707" s="26"/>
    </row>
    <row r="708" spans="5:8" ht="13.5" customHeight="1">
      <c r="E708" s="26"/>
      <c r="F708" s="26"/>
      <c r="G708" s="27"/>
      <c r="H708" s="26"/>
    </row>
    <row r="709" spans="5:8" ht="13.5" customHeight="1">
      <c r="E709" s="26"/>
      <c r="F709" s="26"/>
      <c r="G709" s="27"/>
      <c r="H709" s="26"/>
    </row>
    <row r="710" spans="5:8" ht="13.5" customHeight="1">
      <c r="E710" s="26"/>
      <c r="F710" s="26"/>
      <c r="G710" s="27"/>
      <c r="H710" s="26"/>
    </row>
    <row r="711" spans="5:8" ht="13.5" customHeight="1">
      <c r="E711" s="26"/>
      <c r="F711" s="26"/>
      <c r="G711" s="27"/>
      <c r="H711" s="26"/>
    </row>
    <row r="712" spans="5:8" ht="13.5" customHeight="1">
      <c r="E712" s="26"/>
      <c r="F712" s="26"/>
      <c r="G712" s="27"/>
      <c r="H712" s="26"/>
    </row>
    <row r="713" spans="5:8" ht="13.5" customHeight="1">
      <c r="E713" s="26"/>
      <c r="F713" s="26"/>
      <c r="G713" s="27"/>
      <c r="H713" s="26"/>
    </row>
    <row r="714" spans="5:8" ht="13.5" customHeight="1">
      <c r="E714" s="26"/>
      <c r="F714" s="26"/>
      <c r="G714" s="27"/>
      <c r="H714" s="26"/>
    </row>
    <row r="715" spans="5:8" ht="13.5" customHeight="1">
      <c r="E715" s="26"/>
      <c r="F715" s="26"/>
      <c r="G715" s="27"/>
      <c r="H715" s="26"/>
    </row>
    <row r="716" spans="5:8" ht="13.5" customHeight="1">
      <c r="E716" s="26"/>
      <c r="F716" s="26"/>
      <c r="G716" s="27"/>
      <c r="H716" s="26"/>
    </row>
    <row r="717" spans="5:8" ht="13.5" customHeight="1">
      <c r="E717" s="26"/>
      <c r="F717" s="26"/>
      <c r="G717" s="27"/>
      <c r="H717" s="26"/>
    </row>
    <row r="718" spans="5:8" ht="13.5" customHeight="1">
      <c r="E718" s="26"/>
      <c r="F718" s="26"/>
      <c r="G718" s="27"/>
      <c r="H718" s="26"/>
    </row>
    <row r="719" spans="5:8" ht="13.5" customHeight="1">
      <c r="E719" s="26"/>
      <c r="F719" s="26"/>
      <c r="G719" s="27"/>
      <c r="H719" s="26"/>
    </row>
    <row r="720" spans="5:8" ht="13.5" customHeight="1">
      <c r="E720" s="26"/>
      <c r="F720" s="26"/>
      <c r="G720" s="27"/>
      <c r="H720" s="26"/>
    </row>
    <row r="721" spans="5:8" ht="13.5" customHeight="1">
      <c r="E721" s="26"/>
      <c r="F721" s="26"/>
      <c r="G721" s="27"/>
      <c r="H721" s="26"/>
    </row>
    <row r="722" spans="5:8" ht="13.5" customHeight="1">
      <c r="E722" s="26"/>
      <c r="F722" s="26"/>
      <c r="G722" s="27"/>
      <c r="H722" s="26"/>
    </row>
    <row r="723" spans="5:8" ht="13.5" customHeight="1">
      <c r="E723" s="26"/>
      <c r="F723" s="26"/>
      <c r="G723" s="27"/>
      <c r="H723" s="26"/>
    </row>
    <row r="724" spans="5:8" ht="13.5" customHeight="1">
      <c r="E724" s="26"/>
      <c r="F724" s="26"/>
      <c r="G724" s="27"/>
      <c r="H724" s="26"/>
    </row>
    <row r="725" spans="5:8" ht="13.5" customHeight="1">
      <c r="E725" s="26"/>
      <c r="F725" s="26"/>
      <c r="G725" s="27"/>
      <c r="H725" s="26"/>
    </row>
    <row r="726" spans="5:8" ht="13.5" customHeight="1">
      <c r="E726" s="26"/>
      <c r="F726" s="26"/>
      <c r="G726" s="27"/>
      <c r="H726" s="26"/>
    </row>
    <row r="727" spans="5:8" ht="13.5" customHeight="1">
      <c r="E727" s="26"/>
      <c r="F727" s="26"/>
      <c r="G727" s="27"/>
      <c r="H727" s="26"/>
    </row>
    <row r="728" spans="5:8" ht="13.5" customHeight="1">
      <c r="E728" s="26"/>
      <c r="F728" s="26"/>
      <c r="G728" s="27"/>
      <c r="H728" s="26"/>
    </row>
    <row r="729" spans="5:8" ht="13.5" customHeight="1">
      <c r="E729" s="26"/>
      <c r="F729" s="26"/>
      <c r="G729" s="27"/>
      <c r="H729" s="26"/>
    </row>
    <row r="730" spans="5:8" ht="13.5" customHeight="1">
      <c r="E730" s="26"/>
      <c r="F730" s="26"/>
      <c r="G730" s="27"/>
      <c r="H730" s="26"/>
    </row>
    <row r="731" spans="5:8" ht="13.5" customHeight="1">
      <c r="E731" s="26"/>
      <c r="F731" s="26"/>
      <c r="G731" s="27"/>
      <c r="H731" s="26"/>
    </row>
    <row r="732" spans="5:8" ht="13.5" customHeight="1">
      <c r="E732" s="26"/>
      <c r="F732" s="26"/>
      <c r="G732" s="27"/>
      <c r="H732" s="26"/>
    </row>
    <row r="733" spans="5:8" ht="13.5" customHeight="1">
      <c r="E733" s="26"/>
      <c r="F733" s="26"/>
      <c r="G733" s="27"/>
      <c r="H733" s="26"/>
    </row>
    <row r="734" spans="5:8" ht="13.5" customHeight="1">
      <c r="E734" s="26"/>
      <c r="F734" s="26"/>
      <c r="G734" s="27"/>
      <c r="H734" s="26"/>
    </row>
    <row r="735" spans="5:8" ht="13.5" customHeight="1">
      <c r="E735" s="26"/>
      <c r="F735" s="26"/>
      <c r="G735" s="27"/>
      <c r="H735" s="26"/>
    </row>
    <row r="736" spans="5:8" ht="13.5" customHeight="1">
      <c r="E736" s="26"/>
      <c r="F736" s="26"/>
      <c r="G736" s="27"/>
      <c r="H736" s="26"/>
    </row>
    <row r="737" spans="5:8" ht="13.5" customHeight="1">
      <c r="E737" s="26"/>
      <c r="F737" s="26"/>
      <c r="G737" s="27"/>
      <c r="H737" s="26"/>
    </row>
    <row r="738" spans="5:8" ht="13.5" customHeight="1">
      <c r="E738" s="26"/>
      <c r="F738" s="26"/>
      <c r="G738" s="27"/>
      <c r="H738" s="26"/>
    </row>
    <row r="739" spans="5:8" ht="13.5" customHeight="1">
      <c r="E739" s="26"/>
      <c r="F739" s="26"/>
      <c r="G739" s="27"/>
      <c r="H739" s="26"/>
    </row>
    <row r="740" spans="5:8" ht="13.5" customHeight="1">
      <c r="E740" s="26"/>
      <c r="F740" s="26"/>
      <c r="G740" s="27"/>
      <c r="H740" s="26"/>
    </row>
    <row r="741" spans="5:8" ht="13.5" customHeight="1">
      <c r="E741" s="26"/>
      <c r="F741" s="26"/>
      <c r="G741" s="27"/>
      <c r="H741" s="26"/>
    </row>
    <row r="742" spans="5:8" ht="13.5" customHeight="1">
      <c r="E742" s="26"/>
      <c r="F742" s="26"/>
      <c r="G742" s="27"/>
      <c r="H742" s="26"/>
    </row>
    <row r="743" spans="5:8" ht="13.5" customHeight="1">
      <c r="E743" s="26"/>
      <c r="F743" s="26"/>
      <c r="G743" s="27"/>
      <c r="H743" s="26"/>
    </row>
    <row r="744" spans="5:8" ht="13.5" customHeight="1">
      <c r="E744" s="26"/>
      <c r="F744" s="26"/>
      <c r="G744" s="27"/>
      <c r="H744" s="26"/>
    </row>
    <row r="745" spans="5:8" ht="13.5" customHeight="1">
      <c r="E745" s="26"/>
      <c r="F745" s="26"/>
      <c r="G745" s="27"/>
      <c r="H745" s="26"/>
    </row>
    <row r="746" spans="5:8" ht="13.5" customHeight="1">
      <c r="E746" s="26"/>
      <c r="F746" s="26"/>
      <c r="G746" s="27"/>
      <c r="H746" s="26"/>
    </row>
    <row r="747" spans="5:8" ht="13.5" customHeight="1">
      <c r="E747" s="26"/>
      <c r="F747" s="26"/>
      <c r="G747" s="27"/>
      <c r="H747" s="26"/>
    </row>
    <row r="748" spans="5:8" ht="13.5" customHeight="1">
      <c r="E748" s="26"/>
      <c r="F748" s="26"/>
      <c r="G748" s="27"/>
      <c r="H748" s="26"/>
    </row>
    <row r="749" spans="5:8" ht="13.5" customHeight="1">
      <c r="E749" s="26"/>
      <c r="F749" s="26"/>
      <c r="G749" s="27"/>
      <c r="H749" s="26"/>
    </row>
    <row r="750" spans="5:8" ht="13.5" customHeight="1">
      <c r="E750" s="26"/>
      <c r="F750" s="26"/>
      <c r="G750" s="27"/>
      <c r="H750" s="26"/>
    </row>
    <row r="751" spans="5:8" ht="13.5" customHeight="1">
      <c r="E751" s="26"/>
      <c r="F751" s="26"/>
      <c r="G751" s="27"/>
      <c r="H751" s="26"/>
    </row>
    <row r="752" spans="5:8" ht="13.5" customHeight="1">
      <c r="E752" s="26"/>
      <c r="F752" s="26"/>
      <c r="G752" s="27"/>
      <c r="H752" s="26"/>
    </row>
    <row r="753" spans="5:8" ht="13.5" customHeight="1">
      <c r="E753" s="26"/>
      <c r="F753" s="26"/>
      <c r="G753" s="27"/>
      <c r="H753" s="26"/>
    </row>
    <row r="754" spans="5:8" ht="13.5" customHeight="1">
      <c r="E754" s="26"/>
      <c r="F754" s="26"/>
      <c r="G754" s="27"/>
      <c r="H754" s="26"/>
    </row>
    <row r="755" spans="5:8" ht="13.5" customHeight="1">
      <c r="E755" s="26"/>
      <c r="F755" s="26"/>
      <c r="G755" s="27"/>
      <c r="H755" s="26"/>
    </row>
    <row r="756" spans="5:8" ht="13.5" customHeight="1">
      <c r="E756" s="26"/>
      <c r="F756" s="26"/>
      <c r="G756" s="27"/>
      <c r="H756" s="26"/>
    </row>
    <row r="757" spans="5:8" ht="13.5" customHeight="1">
      <c r="E757" s="26"/>
      <c r="F757" s="26"/>
      <c r="G757" s="27"/>
      <c r="H757" s="26"/>
    </row>
    <row r="758" spans="5:8" ht="13.5" customHeight="1">
      <c r="E758" s="26"/>
      <c r="F758" s="26"/>
      <c r="G758" s="27"/>
      <c r="H758" s="26"/>
    </row>
    <row r="759" spans="5:8" ht="13.5" customHeight="1">
      <c r="E759" s="26"/>
      <c r="F759" s="26"/>
      <c r="G759" s="27"/>
      <c r="H759" s="26"/>
    </row>
    <row r="760" spans="5:8" ht="13.5" customHeight="1">
      <c r="E760" s="26"/>
      <c r="F760" s="26"/>
      <c r="G760" s="27"/>
      <c r="H760" s="26"/>
    </row>
    <row r="761" spans="5:8" ht="13.5" customHeight="1">
      <c r="E761" s="26"/>
      <c r="F761" s="26"/>
      <c r="G761" s="27"/>
      <c r="H761" s="26"/>
    </row>
    <row r="762" spans="5:8" ht="13.5" customHeight="1">
      <c r="E762" s="26"/>
      <c r="F762" s="26"/>
      <c r="G762" s="27"/>
      <c r="H762" s="26"/>
    </row>
    <row r="763" spans="5:8" ht="13.5" customHeight="1">
      <c r="E763" s="26"/>
      <c r="F763" s="26"/>
      <c r="G763" s="27"/>
      <c r="H763" s="26"/>
    </row>
    <row r="764" spans="5:8" ht="13.5" customHeight="1">
      <c r="E764" s="26"/>
      <c r="F764" s="26"/>
      <c r="G764" s="27"/>
      <c r="H764" s="26"/>
    </row>
    <row r="765" spans="5:8" ht="13.5" customHeight="1">
      <c r="E765" s="26"/>
      <c r="F765" s="26"/>
      <c r="G765" s="27"/>
      <c r="H765" s="26"/>
    </row>
    <row r="766" spans="5:8" ht="13.5" customHeight="1">
      <c r="E766" s="26"/>
      <c r="F766" s="26"/>
      <c r="G766" s="27"/>
      <c r="H766" s="26"/>
    </row>
    <row r="767" spans="5:8" ht="13.5" customHeight="1">
      <c r="E767" s="26"/>
      <c r="F767" s="26"/>
      <c r="G767" s="27"/>
      <c r="H767" s="26"/>
    </row>
    <row r="768" spans="5:8" ht="13.5" customHeight="1">
      <c r="E768" s="26"/>
      <c r="F768" s="26"/>
      <c r="G768" s="27"/>
      <c r="H768" s="26"/>
    </row>
    <row r="769" spans="5:8" ht="13.5" customHeight="1">
      <c r="E769" s="26"/>
      <c r="F769" s="26"/>
      <c r="G769" s="27"/>
      <c r="H769" s="26"/>
    </row>
    <row r="770" spans="5:8" ht="13.5" customHeight="1">
      <c r="E770" s="26"/>
      <c r="F770" s="26"/>
      <c r="G770" s="27"/>
      <c r="H770" s="26"/>
    </row>
    <row r="771" spans="5:8" ht="13.5" customHeight="1">
      <c r="E771" s="26"/>
      <c r="F771" s="26"/>
      <c r="G771" s="27"/>
      <c r="H771" s="26"/>
    </row>
    <row r="772" spans="5:8" ht="13.5" customHeight="1">
      <c r="E772" s="26"/>
      <c r="F772" s="26"/>
      <c r="G772" s="27"/>
      <c r="H772" s="26"/>
    </row>
    <row r="773" spans="5:8" ht="13.5" customHeight="1">
      <c r="E773" s="26"/>
      <c r="F773" s="26"/>
      <c r="G773" s="27"/>
      <c r="H773" s="26"/>
    </row>
    <row r="774" spans="5:8" ht="13.5" customHeight="1">
      <c r="E774" s="26"/>
      <c r="F774" s="26"/>
      <c r="G774" s="27"/>
      <c r="H774" s="26"/>
    </row>
    <row r="775" spans="5:8" ht="13.5" customHeight="1">
      <c r="E775" s="26"/>
      <c r="F775" s="26"/>
      <c r="G775" s="27"/>
      <c r="H775" s="26"/>
    </row>
    <row r="776" spans="5:8" ht="13.5" customHeight="1">
      <c r="E776" s="26"/>
      <c r="F776" s="26"/>
      <c r="G776" s="27"/>
      <c r="H776" s="26"/>
    </row>
    <row r="777" spans="5:8" ht="13.5" customHeight="1">
      <c r="E777" s="26"/>
      <c r="F777" s="26"/>
      <c r="G777" s="27"/>
      <c r="H777" s="26"/>
    </row>
    <row r="778" spans="5:8" ht="13.5" customHeight="1">
      <c r="E778" s="26"/>
      <c r="F778" s="26"/>
      <c r="G778" s="27"/>
      <c r="H778" s="26"/>
    </row>
    <row r="779" spans="5:8" ht="13.5" customHeight="1">
      <c r="E779" s="26"/>
      <c r="F779" s="26"/>
      <c r="G779" s="27"/>
      <c r="H779" s="26"/>
    </row>
    <row r="780" spans="5:8" ht="13.5" customHeight="1">
      <c r="E780" s="26"/>
      <c r="F780" s="26"/>
      <c r="G780" s="27"/>
      <c r="H780" s="26"/>
    </row>
    <row r="781" spans="5:8" ht="13.5" customHeight="1">
      <c r="E781" s="26"/>
      <c r="F781" s="26"/>
      <c r="G781" s="27"/>
      <c r="H781" s="26"/>
    </row>
    <row r="782" spans="5:8" ht="13.5" customHeight="1">
      <c r="E782" s="26"/>
      <c r="F782" s="26"/>
      <c r="G782" s="27"/>
      <c r="H782" s="26"/>
    </row>
    <row r="783" spans="5:8" ht="13.5" customHeight="1">
      <c r="E783" s="26"/>
      <c r="F783" s="26"/>
      <c r="G783" s="27"/>
      <c r="H783" s="26"/>
    </row>
    <row r="784" spans="5:8" ht="13.5" customHeight="1">
      <c r="E784" s="26"/>
      <c r="F784" s="26"/>
      <c r="G784" s="27"/>
      <c r="H784" s="26"/>
    </row>
    <row r="785" spans="5:8" ht="13.5" customHeight="1">
      <c r="E785" s="26"/>
      <c r="F785" s="26"/>
      <c r="G785" s="27"/>
      <c r="H785" s="26"/>
    </row>
    <row r="786" spans="5:8" ht="13.5" customHeight="1">
      <c r="E786" s="26"/>
      <c r="F786" s="26"/>
      <c r="G786" s="27"/>
      <c r="H786" s="26"/>
    </row>
    <row r="787" spans="5:8" ht="13.5" customHeight="1">
      <c r="E787" s="26"/>
      <c r="F787" s="26"/>
      <c r="G787" s="27"/>
      <c r="H787" s="26"/>
    </row>
    <row r="788" spans="5:8" ht="13.5" customHeight="1">
      <c r="E788" s="26"/>
      <c r="F788" s="26"/>
      <c r="G788" s="27"/>
      <c r="H788" s="26"/>
    </row>
    <row r="789" spans="5:8" ht="13.5" customHeight="1">
      <c r="E789" s="26"/>
      <c r="F789" s="26"/>
      <c r="G789" s="27"/>
      <c r="H789" s="26"/>
    </row>
    <row r="790" spans="5:8" ht="13.5" customHeight="1">
      <c r="E790" s="26"/>
      <c r="F790" s="26"/>
      <c r="G790" s="27"/>
      <c r="H790" s="26"/>
    </row>
    <row r="791" spans="5:8" ht="13.5" customHeight="1">
      <c r="E791" s="26"/>
      <c r="F791" s="26"/>
      <c r="G791" s="27"/>
      <c r="H791" s="26"/>
    </row>
    <row r="792" spans="5:8" ht="13.5" customHeight="1">
      <c r="E792" s="26"/>
      <c r="F792" s="26"/>
      <c r="G792" s="27"/>
      <c r="H792" s="26"/>
    </row>
    <row r="793" spans="5:8" ht="13.5" customHeight="1">
      <c r="E793" s="26"/>
      <c r="F793" s="26"/>
      <c r="G793" s="27"/>
      <c r="H793" s="26"/>
    </row>
    <row r="794" spans="5:8" ht="13.5" customHeight="1">
      <c r="E794" s="26"/>
      <c r="F794" s="26"/>
      <c r="G794" s="27"/>
      <c r="H794" s="26"/>
    </row>
    <row r="795" spans="5:8" ht="13.5" customHeight="1">
      <c r="E795" s="26"/>
      <c r="F795" s="26"/>
      <c r="G795" s="27"/>
      <c r="H795" s="26"/>
    </row>
    <row r="796" spans="5:8" ht="13.5" customHeight="1">
      <c r="E796" s="26"/>
      <c r="F796" s="26"/>
      <c r="G796" s="27"/>
      <c r="H796" s="26"/>
    </row>
    <row r="797" spans="5:8" ht="13.5" customHeight="1">
      <c r="E797" s="26"/>
      <c r="F797" s="26"/>
      <c r="G797" s="27"/>
      <c r="H797" s="26"/>
    </row>
    <row r="798" spans="5:8" ht="13.5" customHeight="1">
      <c r="E798" s="26"/>
      <c r="F798" s="26"/>
      <c r="G798" s="27"/>
      <c r="H798" s="26"/>
    </row>
    <row r="799" spans="5:8" ht="13.5" customHeight="1">
      <c r="E799" s="26"/>
      <c r="F799" s="26"/>
      <c r="G799" s="27"/>
      <c r="H799" s="26"/>
    </row>
    <row r="800" spans="5:8" ht="13.5" customHeight="1">
      <c r="E800" s="26"/>
      <c r="F800" s="26"/>
      <c r="G800" s="27"/>
      <c r="H800" s="26"/>
    </row>
    <row r="801" spans="5:8" ht="13.5" customHeight="1">
      <c r="E801" s="26"/>
      <c r="F801" s="26"/>
      <c r="G801" s="27"/>
      <c r="H801" s="26"/>
    </row>
    <row r="802" spans="5:8" ht="13.5" customHeight="1">
      <c r="E802" s="26"/>
      <c r="F802" s="26"/>
      <c r="G802" s="27"/>
      <c r="H802" s="26"/>
    </row>
    <row r="803" spans="5:8" ht="13.5" customHeight="1">
      <c r="E803" s="26"/>
      <c r="F803" s="26"/>
      <c r="G803" s="27"/>
      <c r="H803" s="26"/>
    </row>
    <row r="804" spans="5:8" ht="13.5" customHeight="1">
      <c r="E804" s="26"/>
      <c r="F804" s="26"/>
      <c r="G804" s="27"/>
      <c r="H804" s="26"/>
    </row>
    <row r="805" spans="5:8" ht="13.5" customHeight="1">
      <c r="E805" s="26"/>
      <c r="F805" s="26"/>
      <c r="G805" s="27"/>
      <c r="H805" s="26"/>
    </row>
    <row r="806" spans="5:8" ht="13.5" customHeight="1">
      <c r="E806" s="26"/>
      <c r="F806" s="26"/>
      <c r="G806" s="27"/>
      <c r="H806" s="26"/>
    </row>
    <row r="807" spans="5:8" ht="13.5" customHeight="1">
      <c r="E807" s="26"/>
      <c r="F807" s="26"/>
      <c r="G807" s="27"/>
      <c r="H807" s="26"/>
    </row>
    <row r="808" spans="5:8" ht="13.5" customHeight="1">
      <c r="E808" s="26"/>
      <c r="F808" s="26"/>
      <c r="G808" s="27"/>
      <c r="H808" s="26"/>
    </row>
    <row r="809" spans="5:8" ht="13.5" customHeight="1">
      <c r="E809" s="26"/>
      <c r="F809" s="26"/>
      <c r="G809" s="27"/>
      <c r="H809" s="26"/>
    </row>
    <row r="810" spans="5:8" ht="13.5" customHeight="1">
      <c r="E810" s="26"/>
      <c r="F810" s="26"/>
      <c r="G810" s="27"/>
      <c r="H810" s="26"/>
    </row>
    <row r="811" spans="5:8" ht="13.5" customHeight="1">
      <c r="E811" s="26"/>
      <c r="F811" s="26"/>
      <c r="G811" s="27"/>
      <c r="H811" s="26"/>
    </row>
    <row r="812" spans="5:8" ht="13.5" customHeight="1">
      <c r="E812" s="26"/>
      <c r="F812" s="26"/>
      <c r="G812" s="27"/>
      <c r="H812" s="26"/>
    </row>
    <row r="813" spans="5:8" ht="13.5" customHeight="1">
      <c r="E813" s="26"/>
      <c r="F813" s="26"/>
      <c r="G813" s="27"/>
      <c r="H813" s="26"/>
    </row>
    <row r="814" spans="5:8" ht="13.5" customHeight="1">
      <c r="E814" s="26"/>
      <c r="F814" s="26"/>
      <c r="G814" s="27"/>
      <c r="H814" s="26"/>
    </row>
    <row r="815" spans="5:8" ht="13.5" customHeight="1">
      <c r="E815" s="26"/>
      <c r="F815" s="26"/>
      <c r="G815" s="27"/>
      <c r="H815" s="26"/>
    </row>
    <row r="816" spans="5:8" ht="13.5" customHeight="1">
      <c r="E816" s="26"/>
      <c r="F816" s="26"/>
      <c r="G816" s="27"/>
      <c r="H816" s="26"/>
    </row>
    <row r="817" spans="5:8" ht="13.5" customHeight="1">
      <c r="E817" s="26"/>
      <c r="F817" s="26"/>
      <c r="G817" s="27"/>
      <c r="H817" s="26"/>
    </row>
    <row r="818" spans="5:8" ht="13.5" customHeight="1">
      <c r="E818" s="26"/>
      <c r="F818" s="26"/>
      <c r="G818" s="27"/>
      <c r="H818" s="26"/>
    </row>
    <row r="819" spans="5:8" ht="13.5" customHeight="1">
      <c r="E819" s="26"/>
      <c r="F819" s="26"/>
      <c r="G819" s="27"/>
      <c r="H819" s="26"/>
    </row>
    <row r="820" spans="5:8" ht="13.5" customHeight="1">
      <c r="E820" s="26"/>
      <c r="F820" s="26"/>
      <c r="G820" s="27"/>
      <c r="H820" s="26"/>
    </row>
    <row r="821" spans="5:8" ht="13.5" customHeight="1">
      <c r="E821" s="26"/>
      <c r="F821" s="26"/>
      <c r="G821" s="27"/>
      <c r="H821" s="26"/>
    </row>
    <row r="822" spans="5:8" ht="13.5" customHeight="1">
      <c r="E822" s="26"/>
      <c r="F822" s="26"/>
      <c r="G822" s="27"/>
      <c r="H822" s="26"/>
    </row>
    <row r="823" spans="5:8" ht="13.5" customHeight="1">
      <c r="E823" s="26"/>
      <c r="F823" s="26"/>
      <c r="G823" s="27"/>
      <c r="H823" s="26"/>
    </row>
    <row r="824" spans="5:8" ht="13.5" customHeight="1">
      <c r="E824" s="26"/>
      <c r="F824" s="26"/>
      <c r="G824" s="27"/>
      <c r="H824" s="26"/>
    </row>
    <row r="825" spans="5:8" ht="13.5" customHeight="1">
      <c r="E825" s="26"/>
      <c r="F825" s="26"/>
      <c r="G825" s="27"/>
      <c r="H825" s="26"/>
    </row>
    <row r="826" spans="5:8" ht="13.5" customHeight="1">
      <c r="E826" s="26"/>
      <c r="F826" s="26"/>
      <c r="G826" s="27"/>
      <c r="H826" s="26"/>
    </row>
    <row r="827" spans="5:8" ht="13.5" customHeight="1">
      <c r="E827" s="26"/>
      <c r="F827" s="26"/>
      <c r="G827" s="27"/>
      <c r="H827" s="26"/>
    </row>
    <row r="828" spans="5:8" ht="13.5" customHeight="1">
      <c r="E828" s="26"/>
      <c r="F828" s="26"/>
      <c r="G828" s="27"/>
      <c r="H828" s="26"/>
    </row>
    <row r="829" spans="5:8" ht="13.5" customHeight="1">
      <c r="E829" s="26"/>
      <c r="F829" s="26"/>
      <c r="G829" s="27"/>
      <c r="H829" s="26"/>
    </row>
    <row r="830" spans="5:8" ht="13.5" customHeight="1">
      <c r="E830" s="26"/>
      <c r="F830" s="26"/>
      <c r="G830" s="27"/>
      <c r="H830" s="26"/>
    </row>
    <row r="831" spans="5:8" ht="13.5" customHeight="1">
      <c r="E831" s="26"/>
      <c r="F831" s="26"/>
      <c r="G831" s="27"/>
      <c r="H831" s="26"/>
    </row>
    <row r="832" spans="5:8" ht="13.5" customHeight="1">
      <c r="E832" s="26"/>
      <c r="F832" s="26"/>
      <c r="G832" s="27"/>
      <c r="H832" s="26"/>
    </row>
    <row r="833" spans="5:8" ht="13.5" customHeight="1">
      <c r="E833" s="26"/>
      <c r="F833" s="26"/>
      <c r="G833" s="27"/>
      <c r="H833" s="26"/>
    </row>
    <row r="834" spans="5:8" ht="13.5" customHeight="1">
      <c r="E834" s="26"/>
      <c r="F834" s="26"/>
      <c r="G834" s="27"/>
      <c r="H834" s="26"/>
    </row>
    <row r="835" spans="5:8" ht="13.5" customHeight="1">
      <c r="E835" s="26"/>
      <c r="F835" s="26"/>
      <c r="G835" s="27"/>
      <c r="H835" s="26"/>
    </row>
    <row r="836" spans="5:8" ht="13.5" customHeight="1">
      <c r="E836" s="26"/>
      <c r="F836" s="26"/>
      <c r="G836" s="27"/>
      <c r="H836" s="26"/>
    </row>
    <row r="837" spans="5:8" ht="13.5" customHeight="1">
      <c r="E837" s="26"/>
      <c r="F837" s="26"/>
      <c r="G837" s="27"/>
      <c r="H837" s="26"/>
    </row>
    <row r="838" spans="5:8" ht="13.5" customHeight="1">
      <c r="E838" s="26"/>
      <c r="F838" s="26"/>
      <c r="G838" s="27"/>
      <c r="H838" s="26"/>
    </row>
    <row r="839" spans="5:8" ht="13.5" customHeight="1">
      <c r="E839" s="26"/>
      <c r="F839" s="26"/>
      <c r="G839" s="27"/>
      <c r="H839" s="26"/>
    </row>
    <row r="840" spans="5:8" ht="13.5" customHeight="1">
      <c r="E840" s="26"/>
      <c r="F840" s="26"/>
      <c r="G840" s="27"/>
      <c r="H840" s="26"/>
    </row>
    <row r="841" spans="5:8" ht="13.5" customHeight="1">
      <c r="E841" s="26"/>
      <c r="F841" s="26"/>
      <c r="G841" s="27"/>
      <c r="H841" s="26"/>
    </row>
    <row r="842" spans="5:8" ht="13.5" customHeight="1">
      <c r="E842" s="26"/>
      <c r="F842" s="26"/>
      <c r="G842" s="27"/>
      <c r="H842" s="26"/>
    </row>
    <row r="843" spans="5:8" ht="13.5" customHeight="1">
      <c r="E843" s="26"/>
      <c r="F843" s="26"/>
      <c r="G843" s="27"/>
      <c r="H843" s="26"/>
    </row>
    <row r="844" spans="5:8" ht="13.5" customHeight="1">
      <c r="E844" s="26"/>
      <c r="F844" s="26"/>
      <c r="G844" s="27"/>
      <c r="H844" s="26"/>
    </row>
    <row r="845" spans="5:8" ht="13.5" customHeight="1">
      <c r="E845" s="26"/>
      <c r="F845" s="26"/>
      <c r="G845" s="27"/>
      <c r="H845" s="26"/>
    </row>
    <row r="846" spans="5:8" ht="13.5" customHeight="1">
      <c r="E846" s="26"/>
      <c r="F846" s="26"/>
      <c r="G846" s="27"/>
      <c r="H846" s="26"/>
    </row>
    <row r="847" spans="5:8" ht="13.5" customHeight="1">
      <c r="E847" s="26"/>
      <c r="F847" s="26"/>
      <c r="G847" s="27"/>
      <c r="H847" s="26"/>
    </row>
    <row r="848" spans="5:8" ht="13.5" customHeight="1">
      <c r="E848" s="26"/>
      <c r="F848" s="26"/>
      <c r="G848" s="27"/>
      <c r="H848" s="26"/>
    </row>
    <row r="849" spans="5:8" ht="13.5" customHeight="1">
      <c r="E849" s="26"/>
      <c r="F849" s="26"/>
      <c r="G849" s="27"/>
      <c r="H849" s="26"/>
    </row>
    <row r="850" spans="5:8" ht="13.5" customHeight="1">
      <c r="E850" s="26"/>
      <c r="F850" s="26"/>
      <c r="G850" s="27"/>
      <c r="H850" s="26"/>
    </row>
    <row r="851" spans="5:8" ht="13.5" customHeight="1">
      <c r="E851" s="26"/>
      <c r="F851" s="26"/>
      <c r="G851" s="27"/>
      <c r="H851" s="26"/>
    </row>
    <row r="852" spans="5:8" ht="13.5" customHeight="1">
      <c r="E852" s="26"/>
      <c r="F852" s="26"/>
      <c r="G852" s="27"/>
      <c r="H852" s="26"/>
    </row>
    <row r="853" spans="5:8" ht="13.5" customHeight="1">
      <c r="E853" s="26"/>
      <c r="F853" s="26"/>
      <c r="G853" s="27"/>
      <c r="H853" s="26"/>
    </row>
    <row r="854" spans="5:8" ht="13.5" customHeight="1">
      <c r="E854" s="26"/>
      <c r="F854" s="26"/>
      <c r="G854" s="27"/>
      <c r="H854" s="26"/>
    </row>
    <row r="855" spans="5:8" ht="13.5" customHeight="1">
      <c r="E855" s="26"/>
      <c r="F855" s="26"/>
      <c r="G855" s="27"/>
      <c r="H855" s="26"/>
    </row>
    <row r="856" spans="5:8" ht="13.5" customHeight="1">
      <c r="E856" s="26"/>
      <c r="F856" s="26"/>
      <c r="G856" s="27"/>
      <c r="H856" s="26"/>
    </row>
    <row r="857" spans="5:8" ht="13.5" customHeight="1">
      <c r="E857" s="26"/>
      <c r="F857" s="26"/>
      <c r="G857" s="27"/>
      <c r="H857" s="26"/>
    </row>
    <row r="858" spans="5:8" ht="13.5" customHeight="1">
      <c r="E858" s="26"/>
      <c r="F858" s="26"/>
      <c r="G858" s="27"/>
      <c r="H858" s="26"/>
    </row>
    <row r="859" spans="5:8" ht="13.5" customHeight="1">
      <c r="E859" s="26"/>
      <c r="F859" s="26"/>
      <c r="G859" s="27"/>
      <c r="H859" s="26"/>
    </row>
    <row r="860" spans="5:8" ht="13.5" customHeight="1">
      <c r="E860" s="26"/>
      <c r="F860" s="26"/>
      <c r="G860" s="27"/>
      <c r="H860" s="26"/>
    </row>
    <row r="861" spans="5:8" ht="13.5" customHeight="1">
      <c r="E861" s="26"/>
      <c r="F861" s="26"/>
      <c r="G861" s="27"/>
      <c r="H861" s="26"/>
    </row>
    <row r="862" spans="5:8" ht="13.5" customHeight="1">
      <c r="E862" s="26"/>
      <c r="F862" s="26"/>
      <c r="G862" s="27"/>
      <c r="H862" s="26"/>
    </row>
    <row r="863" spans="5:8" ht="13.5" customHeight="1">
      <c r="E863" s="26"/>
      <c r="F863" s="26"/>
      <c r="G863" s="27"/>
      <c r="H863" s="26"/>
    </row>
    <row r="864" spans="5:8" ht="13.5" customHeight="1">
      <c r="E864" s="26"/>
      <c r="F864" s="26"/>
      <c r="G864" s="27"/>
      <c r="H864" s="26"/>
    </row>
    <row r="865" spans="5:8" ht="13.5" customHeight="1">
      <c r="E865" s="26"/>
      <c r="F865" s="26"/>
      <c r="G865" s="27"/>
      <c r="H865" s="26"/>
    </row>
    <row r="866" spans="5:8" ht="13.5" customHeight="1">
      <c r="E866" s="26"/>
      <c r="F866" s="26"/>
      <c r="G866" s="27"/>
      <c r="H866" s="26"/>
    </row>
    <row r="867" spans="5:8" ht="13.5" customHeight="1">
      <c r="E867" s="26"/>
      <c r="F867" s="26"/>
      <c r="G867" s="27"/>
      <c r="H867" s="26"/>
    </row>
    <row r="868" spans="5:8" ht="13.5" customHeight="1">
      <c r="E868" s="26"/>
      <c r="F868" s="26"/>
      <c r="G868" s="27"/>
      <c r="H868" s="26"/>
    </row>
    <row r="869" spans="5:8" ht="13.5" customHeight="1">
      <c r="E869" s="26"/>
      <c r="F869" s="26"/>
      <c r="G869" s="27"/>
      <c r="H869" s="26"/>
    </row>
    <row r="870" spans="5:8" ht="13.5" customHeight="1">
      <c r="E870" s="26"/>
      <c r="F870" s="26"/>
      <c r="G870" s="27"/>
      <c r="H870" s="26"/>
    </row>
    <row r="871" spans="5:8" ht="13.5" customHeight="1">
      <c r="E871" s="26"/>
      <c r="F871" s="26"/>
      <c r="G871" s="27"/>
      <c r="H871" s="26"/>
    </row>
    <row r="872" spans="5:8" ht="13.5" customHeight="1">
      <c r="E872" s="26"/>
      <c r="F872" s="26"/>
      <c r="G872" s="27"/>
      <c r="H872" s="26"/>
    </row>
    <row r="873" spans="5:8" ht="13.5" customHeight="1">
      <c r="E873" s="26"/>
      <c r="F873" s="26"/>
      <c r="G873" s="27"/>
      <c r="H873" s="26"/>
    </row>
    <row r="874" spans="5:8" ht="13.5" customHeight="1">
      <c r="E874" s="26"/>
      <c r="F874" s="26"/>
      <c r="G874" s="27"/>
      <c r="H874" s="26"/>
    </row>
    <row r="875" spans="5:8" ht="13.5" customHeight="1">
      <c r="E875" s="26"/>
      <c r="F875" s="26"/>
      <c r="G875" s="27"/>
      <c r="H875" s="26"/>
    </row>
    <row r="876" spans="5:8" ht="13.5" customHeight="1">
      <c r="E876" s="26"/>
      <c r="F876" s="26"/>
      <c r="G876" s="27"/>
      <c r="H876" s="26"/>
    </row>
    <row r="877" spans="5:8" ht="13.5" customHeight="1">
      <c r="E877" s="26"/>
      <c r="F877" s="26"/>
      <c r="G877" s="27"/>
      <c r="H877" s="26"/>
    </row>
    <row r="878" spans="5:8" ht="13.5" customHeight="1">
      <c r="E878" s="26"/>
      <c r="F878" s="26"/>
      <c r="G878" s="27"/>
      <c r="H878" s="26"/>
    </row>
    <row r="879" spans="5:8" ht="13.5" customHeight="1">
      <c r="E879" s="26"/>
      <c r="F879" s="26"/>
      <c r="G879" s="27"/>
      <c r="H879" s="26"/>
    </row>
    <row r="880" spans="5:8" ht="13.5" customHeight="1">
      <c r="E880" s="26"/>
      <c r="F880" s="26"/>
      <c r="G880" s="27"/>
      <c r="H880" s="26"/>
    </row>
    <row r="881" spans="5:8" ht="13.5" customHeight="1">
      <c r="E881" s="26"/>
      <c r="F881" s="26"/>
      <c r="G881" s="27"/>
      <c r="H881" s="26"/>
    </row>
    <row r="882" spans="5:8" ht="13.5" customHeight="1">
      <c r="E882" s="26"/>
      <c r="F882" s="26"/>
      <c r="G882" s="27"/>
      <c r="H882" s="26"/>
    </row>
    <row r="883" spans="5:8" ht="13.5" customHeight="1">
      <c r="E883" s="26"/>
      <c r="F883" s="26"/>
      <c r="G883" s="27"/>
      <c r="H883" s="26"/>
    </row>
    <row r="884" spans="5:8" ht="13.5" customHeight="1">
      <c r="E884" s="26"/>
      <c r="F884" s="26"/>
      <c r="G884" s="27"/>
      <c r="H884" s="26"/>
    </row>
    <row r="885" spans="5:8" ht="13.5" customHeight="1">
      <c r="E885" s="26"/>
      <c r="F885" s="26"/>
      <c r="G885" s="27"/>
      <c r="H885" s="26"/>
    </row>
    <row r="886" spans="5:8" ht="13.5" customHeight="1">
      <c r="E886" s="26"/>
      <c r="F886" s="26"/>
      <c r="G886" s="27"/>
      <c r="H886" s="26"/>
    </row>
    <row r="887" spans="5:8" ht="13.5" customHeight="1">
      <c r="E887" s="26"/>
      <c r="F887" s="26"/>
      <c r="G887" s="27"/>
      <c r="H887" s="26"/>
    </row>
    <row r="888" spans="5:8" ht="13.5" customHeight="1">
      <c r="E888" s="26"/>
      <c r="F888" s="26"/>
      <c r="G888" s="27"/>
      <c r="H888" s="26"/>
    </row>
    <row r="889" spans="5:8" ht="13.5" customHeight="1">
      <c r="E889" s="26"/>
      <c r="F889" s="26"/>
      <c r="G889" s="27"/>
      <c r="H889" s="26"/>
    </row>
    <row r="890" spans="5:8" ht="13.5" customHeight="1">
      <c r="E890" s="26"/>
      <c r="F890" s="26"/>
      <c r="G890" s="27"/>
      <c r="H890" s="26"/>
    </row>
    <row r="891" spans="5:8" ht="13.5" customHeight="1">
      <c r="E891" s="26"/>
      <c r="F891" s="26"/>
      <c r="G891" s="27"/>
      <c r="H891" s="26"/>
    </row>
    <row r="892" spans="5:8" ht="13.5" customHeight="1">
      <c r="E892" s="26"/>
      <c r="F892" s="26"/>
      <c r="G892" s="27"/>
      <c r="H892" s="26"/>
    </row>
    <row r="893" spans="5:8" ht="13.5" customHeight="1">
      <c r="E893" s="26"/>
      <c r="F893" s="26"/>
      <c r="G893" s="27"/>
      <c r="H893" s="26"/>
    </row>
    <row r="894" spans="5:8" ht="13.5" customHeight="1">
      <c r="E894" s="26"/>
      <c r="F894" s="26"/>
      <c r="G894" s="27"/>
      <c r="H894" s="26"/>
    </row>
    <row r="895" spans="5:8" ht="13.5" customHeight="1">
      <c r="E895" s="26"/>
      <c r="F895" s="26"/>
      <c r="G895" s="27"/>
      <c r="H895" s="26"/>
    </row>
    <row r="896" spans="5:8" ht="13.5" customHeight="1">
      <c r="E896" s="26"/>
      <c r="F896" s="26"/>
      <c r="G896" s="27"/>
      <c r="H896" s="26"/>
    </row>
    <row r="897" spans="5:8" ht="13.5" customHeight="1">
      <c r="E897" s="26"/>
      <c r="F897" s="26"/>
      <c r="G897" s="27"/>
      <c r="H897" s="26"/>
    </row>
    <row r="898" spans="5:8" ht="13.5" customHeight="1">
      <c r="E898" s="26"/>
      <c r="F898" s="26"/>
      <c r="G898" s="27"/>
      <c r="H898" s="26"/>
    </row>
    <row r="899" spans="5:8" ht="13.5" customHeight="1">
      <c r="E899" s="26"/>
      <c r="F899" s="26"/>
      <c r="G899" s="27"/>
      <c r="H899" s="26"/>
    </row>
    <row r="900" spans="5:8" ht="13.5" customHeight="1">
      <c r="E900" s="26"/>
      <c r="F900" s="26"/>
      <c r="G900" s="27"/>
      <c r="H900" s="26"/>
    </row>
    <row r="901" spans="5:8" ht="13.5" customHeight="1">
      <c r="E901" s="26"/>
      <c r="F901" s="26"/>
      <c r="G901" s="27"/>
      <c r="H901" s="26"/>
    </row>
    <row r="902" spans="5:8" ht="13.5" customHeight="1">
      <c r="E902" s="26"/>
      <c r="F902" s="26"/>
      <c r="G902" s="27"/>
      <c r="H902" s="26"/>
    </row>
    <row r="903" spans="5:8" ht="13.5" customHeight="1">
      <c r="E903" s="26"/>
      <c r="F903" s="26"/>
      <c r="G903" s="27"/>
      <c r="H903" s="26"/>
    </row>
    <row r="904" spans="5:8" ht="13.5" customHeight="1">
      <c r="E904" s="26"/>
      <c r="F904" s="26"/>
      <c r="G904" s="27"/>
      <c r="H904" s="26"/>
    </row>
    <row r="905" spans="5:8" ht="13.5" customHeight="1">
      <c r="E905" s="26"/>
      <c r="F905" s="26"/>
      <c r="G905" s="27"/>
      <c r="H905" s="26"/>
    </row>
    <row r="906" spans="5:8" ht="13.5" customHeight="1">
      <c r="E906" s="26"/>
      <c r="F906" s="26"/>
      <c r="G906" s="27"/>
      <c r="H906" s="26"/>
    </row>
    <row r="907" spans="5:8" ht="13.5" customHeight="1">
      <c r="E907" s="26"/>
      <c r="F907" s="26"/>
      <c r="G907" s="27"/>
      <c r="H907" s="26"/>
    </row>
    <row r="908" spans="5:8" ht="13.5" customHeight="1">
      <c r="E908" s="26"/>
      <c r="F908" s="26"/>
      <c r="G908" s="27"/>
      <c r="H908" s="26"/>
    </row>
    <row r="909" spans="5:8" ht="13.5" customHeight="1">
      <c r="E909" s="26"/>
      <c r="F909" s="26"/>
      <c r="G909" s="27"/>
      <c r="H909" s="26"/>
    </row>
    <row r="910" spans="5:8" ht="13.5" customHeight="1">
      <c r="E910" s="26"/>
      <c r="F910" s="26"/>
      <c r="G910" s="27"/>
      <c r="H910" s="26"/>
    </row>
    <row r="911" spans="5:8" ht="13.5" customHeight="1">
      <c r="E911" s="26"/>
      <c r="F911" s="26"/>
      <c r="G911" s="27"/>
      <c r="H911" s="26"/>
    </row>
    <row r="912" spans="5:8" ht="13.5" customHeight="1">
      <c r="E912" s="26"/>
      <c r="F912" s="26"/>
      <c r="G912" s="27"/>
      <c r="H912" s="26"/>
    </row>
    <row r="913" spans="5:8" ht="13.5" customHeight="1">
      <c r="E913" s="26"/>
      <c r="F913" s="26"/>
      <c r="G913" s="27"/>
      <c r="H913" s="26"/>
    </row>
    <row r="914" spans="5:8" ht="13.5" customHeight="1">
      <c r="E914" s="26"/>
      <c r="F914" s="26"/>
      <c r="G914" s="27"/>
      <c r="H914" s="26"/>
    </row>
    <row r="915" spans="5:8" ht="13.5" customHeight="1">
      <c r="E915" s="26"/>
      <c r="F915" s="26"/>
      <c r="G915" s="27"/>
      <c r="H915" s="26"/>
    </row>
    <row r="916" spans="5:8" ht="13.5" customHeight="1">
      <c r="E916" s="26"/>
      <c r="F916" s="26"/>
      <c r="G916" s="27"/>
      <c r="H916" s="26"/>
    </row>
    <row r="917" spans="5:8" ht="13.5" customHeight="1">
      <c r="E917" s="26"/>
      <c r="F917" s="26"/>
      <c r="G917" s="27"/>
      <c r="H917" s="26"/>
    </row>
    <row r="918" spans="5:8" ht="13.5" customHeight="1">
      <c r="E918" s="26"/>
      <c r="F918" s="26"/>
      <c r="G918" s="27"/>
      <c r="H918" s="26"/>
    </row>
    <row r="919" spans="5:8" ht="13.5" customHeight="1">
      <c r="E919" s="26"/>
      <c r="F919" s="26"/>
      <c r="G919" s="27"/>
      <c r="H919" s="26"/>
    </row>
    <row r="920" spans="5:8" ht="13.5" customHeight="1">
      <c r="E920" s="26"/>
      <c r="F920" s="26"/>
      <c r="G920" s="27"/>
      <c r="H920" s="26"/>
    </row>
    <row r="921" spans="5:8" ht="13.5" customHeight="1">
      <c r="E921" s="26"/>
      <c r="F921" s="26"/>
      <c r="G921" s="27"/>
      <c r="H921" s="26"/>
    </row>
    <row r="922" spans="5:8" ht="13.5" customHeight="1">
      <c r="E922" s="26"/>
      <c r="F922" s="26"/>
      <c r="G922" s="27"/>
      <c r="H922" s="26"/>
    </row>
    <row r="923" spans="5:8" ht="13.5" customHeight="1">
      <c r="E923" s="26"/>
      <c r="F923" s="26"/>
      <c r="G923" s="27"/>
      <c r="H923" s="26"/>
    </row>
    <row r="924" spans="5:8" ht="13.5" customHeight="1">
      <c r="E924" s="26"/>
      <c r="F924" s="26"/>
      <c r="G924" s="27"/>
      <c r="H924" s="26"/>
    </row>
    <row r="925" spans="5:8" ht="13.5" customHeight="1">
      <c r="E925" s="26"/>
      <c r="F925" s="26"/>
      <c r="G925" s="27"/>
      <c r="H925" s="26"/>
    </row>
    <row r="926" spans="5:8" ht="13.5" customHeight="1">
      <c r="E926" s="26"/>
      <c r="F926" s="26"/>
      <c r="G926" s="27"/>
      <c r="H926" s="26"/>
    </row>
    <row r="927" spans="5:8" ht="13.5" customHeight="1">
      <c r="E927" s="26"/>
      <c r="F927" s="26"/>
      <c r="G927" s="27"/>
      <c r="H927" s="26"/>
    </row>
    <row r="928" spans="5:8" ht="13.5" customHeight="1">
      <c r="E928" s="26"/>
      <c r="F928" s="26"/>
      <c r="G928" s="27"/>
      <c r="H928" s="26"/>
    </row>
    <row r="929" spans="5:8" ht="13.5" customHeight="1">
      <c r="E929" s="26"/>
      <c r="F929" s="26"/>
      <c r="G929" s="27"/>
      <c r="H929" s="26"/>
    </row>
    <row r="930" spans="5:8" ht="13.5" customHeight="1">
      <c r="E930" s="26"/>
      <c r="F930" s="26"/>
      <c r="G930" s="27"/>
      <c r="H930" s="26"/>
    </row>
    <row r="931" spans="5:8" ht="13.5" customHeight="1">
      <c r="E931" s="26"/>
      <c r="F931" s="26"/>
      <c r="G931" s="27"/>
      <c r="H931" s="26"/>
    </row>
    <row r="932" spans="5:8" ht="13.5" customHeight="1">
      <c r="E932" s="26"/>
      <c r="F932" s="26"/>
      <c r="G932" s="27"/>
      <c r="H932" s="26"/>
    </row>
    <row r="933" spans="5:8" ht="13.5" customHeight="1">
      <c r="E933" s="26"/>
      <c r="F933" s="26"/>
      <c r="G933" s="27"/>
      <c r="H933" s="26"/>
    </row>
    <row r="934" spans="5:8" ht="13.5" customHeight="1">
      <c r="E934" s="26"/>
      <c r="F934" s="26"/>
      <c r="G934" s="27"/>
      <c r="H934" s="26"/>
    </row>
    <row r="935" spans="5:8" ht="13.5" customHeight="1">
      <c r="E935" s="26"/>
      <c r="F935" s="26"/>
      <c r="G935" s="27"/>
      <c r="H935" s="26"/>
    </row>
    <row r="936" spans="5:8" ht="13.5" customHeight="1">
      <c r="E936" s="26"/>
      <c r="F936" s="26"/>
      <c r="G936" s="27"/>
      <c r="H936" s="26"/>
    </row>
    <row r="937" spans="5:8" ht="13.5" customHeight="1">
      <c r="E937" s="26"/>
      <c r="F937" s="26"/>
      <c r="G937" s="27"/>
      <c r="H937" s="26"/>
    </row>
    <row r="938" spans="5:8" ht="13.5" customHeight="1">
      <c r="E938" s="26"/>
      <c r="F938" s="26"/>
      <c r="G938" s="27"/>
      <c r="H938" s="26"/>
    </row>
    <row r="939" spans="5:8" ht="13.5" customHeight="1">
      <c r="E939" s="26"/>
      <c r="F939" s="26"/>
      <c r="G939" s="27"/>
      <c r="H939" s="26"/>
    </row>
    <row r="940" spans="5:8" ht="13.5" customHeight="1">
      <c r="E940" s="26"/>
      <c r="F940" s="26"/>
      <c r="G940" s="27"/>
      <c r="H940" s="26"/>
    </row>
    <row r="941" spans="5:8" ht="13.5" customHeight="1">
      <c r="E941" s="26"/>
      <c r="F941" s="26"/>
      <c r="G941" s="27"/>
      <c r="H941" s="26"/>
    </row>
    <row r="942" spans="5:8" ht="13.5" customHeight="1">
      <c r="E942" s="26"/>
      <c r="F942" s="26"/>
      <c r="G942" s="27"/>
      <c r="H942" s="26"/>
    </row>
    <row r="943" spans="5:8" ht="13.5" customHeight="1">
      <c r="E943" s="26"/>
      <c r="F943" s="26"/>
      <c r="G943" s="27"/>
      <c r="H943" s="26"/>
    </row>
    <row r="944" spans="5:8" ht="13.5" customHeight="1">
      <c r="E944" s="26"/>
      <c r="F944" s="26"/>
      <c r="G944" s="27"/>
      <c r="H944" s="26"/>
    </row>
    <row r="945" spans="5:8" ht="13.5" customHeight="1">
      <c r="E945" s="26"/>
      <c r="F945" s="26"/>
      <c r="G945" s="27"/>
      <c r="H945" s="26"/>
    </row>
    <row r="946" spans="5:8" ht="13.5" customHeight="1">
      <c r="E946" s="26"/>
      <c r="F946" s="26"/>
      <c r="G946" s="27"/>
      <c r="H946" s="26"/>
    </row>
    <row r="947" spans="5:8" ht="13.5" customHeight="1">
      <c r="E947" s="26"/>
      <c r="F947" s="26"/>
      <c r="G947" s="27"/>
      <c r="H947" s="26"/>
    </row>
    <row r="948" spans="5:8" ht="13.5" customHeight="1">
      <c r="E948" s="26"/>
      <c r="F948" s="26"/>
      <c r="G948" s="27"/>
      <c r="H948" s="26"/>
    </row>
    <row r="949" spans="5:8" ht="13.5" customHeight="1">
      <c r="E949" s="26"/>
      <c r="F949" s="26"/>
      <c r="G949" s="27"/>
      <c r="H949" s="26"/>
    </row>
    <row r="950" spans="5:8" ht="13.5" customHeight="1">
      <c r="E950" s="26"/>
      <c r="F950" s="26"/>
      <c r="G950" s="27"/>
      <c r="H950" s="26"/>
    </row>
    <row r="951" spans="5:8" ht="13.5" customHeight="1">
      <c r="E951" s="26"/>
      <c r="F951" s="26"/>
      <c r="G951" s="27"/>
      <c r="H951" s="26"/>
    </row>
    <row r="952" spans="5:8" ht="13.5" customHeight="1">
      <c r="E952" s="26"/>
      <c r="F952" s="26"/>
      <c r="G952" s="27"/>
      <c r="H952" s="26"/>
    </row>
    <row r="953" spans="5:8" ht="13.5" customHeight="1">
      <c r="E953" s="26"/>
      <c r="F953" s="26"/>
      <c r="G953" s="27"/>
      <c r="H953" s="26"/>
    </row>
    <row r="954" spans="5:8" ht="13.5" customHeight="1">
      <c r="E954" s="26"/>
      <c r="F954" s="26"/>
      <c r="G954" s="27"/>
      <c r="H954" s="26"/>
    </row>
    <row r="955" spans="5:8" ht="13.5" customHeight="1">
      <c r="E955" s="26"/>
      <c r="F955" s="26"/>
      <c r="G955" s="27"/>
      <c r="H955" s="26"/>
    </row>
    <row r="956" spans="5:8" ht="13.5" customHeight="1">
      <c r="E956" s="26"/>
      <c r="F956" s="26"/>
      <c r="G956" s="27"/>
      <c r="H956" s="26"/>
    </row>
    <row r="957" spans="5:8" ht="13.5" customHeight="1">
      <c r="E957" s="26"/>
      <c r="F957" s="26"/>
      <c r="G957" s="27"/>
      <c r="H957" s="26"/>
    </row>
    <row r="958" spans="5:8" ht="13.5" customHeight="1">
      <c r="E958" s="26"/>
      <c r="F958" s="26"/>
      <c r="G958" s="27"/>
      <c r="H958" s="26"/>
    </row>
    <row r="959" spans="5:8" ht="13.5" customHeight="1">
      <c r="E959" s="26"/>
      <c r="F959" s="26"/>
      <c r="G959" s="27"/>
      <c r="H959" s="26"/>
    </row>
    <row r="960" spans="5:8" ht="13.5" customHeight="1">
      <c r="E960" s="26"/>
      <c r="F960" s="26"/>
      <c r="G960" s="27"/>
      <c r="H960" s="26"/>
    </row>
    <row r="961" spans="5:8" ht="13.5" customHeight="1">
      <c r="E961" s="26"/>
      <c r="F961" s="26"/>
      <c r="G961" s="27"/>
      <c r="H961" s="26"/>
    </row>
    <row r="962" spans="5:8" ht="13.5" customHeight="1">
      <c r="E962" s="26"/>
      <c r="F962" s="26"/>
      <c r="G962" s="27"/>
      <c r="H962" s="26"/>
    </row>
    <row r="963" spans="5:8" ht="13.5" customHeight="1">
      <c r="E963" s="26"/>
      <c r="F963" s="26"/>
      <c r="G963" s="27"/>
      <c r="H963" s="26"/>
    </row>
    <row r="964" spans="5:8" ht="13.5" customHeight="1">
      <c r="E964" s="26"/>
      <c r="F964" s="26"/>
      <c r="G964" s="27"/>
      <c r="H964" s="26"/>
    </row>
    <row r="965" spans="5:8" ht="13.5" customHeight="1">
      <c r="E965" s="26"/>
      <c r="F965" s="26"/>
      <c r="G965" s="27"/>
      <c r="H965" s="26"/>
    </row>
    <row r="966" spans="5:8" ht="13.5" customHeight="1">
      <c r="E966" s="26"/>
      <c r="F966" s="26"/>
      <c r="G966" s="27"/>
      <c r="H966" s="26"/>
    </row>
    <row r="967" spans="5:8" ht="13.5" customHeight="1">
      <c r="E967" s="26"/>
      <c r="F967" s="26"/>
      <c r="G967" s="27"/>
      <c r="H967" s="26"/>
    </row>
    <row r="968" spans="5:8" ht="13.5" customHeight="1">
      <c r="E968" s="26"/>
      <c r="F968" s="26"/>
      <c r="G968" s="27"/>
      <c r="H968" s="26"/>
    </row>
    <row r="969" spans="5:8" ht="13.5" customHeight="1">
      <c r="E969" s="26"/>
      <c r="F969" s="26"/>
      <c r="G969" s="27"/>
      <c r="H969" s="26"/>
    </row>
    <row r="970" spans="5:8" ht="13.5" customHeight="1">
      <c r="E970" s="26"/>
      <c r="F970" s="26"/>
      <c r="G970" s="27"/>
      <c r="H970" s="26"/>
    </row>
    <row r="971" spans="5:8" ht="13.5" customHeight="1">
      <c r="E971" s="26"/>
      <c r="F971" s="26"/>
      <c r="G971" s="27"/>
      <c r="H971" s="26"/>
    </row>
    <row r="972" spans="5:8" ht="13.5" customHeight="1">
      <c r="E972" s="26"/>
      <c r="F972" s="26"/>
      <c r="G972" s="27"/>
      <c r="H972" s="26"/>
    </row>
    <row r="973" spans="5:8" ht="13.5" customHeight="1">
      <c r="E973" s="26"/>
      <c r="F973" s="26"/>
      <c r="G973" s="27"/>
      <c r="H973" s="26"/>
    </row>
    <row r="974" spans="5:8" ht="13.5" customHeight="1">
      <c r="E974" s="26"/>
      <c r="F974" s="26"/>
      <c r="G974" s="27"/>
      <c r="H974" s="26"/>
    </row>
    <row r="975" spans="5:8" ht="13.5" customHeight="1">
      <c r="E975" s="26"/>
      <c r="F975" s="26"/>
      <c r="G975" s="27"/>
      <c r="H975" s="26"/>
    </row>
    <row r="976" spans="5:8" ht="13.5" customHeight="1">
      <c r="E976" s="26"/>
      <c r="F976" s="26"/>
      <c r="G976" s="27"/>
      <c r="H976" s="26"/>
    </row>
    <row r="977" spans="5:8" ht="13.5" customHeight="1">
      <c r="E977" s="26"/>
      <c r="F977" s="26"/>
      <c r="G977" s="27"/>
      <c r="H977" s="26"/>
    </row>
    <row r="978" spans="5:8" ht="13.5" customHeight="1">
      <c r="E978" s="26"/>
      <c r="F978" s="26"/>
      <c r="G978" s="27"/>
      <c r="H978" s="26"/>
    </row>
    <row r="979" spans="5:8" ht="13.5" customHeight="1">
      <c r="E979" s="26"/>
      <c r="F979" s="26"/>
      <c r="G979" s="27"/>
      <c r="H979" s="26"/>
    </row>
    <row r="980" spans="5:8" ht="13.5" customHeight="1">
      <c r="E980" s="26"/>
      <c r="F980" s="26"/>
      <c r="G980" s="27"/>
      <c r="H980" s="26"/>
    </row>
    <row r="981" spans="5:8" ht="13.5" customHeight="1">
      <c r="E981" s="26"/>
      <c r="F981" s="26"/>
      <c r="G981" s="27"/>
      <c r="H981" s="26"/>
    </row>
    <row r="982" spans="5:8" ht="13.5" customHeight="1">
      <c r="E982" s="26"/>
      <c r="F982" s="26"/>
      <c r="G982" s="27"/>
      <c r="H982" s="26"/>
    </row>
    <row r="983" spans="5:8" ht="13.5" customHeight="1">
      <c r="E983" s="26"/>
      <c r="F983" s="26"/>
      <c r="G983" s="27"/>
      <c r="H983" s="26"/>
    </row>
    <row r="984" spans="5:8" ht="13.5" customHeight="1">
      <c r="E984" s="26"/>
      <c r="F984" s="26"/>
      <c r="G984" s="27"/>
      <c r="H984" s="26"/>
    </row>
    <row r="985" spans="5:8" ht="13.5" customHeight="1">
      <c r="E985" s="26"/>
      <c r="F985" s="26"/>
      <c r="G985" s="27"/>
      <c r="H985" s="26"/>
    </row>
    <row r="986" spans="5:8" ht="13.5" customHeight="1">
      <c r="E986" s="26"/>
      <c r="F986" s="26"/>
      <c r="G986" s="27"/>
      <c r="H986" s="26"/>
    </row>
    <row r="987" spans="5:8" ht="13.5" customHeight="1">
      <c r="E987" s="26"/>
      <c r="F987" s="26"/>
      <c r="G987" s="27"/>
      <c r="H987" s="26"/>
    </row>
    <row r="988" spans="5:8" ht="13.5" customHeight="1">
      <c r="E988" s="26"/>
      <c r="F988" s="26"/>
      <c r="G988" s="27"/>
      <c r="H988" s="26"/>
    </row>
    <row r="989" spans="5:8" ht="13.5" customHeight="1">
      <c r="E989" s="26"/>
      <c r="F989" s="26"/>
      <c r="G989" s="27"/>
      <c r="H989" s="26"/>
    </row>
    <row r="990" spans="5:8" ht="13.5" customHeight="1">
      <c r="E990" s="26"/>
      <c r="F990" s="26"/>
      <c r="G990" s="27"/>
      <c r="H990" s="26"/>
    </row>
    <row r="991" spans="5:8" ht="13.5" customHeight="1">
      <c r="E991" s="26"/>
      <c r="F991" s="26"/>
      <c r="G991" s="27"/>
      <c r="H991" s="26"/>
    </row>
    <row r="992" spans="5:8" ht="13.5" customHeight="1">
      <c r="E992" s="26"/>
      <c r="F992" s="26"/>
      <c r="G992" s="27"/>
      <c r="H992" s="26"/>
    </row>
    <row r="993" spans="5:8" ht="13.5" customHeight="1">
      <c r="E993" s="26"/>
      <c r="F993" s="26"/>
      <c r="G993" s="27"/>
      <c r="H993" s="26"/>
    </row>
    <row r="994" spans="5:8" ht="13.5" customHeight="1">
      <c r="E994" s="26"/>
      <c r="F994" s="26"/>
      <c r="G994" s="27"/>
      <c r="H994" s="26"/>
    </row>
    <row r="995" spans="5:8" ht="13.5" customHeight="1">
      <c r="E995" s="26"/>
      <c r="F995" s="26"/>
      <c r="G995" s="27"/>
      <c r="H995" s="26"/>
    </row>
    <row r="996" spans="5:8" ht="13.5" customHeight="1">
      <c r="E996" s="26"/>
      <c r="F996" s="26"/>
      <c r="G996" s="27"/>
      <c r="H996" s="26"/>
    </row>
    <row r="997" spans="5:8" ht="13.5" customHeight="1">
      <c r="E997" s="26"/>
      <c r="F997" s="26"/>
      <c r="G997" s="27"/>
      <c r="H997" s="26"/>
    </row>
    <row r="998" spans="5:8" ht="13.5" customHeight="1">
      <c r="E998" s="26"/>
      <c r="F998" s="26"/>
      <c r="G998" s="27"/>
      <c r="H998" s="26"/>
    </row>
    <row r="999" spans="5:8" ht="13.5" customHeight="1">
      <c r="E999" s="26"/>
      <c r="F999" s="26"/>
      <c r="G999" s="27"/>
      <c r="H999" s="26"/>
    </row>
    <row r="1000" spans="5:8" ht="13.5" customHeight="1"/>
    <row r="1001" spans="5:8" ht="13.5" customHeight="1"/>
  </sheetData>
  <mergeCells count="3">
    <mergeCell ref="M3:M6"/>
    <mergeCell ref="J4:J6"/>
    <mergeCell ref="O5:O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ADB"/>
  </sheetPr>
  <dimension ref="B1:AB999"/>
  <sheetViews>
    <sheetView showGridLines="0" topLeftCell="D7" zoomScaleNormal="100" workbookViewId="0">
      <selection activeCell="W46" sqref="W46"/>
    </sheetView>
  </sheetViews>
  <sheetFormatPr defaultColWidth="14.42578125" defaultRowHeight="13.9"/>
  <cols>
    <col min="1" max="1" width="5.42578125" customWidth="1"/>
    <col min="2" max="3" width="11.42578125" customWidth="1"/>
    <col min="4" max="4" width="58" customWidth="1"/>
    <col min="5" max="5" width="16.7109375" customWidth="1"/>
    <col min="6" max="6" width="13.28515625" customWidth="1"/>
    <col min="7" max="7" width="12.5703125" customWidth="1"/>
    <col min="8" max="11" width="11.5703125" customWidth="1"/>
    <col min="12" max="26" width="3.7109375" customWidth="1"/>
    <col min="27" max="27" width="10.85546875" customWidth="1"/>
  </cols>
  <sheetData>
    <row r="1" spans="2:28" ht="13.5" customHeight="1">
      <c r="B1" s="47"/>
      <c r="C1" s="48"/>
    </row>
    <row r="2" spans="2:28" ht="13.5" customHeight="1">
      <c r="B2" s="49"/>
      <c r="C2" s="50"/>
      <c r="D2" s="108"/>
      <c r="E2" s="108"/>
      <c r="F2" s="108"/>
      <c r="G2" s="108"/>
      <c r="H2" s="133" t="s">
        <v>268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</row>
    <row r="3" spans="2:28" ht="13.5" customHeight="1">
      <c r="B3" s="49"/>
      <c r="C3" s="50"/>
      <c r="D3" s="108"/>
      <c r="E3" s="108"/>
      <c r="F3" s="108"/>
      <c r="G3" s="108"/>
      <c r="H3" s="133"/>
      <c r="I3" s="108"/>
      <c r="J3" s="108"/>
      <c r="K3" s="136" t="s">
        <v>269</v>
      </c>
      <c r="L3" s="137" t="s">
        <v>270</v>
      </c>
      <c r="M3" s="137"/>
      <c r="N3" s="137"/>
      <c r="O3" s="137"/>
      <c r="P3" s="137"/>
      <c r="Q3" s="137"/>
      <c r="R3" s="137"/>
      <c r="S3" s="137"/>
      <c r="T3" s="137"/>
      <c r="U3" s="137"/>
      <c r="V3" s="108"/>
      <c r="W3" s="108"/>
      <c r="X3" s="108"/>
      <c r="Y3" s="108"/>
      <c r="Z3" s="108"/>
    </row>
    <row r="4" spans="2:28" ht="12.75" customHeight="1">
      <c r="B4" s="49"/>
      <c r="C4" s="50"/>
      <c r="D4" s="108"/>
      <c r="E4" s="135" t="s">
        <v>271</v>
      </c>
      <c r="F4" s="108"/>
      <c r="G4" s="134" t="s">
        <v>272</v>
      </c>
      <c r="H4" s="133"/>
      <c r="I4" s="136" t="s">
        <v>273</v>
      </c>
      <c r="J4" s="133" t="s">
        <v>274</v>
      </c>
      <c r="K4" s="136"/>
      <c r="L4" s="136"/>
      <c r="M4" s="137"/>
      <c r="N4" s="137"/>
      <c r="O4" s="137"/>
      <c r="P4" s="137"/>
      <c r="Q4" s="137"/>
      <c r="R4" s="137"/>
      <c r="S4" s="137"/>
      <c r="T4" s="137"/>
      <c r="U4" s="137"/>
      <c r="V4" s="108"/>
      <c r="W4" s="108"/>
      <c r="X4" s="108"/>
      <c r="Y4" s="108"/>
      <c r="Z4" s="108"/>
    </row>
    <row r="5" spans="2:28" ht="18" customHeight="1">
      <c r="B5" s="138" t="s">
        <v>275</v>
      </c>
      <c r="C5" s="138"/>
      <c r="D5" s="108"/>
      <c r="E5" s="135"/>
      <c r="F5" s="139" t="s">
        <v>276</v>
      </c>
      <c r="G5" s="134"/>
      <c r="H5" s="134"/>
      <c r="I5" s="134"/>
      <c r="J5" s="134"/>
      <c r="K5" s="134"/>
      <c r="L5" s="134"/>
      <c r="M5" s="137"/>
      <c r="N5" s="137"/>
      <c r="O5" s="137"/>
      <c r="P5" s="137"/>
      <c r="Q5" s="137"/>
      <c r="R5" s="137"/>
      <c r="S5" s="137"/>
      <c r="T5" s="137"/>
      <c r="U5" s="137"/>
      <c r="V5" s="108"/>
      <c r="W5" s="108"/>
      <c r="X5" s="108"/>
      <c r="Y5" s="108"/>
      <c r="Z5" s="108"/>
    </row>
    <row r="6" spans="2:28" ht="13.5" customHeight="1">
      <c r="B6" s="51"/>
      <c r="C6" s="50"/>
      <c r="D6" s="108"/>
      <c r="E6" s="135"/>
      <c r="F6" s="135"/>
      <c r="G6" s="135"/>
      <c r="H6" s="135"/>
      <c r="I6" s="135"/>
      <c r="J6" s="135"/>
      <c r="K6" s="135"/>
      <c r="L6" s="135"/>
      <c r="M6" s="137"/>
      <c r="N6" s="137"/>
      <c r="O6" s="137"/>
      <c r="P6" s="137"/>
      <c r="Q6" s="137"/>
      <c r="R6" s="137"/>
      <c r="S6" s="137"/>
      <c r="T6" s="137"/>
      <c r="U6" s="137"/>
      <c r="V6" s="108"/>
      <c r="W6" s="108"/>
      <c r="X6" s="108"/>
      <c r="Y6" s="108"/>
      <c r="Z6" s="108"/>
    </row>
    <row r="7" spans="2:28" ht="39" customHeight="1">
      <c r="B7" s="52" t="s">
        <v>277</v>
      </c>
      <c r="C7" s="52" t="s">
        <v>278</v>
      </c>
      <c r="D7" s="52" t="s">
        <v>19</v>
      </c>
      <c r="E7" s="53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</row>
    <row r="8" spans="2:28" ht="13.5" customHeight="1">
      <c r="B8" s="56" t="s">
        <v>299</v>
      </c>
      <c r="C8" s="57" t="s">
        <v>93</v>
      </c>
      <c r="D8" s="58" t="s">
        <v>300</v>
      </c>
      <c r="E8" s="58" t="s">
        <v>301</v>
      </c>
      <c r="F8" s="59" t="s">
        <v>302</v>
      </c>
      <c r="G8" s="57">
        <f>AB8*2</f>
        <v>22</v>
      </c>
      <c r="H8" s="130">
        <v>0</v>
      </c>
      <c r="I8" s="57">
        <f>SUM(G8-H8)</f>
        <v>22</v>
      </c>
      <c r="J8" s="130">
        <v>0</v>
      </c>
      <c r="K8" s="130">
        <f>SUM(J8-G8)</f>
        <v>-22</v>
      </c>
      <c r="L8" s="5">
        <v>9</v>
      </c>
      <c r="M8" s="5">
        <v>3</v>
      </c>
      <c r="N8" s="5"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B8" s="57">
        <v>11</v>
      </c>
    </row>
    <row r="9" spans="2:28" ht="13.5" customHeight="1">
      <c r="B9" s="60" t="s">
        <v>303</v>
      </c>
      <c r="C9" s="61" t="s">
        <v>93</v>
      </c>
      <c r="D9" s="58" t="s">
        <v>304</v>
      </c>
      <c r="E9" s="58" t="s">
        <v>305</v>
      </c>
      <c r="F9" s="59" t="s">
        <v>302</v>
      </c>
      <c r="G9" s="57">
        <f t="shared" ref="G9:G22" si="0">AB9*2</f>
        <v>14</v>
      </c>
      <c r="H9" s="130">
        <v>0</v>
      </c>
      <c r="I9" s="61">
        <f>SUM(G9-H9)</f>
        <v>14</v>
      </c>
      <c r="J9" s="130">
        <v>0</v>
      </c>
      <c r="K9" s="130">
        <f>SUM(J9-G9)</f>
        <v>-14</v>
      </c>
      <c r="L9" s="5"/>
      <c r="M9" s="5"/>
      <c r="N9" s="5">
        <v>5</v>
      </c>
      <c r="O9" s="5">
        <v>0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B9" s="61">
        <v>7</v>
      </c>
    </row>
    <row r="10" spans="2:28" ht="13.5" customHeight="1">
      <c r="B10" s="60" t="s">
        <v>306</v>
      </c>
      <c r="C10" s="61" t="s">
        <v>93</v>
      </c>
      <c r="D10" s="58" t="s">
        <v>307</v>
      </c>
      <c r="E10" s="58" t="s">
        <v>305</v>
      </c>
      <c r="F10" s="59" t="s">
        <v>302</v>
      </c>
      <c r="G10" s="57">
        <f t="shared" si="0"/>
        <v>14</v>
      </c>
      <c r="H10" s="130">
        <v>0</v>
      </c>
      <c r="I10" s="61">
        <f>SUM(G10-H10)</f>
        <v>14</v>
      </c>
      <c r="J10" s="130">
        <v>0</v>
      </c>
      <c r="K10" s="130">
        <f>SUM(J10-G10)</f>
        <v>-14</v>
      </c>
      <c r="L10" s="5"/>
      <c r="M10" s="5"/>
      <c r="N10" s="5"/>
      <c r="O10" s="5"/>
      <c r="P10" s="5">
        <v>0</v>
      </c>
      <c r="Q10" s="5"/>
      <c r="R10" s="5"/>
      <c r="S10" s="5"/>
      <c r="T10" s="5"/>
      <c r="U10" s="5"/>
      <c r="V10" s="5"/>
      <c r="W10" s="5"/>
      <c r="X10" s="5"/>
      <c r="Y10" s="5"/>
      <c r="Z10" s="5"/>
      <c r="AB10" s="61">
        <v>7</v>
      </c>
    </row>
    <row r="11" spans="2:28" ht="13.5" customHeight="1">
      <c r="B11" s="60" t="s">
        <v>308</v>
      </c>
      <c r="C11" s="61" t="s">
        <v>198</v>
      </c>
      <c r="D11" s="58" t="s">
        <v>309</v>
      </c>
      <c r="E11" s="58" t="s">
        <v>305</v>
      </c>
      <c r="F11" s="59" t="s">
        <v>302</v>
      </c>
      <c r="G11" s="57">
        <f t="shared" si="0"/>
        <v>10</v>
      </c>
      <c r="H11" s="130">
        <v>0</v>
      </c>
      <c r="I11" s="61">
        <f>SUM(G11-H11)</f>
        <v>10</v>
      </c>
      <c r="J11" s="130">
        <v>0</v>
      </c>
      <c r="K11" s="130">
        <f>SUM(J11-G11)</f>
        <v>-10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B11" s="61">
        <v>5</v>
      </c>
    </row>
    <row r="12" spans="2:28" ht="13.5" customHeight="1">
      <c r="B12" s="60" t="s">
        <v>310</v>
      </c>
      <c r="C12" s="61" t="s">
        <v>198</v>
      </c>
      <c r="D12" s="58" t="s">
        <v>311</v>
      </c>
      <c r="E12" s="58"/>
      <c r="F12" s="59" t="s">
        <v>302</v>
      </c>
      <c r="G12" s="57">
        <f t="shared" si="0"/>
        <v>22</v>
      </c>
      <c r="H12" s="130">
        <v>0</v>
      </c>
      <c r="I12" s="61">
        <f>SUM(G12-H12)</f>
        <v>22</v>
      </c>
      <c r="J12" s="130">
        <v>0</v>
      </c>
      <c r="K12" s="130">
        <f>SUM(J12-G12)</f>
        <v>-22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B12" s="61">
        <v>11</v>
      </c>
    </row>
    <row r="13" spans="2:28" ht="13.5" customHeight="1">
      <c r="B13" s="60" t="s">
        <v>312</v>
      </c>
      <c r="C13" s="61" t="s">
        <v>198</v>
      </c>
      <c r="D13" s="58" t="s">
        <v>313</v>
      </c>
      <c r="E13" s="58" t="s">
        <v>314</v>
      </c>
      <c r="F13" s="59" t="s">
        <v>302</v>
      </c>
      <c r="G13" s="57">
        <f t="shared" si="0"/>
        <v>14</v>
      </c>
      <c r="H13" s="130">
        <v>0</v>
      </c>
      <c r="I13" s="61">
        <f>SUM(G13-H13)</f>
        <v>14</v>
      </c>
      <c r="J13" s="130">
        <v>0</v>
      </c>
      <c r="K13" s="130">
        <f>SUM(J13-G13)</f>
        <v>-14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B13" s="61">
        <v>7</v>
      </c>
    </row>
    <row r="14" spans="2:28" ht="13.5" customHeight="1">
      <c r="B14" s="60" t="s">
        <v>315</v>
      </c>
      <c r="C14" s="61" t="s">
        <v>51</v>
      </c>
      <c r="D14" s="58" t="s">
        <v>316</v>
      </c>
      <c r="E14" s="58"/>
      <c r="F14" s="59" t="s">
        <v>302</v>
      </c>
      <c r="G14" s="57">
        <f t="shared" si="0"/>
        <v>10</v>
      </c>
      <c r="H14" s="130">
        <v>0</v>
      </c>
      <c r="I14" s="61">
        <f>SUM(G14-H14)</f>
        <v>10</v>
      </c>
      <c r="J14" s="130">
        <v>0</v>
      </c>
      <c r="K14" s="130">
        <f>SUM(J14-G14)</f>
        <v>-10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B14" s="61">
        <v>5</v>
      </c>
    </row>
    <row r="15" spans="2:28" ht="13.5" customHeight="1">
      <c r="B15" s="60" t="s">
        <v>317</v>
      </c>
      <c r="C15" s="61" t="s">
        <v>51</v>
      </c>
      <c r="D15" s="58" t="s">
        <v>318</v>
      </c>
      <c r="E15" s="58" t="s">
        <v>319</v>
      </c>
      <c r="F15" s="59" t="s">
        <v>302</v>
      </c>
      <c r="G15" s="57">
        <f t="shared" si="0"/>
        <v>14</v>
      </c>
      <c r="H15" s="130">
        <v>0</v>
      </c>
      <c r="I15" s="61">
        <f>SUM(G15-H15)</f>
        <v>14</v>
      </c>
      <c r="J15" s="130">
        <v>0</v>
      </c>
      <c r="K15" s="130">
        <f>SUM(J15-G15)</f>
        <v>-14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B15" s="61">
        <v>7</v>
      </c>
    </row>
    <row r="16" spans="2:28" ht="13.5" customHeight="1">
      <c r="B16" s="60" t="s">
        <v>320</v>
      </c>
      <c r="C16" s="61" t="s">
        <v>51</v>
      </c>
      <c r="D16" s="58" t="s">
        <v>321</v>
      </c>
      <c r="E16" s="58"/>
      <c r="F16" s="59" t="s">
        <v>302</v>
      </c>
      <c r="G16" s="57">
        <f t="shared" si="0"/>
        <v>6</v>
      </c>
      <c r="H16" s="130">
        <v>0</v>
      </c>
      <c r="I16" s="61">
        <f>SUM(G16-H16)</f>
        <v>6</v>
      </c>
      <c r="J16" s="130">
        <v>0</v>
      </c>
      <c r="K16" s="130">
        <f>SUM(J16-G16)</f>
        <v>-6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B16" s="61">
        <v>3</v>
      </c>
    </row>
    <row r="17" spans="2:28" ht="13.5" customHeight="1">
      <c r="B17" s="60" t="s">
        <v>322</v>
      </c>
      <c r="C17" s="61" t="s">
        <v>51</v>
      </c>
      <c r="D17" s="58" t="s">
        <v>323</v>
      </c>
      <c r="E17" s="58" t="s">
        <v>319</v>
      </c>
      <c r="F17" s="59" t="s">
        <v>302</v>
      </c>
      <c r="G17" s="57">
        <f t="shared" si="0"/>
        <v>4</v>
      </c>
      <c r="H17" s="130">
        <v>0</v>
      </c>
      <c r="I17" s="61">
        <f>SUM(G17-H17)</f>
        <v>4</v>
      </c>
      <c r="J17" s="130">
        <v>0</v>
      </c>
      <c r="K17" s="130">
        <f>SUM(J17-G17)</f>
        <v>-4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B17" s="61">
        <v>2</v>
      </c>
    </row>
    <row r="18" spans="2:28" ht="13.5" customHeight="1">
      <c r="B18" s="60" t="s">
        <v>324</v>
      </c>
      <c r="C18" s="61" t="s">
        <v>59</v>
      </c>
      <c r="D18" s="58" t="s">
        <v>325</v>
      </c>
      <c r="E18" s="58"/>
      <c r="F18" s="58" t="s">
        <v>31</v>
      </c>
      <c r="G18" s="57">
        <f t="shared" si="0"/>
        <v>14</v>
      </c>
      <c r="H18" s="130">
        <v>0</v>
      </c>
      <c r="I18" s="61">
        <f>SUM(G18-H18)</f>
        <v>14</v>
      </c>
      <c r="J18" s="130">
        <v>0</v>
      </c>
      <c r="K18" s="130">
        <f>SUM(J18-G18)</f>
        <v>-14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B18" s="61">
        <v>7</v>
      </c>
    </row>
    <row r="19" spans="2:28" ht="13.5" customHeight="1">
      <c r="B19" s="60" t="s">
        <v>326</v>
      </c>
      <c r="C19" s="61" t="s">
        <v>59</v>
      </c>
      <c r="D19" s="58" t="s">
        <v>327</v>
      </c>
      <c r="E19" s="58" t="s">
        <v>319</v>
      </c>
      <c r="F19" s="58" t="s">
        <v>31</v>
      </c>
      <c r="G19" s="57">
        <f t="shared" si="0"/>
        <v>12</v>
      </c>
      <c r="H19" s="130">
        <v>0</v>
      </c>
      <c r="I19" s="61">
        <f>SUM(G19-H19)</f>
        <v>12</v>
      </c>
      <c r="J19" s="130">
        <v>0</v>
      </c>
      <c r="K19" s="130">
        <f>SUM(J19-G19)</f>
        <v>-12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B19" s="61">
        <v>6</v>
      </c>
    </row>
    <row r="20" spans="2:28" ht="13.5" customHeight="1">
      <c r="B20" s="60" t="s">
        <v>328</v>
      </c>
      <c r="C20" s="61" t="s">
        <v>59</v>
      </c>
      <c r="D20" s="58" t="s">
        <v>329</v>
      </c>
      <c r="E20" s="58"/>
      <c r="F20" s="58" t="s">
        <v>31</v>
      </c>
      <c r="G20" s="57">
        <f t="shared" si="0"/>
        <v>6</v>
      </c>
      <c r="H20" s="130">
        <v>0</v>
      </c>
      <c r="I20" s="61">
        <f>SUM(G20-H20)</f>
        <v>6</v>
      </c>
      <c r="J20" s="130">
        <v>0</v>
      </c>
      <c r="K20" s="130">
        <f>SUM(J20-G20)</f>
        <v>-6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B20" s="61">
        <v>3</v>
      </c>
    </row>
    <row r="21" spans="2:28" ht="13.5" customHeight="1">
      <c r="B21" s="60" t="s">
        <v>330</v>
      </c>
      <c r="C21" s="61" t="s">
        <v>80</v>
      </c>
      <c r="D21" s="58" t="s">
        <v>331</v>
      </c>
      <c r="E21" s="58" t="s">
        <v>305</v>
      </c>
      <c r="F21" s="58" t="s">
        <v>302</v>
      </c>
      <c r="G21" s="57">
        <f t="shared" si="0"/>
        <v>40</v>
      </c>
      <c r="H21" s="130">
        <v>0</v>
      </c>
      <c r="I21" s="61">
        <f>SUM(G21-H21)</f>
        <v>40</v>
      </c>
      <c r="J21" s="130">
        <v>0</v>
      </c>
      <c r="K21" s="130">
        <f>SUM(J21-G21)</f>
        <v>-40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B21" s="61">
        <v>20</v>
      </c>
    </row>
    <row r="22" spans="2:28" ht="13.5" customHeight="1">
      <c r="B22" s="60">
        <v>1.18</v>
      </c>
      <c r="C22" s="61" t="s">
        <v>251</v>
      </c>
      <c r="D22" s="58" t="s">
        <v>332</v>
      </c>
      <c r="E22" s="58" t="s">
        <v>314</v>
      </c>
      <c r="F22" s="58" t="s">
        <v>302</v>
      </c>
      <c r="G22" s="57">
        <f t="shared" si="0"/>
        <v>12</v>
      </c>
      <c r="H22" s="130">
        <v>0</v>
      </c>
      <c r="I22" s="61">
        <f>SUM(G22-H22)</f>
        <v>12</v>
      </c>
      <c r="J22" s="130">
        <v>0</v>
      </c>
      <c r="K22" s="130">
        <f>SUM(J22-G22)</f>
        <v>-12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B22" s="61">
        <v>6</v>
      </c>
    </row>
    <row r="23" spans="2:28" ht="13.5" customHeight="1">
      <c r="B23" s="60"/>
      <c r="C23" s="61"/>
      <c r="D23" s="58"/>
      <c r="E23" s="58"/>
      <c r="F23" s="58" t="s">
        <v>267</v>
      </c>
      <c r="G23" s="61">
        <f>SUM(G8:G22)</f>
        <v>214</v>
      </c>
      <c r="H23" s="130">
        <f>SUM(H8:H22)</f>
        <v>0</v>
      </c>
      <c r="I23" s="61">
        <f>SUM(I8:I22)</f>
        <v>214</v>
      </c>
      <c r="J23" s="130">
        <f>SUM(J8:J22)</f>
        <v>0</v>
      </c>
      <c r="K23" s="130">
        <f>SUM(K8:K22)</f>
        <v>-214</v>
      </c>
      <c r="L23" s="5">
        <f>SUBTOTAL(9,L7:L22)</f>
        <v>9</v>
      </c>
      <c r="M23" s="5">
        <f>SUBTOTAL(9,M7:M22)</f>
        <v>3</v>
      </c>
      <c r="N23" s="5">
        <f>SUBTOTAL(9,N7:N22)</f>
        <v>5</v>
      </c>
      <c r="O23" s="5">
        <f>SUBTOTAL(9,O7:O22)</f>
        <v>0</v>
      </c>
      <c r="P23" s="5">
        <f>SUBTOTAL(9,P7:P22)</f>
        <v>0</v>
      </c>
      <c r="Q23" s="5">
        <f>SUBTOTAL(9,Q7:Q22)</f>
        <v>0</v>
      </c>
      <c r="R23" s="5">
        <f>SUBTOTAL(9,R7:R22)</f>
        <v>0</v>
      </c>
      <c r="S23" s="5">
        <f>SUBTOTAL(9,S7:S22)</f>
        <v>0</v>
      </c>
      <c r="T23" s="5">
        <f>SUBTOTAL(9,T7:T22)</f>
        <v>0</v>
      </c>
      <c r="U23" s="5">
        <f>SUBTOTAL(9,U7:U22)</f>
        <v>0</v>
      </c>
      <c r="V23" s="5">
        <f>SUBTOTAL(9,V7:V22)</f>
        <v>0</v>
      </c>
      <c r="W23" s="5">
        <f>SUBTOTAL(9,W7:W22)</f>
        <v>0</v>
      </c>
      <c r="X23" s="5">
        <f>SUBTOTAL(9,X7:X22)</f>
        <v>0</v>
      </c>
      <c r="Y23" s="5">
        <f>SUBTOTAL(9,Y7:Y22)</f>
        <v>0</v>
      </c>
      <c r="Z23" s="5">
        <f>SUBTOTAL(9,Z7:Z22)</f>
        <v>0</v>
      </c>
    </row>
    <row r="24" spans="2:28" ht="13.5" customHeight="1">
      <c r="B24" s="60"/>
      <c r="C24" s="61"/>
      <c r="D24" s="58"/>
      <c r="E24" s="58"/>
      <c r="F24" s="58" t="s">
        <v>333</v>
      </c>
      <c r="G24" s="61"/>
      <c r="H24" s="130"/>
      <c r="I24" s="61"/>
      <c r="J24" s="130"/>
      <c r="K24" s="130"/>
      <c r="L24" s="5">
        <f>G23-L23</f>
        <v>205</v>
      </c>
      <c r="M24" s="5">
        <f t="shared" ref="M24:Z24" si="1">L24-M23</f>
        <v>202</v>
      </c>
      <c r="N24" s="5">
        <f t="shared" si="1"/>
        <v>197</v>
      </c>
      <c r="O24" s="5">
        <f t="shared" si="1"/>
        <v>197</v>
      </c>
      <c r="P24" s="5">
        <f t="shared" si="1"/>
        <v>197</v>
      </c>
      <c r="Q24" s="5">
        <f t="shared" si="1"/>
        <v>197</v>
      </c>
      <c r="R24" s="5">
        <f t="shared" si="1"/>
        <v>197</v>
      </c>
      <c r="S24" s="5">
        <f t="shared" si="1"/>
        <v>197</v>
      </c>
      <c r="T24" s="5">
        <f t="shared" si="1"/>
        <v>197</v>
      </c>
      <c r="U24" s="5">
        <f t="shared" si="1"/>
        <v>197</v>
      </c>
      <c r="V24" s="5">
        <f t="shared" si="1"/>
        <v>197</v>
      </c>
      <c r="W24" s="5">
        <f t="shared" si="1"/>
        <v>197</v>
      </c>
      <c r="X24" s="5">
        <f t="shared" si="1"/>
        <v>197</v>
      </c>
      <c r="Y24" s="5">
        <f t="shared" si="1"/>
        <v>197</v>
      </c>
      <c r="Z24" s="5">
        <f t="shared" si="1"/>
        <v>197</v>
      </c>
    </row>
    <row r="25" spans="2:28" ht="13.5" customHeight="1">
      <c r="B25" s="60"/>
      <c r="C25" s="61"/>
      <c r="D25" s="58"/>
      <c r="E25" s="58"/>
      <c r="F25" s="58" t="s">
        <v>334</v>
      </c>
      <c r="G25" s="61"/>
      <c r="H25" s="130"/>
      <c r="I25" s="61"/>
      <c r="J25" s="130"/>
      <c r="K25" s="130"/>
      <c r="L25" s="5">
        <f>L23</f>
        <v>9</v>
      </c>
      <c r="M25" s="5">
        <f t="shared" ref="M25:Z25" si="2">L25+M23</f>
        <v>12</v>
      </c>
      <c r="N25" s="5">
        <f t="shared" si="2"/>
        <v>17</v>
      </c>
      <c r="O25" s="5">
        <f t="shared" si="2"/>
        <v>17</v>
      </c>
      <c r="P25" s="5">
        <f t="shared" si="2"/>
        <v>17</v>
      </c>
      <c r="Q25" s="5">
        <f t="shared" si="2"/>
        <v>17</v>
      </c>
      <c r="R25" s="5">
        <f t="shared" si="2"/>
        <v>17</v>
      </c>
      <c r="S25" s="5">
        <f t="shared" si="2"/>
        <v>17</v>
      </c>
      <c r="T25" s="5">
        <f t="shared" si="2"/>
        <v>17</v>
      </c>
      <c r="U25" s="5">
        <f t="shared" si="2"/>
        <v>17</v>
      </c>
      <c r="V25" s="5">
        <f t="shared" si="2"/>
        <v>17</v>
      </c>
      <c r="W25" s="5">
        <f t="shared" si="2"/>
        <v>17</v>
      </c>
      <c r="X25" s="5">
        <f t="shared" si="2"/>
        <v>17</v>
      </c>
      <c r="Y25" s="5">
        <f t="shared" si="2"/>
        <v>17</v>
      </c>
      <c r="Z25" s="5">
        <f t="shared" si="2"/>
        <v>17</v>
      </c>
    </row>
    <row r="26" spans="2:28" ht="13.5" customHeight="1">
      <c r="B26" s="60"/>
      <c r="C26" s="61"/>
      <c r="D26" s="58"/>
      <c r="E26" s="58"/>
      <c r="F26" s="58"/>
      <c r="G26" s="61"/>
      <c r="H26" s="130"/>
      <c r="I26" s="61"/>
      <c r="J26" s="130"/>
      <c r="K26" s="130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2:28" ht="13.5" customHeight="1">
      <c r="B27" s="60"/>
      <c r="C27" s="61"/>
      <c r="D27" s="58"/>
      <c r="E27" s="58"/>
      <c r="F27" s="58"/>
      <c r="G27" s="61"/>
      <c r="H27" s="130"/>
      <c r="I27" s="61"/>
      <c r="J27" s="130"/>
      <c r="K27" s="130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2:28" ht="13.5" customHeight="1">
      <c r="B28" s="60"/>
      <c r="C28" s="61"/>
      <c r="D28" s="58"/>
      <c r="E28" s="58"/>
      <c r="F28" s="58"/>
      <c r="G28" s="61"/>
      <c r="H28" s="130"/>
      <c r="I28" s="61"/>
      <c r="J28" s="130"/>
      <c r="K28" s="130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2:28" ht="13.5" customHeight="1">
      <c r="B29" s="62"/>
      <c r="C29" s="63"/>
      <c r="D29" s="64"/>
      <c r="E29" s="64"/>
      <c r="F29" s="65"/>
      <c r="G29" s="130"/>
      <c r="H29" s="130"/>
      <c r="I29" s="130"/>
      <c r="J29" s="144" t="s">
        <v>335</v>
      </c>
      <c r="K29" s="144"/>
      <c r="L29" s="130">
        <v>1</v>
      </c>
      <c r="M29" s="130">
        <v>2</v>
      </c>
      <c r="N29" s="130">
        <v>3</v>
      </c>
      <c r="O29" s="130">
        <v>4</v>
      </c>
      <c r="P29" s="130">
        <v>5</v>
      </c>
      <c r="Q29" s="130">
        <v>6</v>
      </c>
      <c r="R29" s="130">
        <v>7</v>
      </c>
      <c r="S29" s="130">
        <v>8</v>
      </c>
      <c r="T29" s="130">
        <v>9</v>
      </c>
      <c r="U29" s="130">
        <v>10</v>
      </c>
      <c r="V29" s="130">
        <v>11</v>
      </c>
      <c r="W29" s="130">
        <v>12</v>
      </c>
      <c r="X29" s="130">
        <v>13</v>
      </c>
      <c r="Y29" s="130">
        <v>14</v>
      </c>
      <c r="Z29" s="130">
        <v>15</v>
      </c>
      <c r="AA29" s="130" t="s">
        <v>336</v>
      </c>
    </row>
    <row r="30" spans="2:28" ht="13.5" customHeight="1">
      <c r="B30" s="108"/>
      <c r="C30" s="108"/>
      <c r="D30" s="108"/>
      <c r="E30" s="108"/>
      <c r="F30" s="108"/>
      <c r="G30" s="108"/>
      <c r="H30" s="108"/>
      <c r="I30" s="108"/>
      <c r="J30" s="143" t="s">
        <v>9</v>
      </c>
      <c r="K30" s="143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>
        <f>SUM(L30:Z30)</f>
        <v>0</v>
      </c>
      <c r="AB30" s="108"/>
    </row>
    <row r="31" spans="2:28" ht="13.5" customHeight="1">
      <c r="B31" s="108"/>
      <c r="C31" s="108"/>
      <c r="D31" s="108"/>
      <c r="E31" s="108"/>
      <c r="F31" s="108"/>
      <c r="G31" s="108"/>
      <c r="H31" s="108"/>
      <c r="I31" s="108"/>
      <c r="J31" s="143" t="s">
        <v>7</v>
      </c>
      <c r="K31" s="143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>
        <f>SUM(L31:Z31)</f>
        <v>0</v>
      </c>
      <c r="AB31" s="108"/>
    </row>
    <row r="32" spans="2:28" ht="13.5" customHeight="1">
      <c r="B32" s="108"/>
      <c r="C32" s="108"/>
      <c r="D32" s="108"/>
      <c r="E32" s="108"/>
      <c r="F32" s="108"/>
      <c r="G32" s="108"/>
      <c r="H32" s="108"/>
      <c r="I32" s="108"/>
      <c r="J32" s="143" t="s">
        <v>13</v>
      </c>
      <c r="K32" s="143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>
        <f>SUM(L32:Z32)</f>
        <v>0</v>
      </c>
      <c r="AB32" s="108"/>
    </row>
    <row r="33" spans="2:28" ht="13.5" customHeight="1">
      <c r="B33" s="108"/>
      <c r="C33" s="108"/>
      <c r="D33" s="108"/>
      <c r="E33" s="108"/>
      <c r="F33" s="108"/>
      <c r="G33" s="108"/>
      <c r="H33" s="108"/>
      <c r="I33" s="108"/>
      <c r="J33" s="143" t="s">
        <v>337</v>
      </c>
      <c r="K33" s="143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>
        <f>SUM(L33:Z33)</f>
        <v>0</v>
      </c>
      <c r="AB33" s="108"/>
    </row>
    <row r="34" spans="2:28" ht="13.5" customHeight="1">
      <c r="B34" s="108"/>
      <c r="C34" s="108"/>
      <c r="D34" s="108"/>
      <c r="E34" s="108"/>
      <c r="F34" s="108"/>
      <c r="G34" s="108"/>
      <c r="H34" s="108"/>
      <c r="I34" s="108"/>
      <c r="J34" s="143" t="s">
        <v>14</v>
      </c>
      <c r="K34" s="143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129">
        <f>SUM(L34:Z34)</f>
        <v>0</v>
      </c>
      <c r="AB34" s="108"/>
    </row>
    <row r="35" spans="2:28" ht="13.5" customHeight="1">
      <c r="B35" s="49"/>
      <c r="C35" s="50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  <c r="W35" s="108"/>
      <c r="X35" s="108"/>
      <c r="Y35" s="108"/>
      <c r="Z35" s="108"/>
      <c r="AA35" s="129">
        <f>SUM(AA30:AA34)</f>
        <v>0</v>
      </c>
      <c r="AB35" s="108"/>
    </row>
    <row r="36" spans="2:28" ht="13.5" customHeight="1">
      <c r="B36" s="49"/>
      <c r="C36" s="50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  <c r="AA36" s="108"/>
      <c r="AB36" s="108"/>
    </row>
    <row r="37" spans="2:28" ht="12.75" customHeight="1">
      <c r="B37" s="49"/>
      <c r="C37" s="50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  <c r="AA37" s="108"/>
    </row>
    <row r="38" spans="2:28" ht="12.75" customHeight="1">
      <c r="B38" s="49"/>
      <c r="C38" s="50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</row>
    <row r="39" spans="2:28" ht="12.75" customHeight="1">
      <c r="B39" s="49"/>
      <c r="C39" s="50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</row>
    <row r="40" spans="2:28" ht="12.75" customHeight="1">
      <c r="B40" s="49"/>
      <c r="C40" s="50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  <c r="AA40" s="108"/>
      <c r="AB40" s="108"/>
    </row>
    <row r="41" spans="2:28" ht="12.75" customHeight="1">
      <c r="B41" s="49"/>
      <c r="C41" s="50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108"/>
      <c r="AB41" s="108"/>
    </row>
    <row r="42" spans="2:28" ht="12.75" customHeight="1">
      <c r="B42" s="49"/>
      <c r="C42" s="50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</row>
    <row r="43" spans="2:28" ht="12.75" customHeight="1">
      <c r="B43" s="49"/>
      <c r="C43" s="50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67"/>
      <c r="AB43" s="108"/>
    </row>
    <row r="44" spans="2:28" ht="12.75" customHeight="1">
      <c r="B44" s="49"/>
      <c r="C44" s="50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/>
      <c r="AB44" s="108"/>
    </row>
    <row r="45" spans="2:28" ht="12.75" customHeight="1">
      <c r="B45" s="68"/>
      <c r="C45" s="69"/>
    </row>
    <row r="46" spans="2:28" ht="12.75" customHeight="1">
      <c r="B46" s="47"/>
      <c r="C46" s="48"/>
    </row>
    <row r="47" spans="2:28" ht="12.75" customHeight="1">
      <c r="B47" s="47"/>
      <c r="C47" s="48"/>
    </row>
    <row r="48" spans="2:28" ht="12.75" customHeight="1">
      <c r="B48" s="47"/>
      <c r="C48" s="48"/>
    </row>
    <row r="49" spans="2:3" ht="13.5" customHeight="1">
      <c r="B49" s="47"/>
      <c r="C49" s="48"/>
    </row>
    <row r="50" spans="2:3" ht="13.5" customHeight="1">
      <c r="B50" s="47"/>
      <c r="C50" s="48"/>
    </row>
    <row r="51" spans="2:3" ht="13.5" customHeight="1">
      <c r="B51" s="47"/>
      <c r="C51" s="48"/>
    </row>
    <row r="52" spans="2:3" ht="13.5" customHeight="1">
      <c r="B52" s="47"/>
      <c r="C52" s="48"/>
    </row>
    <row r="53" spans="2:3" ht="13.5" customHeight="1">
      <c r="B53" s="47"/>
      <c r="C53" s="48"/>
    </row>
    <row r="54" spans="2:3" ht="13.5" customHeight="1">
      <c r="B54" s="47"/>
      <c r="C54" s="48"/>
    </row>
    <row r="55" spans="2:3" ht="13.5" customHeight="1">
      <c r="B55" s="47"/>
      <c r="C55" s="48"/>
    </row>
    <row r="56" spans="2:3" ht="13.5" customHeight="1">
      <c r="B56" s="47"/>
      <c r="C56" s="48"/>
    </row>
    <row r="57" spans="2:3" ht="13.5" customHeight="1">
      <c r="B57" s="47"/>
      <c r="C57" s="48"/>
    </row>
    <row r="58" spans="2:3" ht="13.5" customHeight="1">
      <c r="B58" s="47"/>
      <c r="C58" s="48"/>
    </row>
    <row r="59" spans="2:3" ht="13.5" customHeight="1">
      <c r="B59" s="47"/>
      <c r="C59" s="48"/>
    </row>
    <row r="60" spans="2:3" ht="13.5" customHeight="1">
      <c r="B60" s="47"/>
      <c r="C60" s="48"/>
    </row>
    <row r="61" spans="2:3" ht="13.5" customHeight="1">
      <c r="B61" s="47"/>
      <c r="C61" s="48"/>
    </row>
    <row r="62" spans="2:3" ht="13.5" customHeight="1">
      <c r="B62" s="47"/>
      <c r="C62" s="48"/>
    </row>
    <row r="63" spans="2:3" ht="13.5" customHeight="1">
      <c r="B63" s="47"/>
      <c r="C63" s="48"/>
    </row>
    <row r="64" spans="2:3" ht="13.5" customHeight="1">
      <c r="B64" s="47"/>
      <c r="C64" s="48"/>
    </row>
    <row r="65" spans="2:3" ht="13.5" customHeight="1">
      <c r="B65" s="47"/>
      <c r="C65" s="48"/>
    </row>
    <row r="66" spans="2:3" ht="13.5" customHeight="1">
      <c r="B66" s="47"/>
      <c r="C66" s="48"/>
    </row>
    <row r="67" spans="2:3" ht="13.5" customHeight="1">
      <c r="B67" s="47"/>
      <c r="C67" s="48"/>
    </row>
    <row r="68" spans="2:3" ht="13.5" customHeight="1">
      <c r="B68" s="47"/>
      <c r="C68" s="48"/>
    </row>
    <row r="69" spans="2:3" ht="13.5" customHeight="1">
      <c r="B69" s="47"/>
      <c r="C69" s="48"/>
    </row>
    <row r="70" spans="2:3" ht="13.5" customHeight="1">
      <c r="B70" s="47"/>
      <c r="C70" s="48"/>
    </row>
    <row r="71" spans="2:3" ht="13.5" customHeight="1">
      <c r="B71" s="47"/>
      <c r="C71" s="48"/>
    </row>
    <row r="72" spans="2:3" ht="13.5" customHeight="1">
      <c r="B72" s="47"/>
      <c r="C72" s="48"/>
    </row>
    <row r="73" spans="2:3" ht="13.5" customHeight="1">
      <c r="B73" s="47"/>
      <c r="C73" s="48"/>
    </row>
    <row r="74" spans="2:3" ht="13.5" customHeight="1">
      <c r="B74" s="47"/>
      <c r="C74" s="48"/>
    </row>
    <row r="75" spans="2:3" ht="13.5" customHeight="1">
      <c r="B75" s="47"/>
      <c r="C75" s="48"/>
    </row>
    <row r="76" spans="2:3" ht="13.5" customHeight="1">
      <c r="B76" s="47"/>
      <c r="C76" s="48"/>
    </row>
    <row r="77" spans="2:3" ht="13.5" customHeight="1">
      <c r="B77" s="47"/>
      <c r="C77" s="48"/>
    </row>
    <row r="78" spans="2:3" ht="13.5" customHeight="1">
      <c r="B78" s="47"/>
      <c r="C78" s="48"/>
    </row>
    <row r="79" spans="2:3" ht="13.5" customHeight="1">
      <c r="B79" s="47"/>
      <c r="C79" s="48"/>
    </row>
    <row r="80" spans="2:3" ht="13.5" customHeight="1">
      <c r="B80" s="47"/>
      <c r="C80" s="48"/>
    </row>
    <row r="81" spans="2:3" ht="13.5" customHeight="1">
      <c r="B81" s="47"/>
      <c r="C81" s="48"/>
    </row>
    <row r="82" spans="2:3" ht="13.5" customHeight="1">
      <c r="B82" s="47"/>
      <c r="C82" s="48"/>
    </row>
    <row r="83" spans="2:3" ht="13.5" customHeight="1">
      <c r="B83" s="47"/>
      <c r="C83" s="48"/>
    </row>
    <row r="84" spans="2:3" ht="13.5" customHeight="1">
      <c r="B84" s="47"/>
      <c r="C84" s="48"/>
    </row>
    <row r="85" spans="2:3" ht="13.5" customHeight="1">
      <c r="B85" s="47"/>
      <c r="C85" s="48"/>
    </row>
    <row r="86" spans="2:3" ht="13.5" customHeight="1">
      <c r="B86" s="47"/>
      <c r="C86" s="48"/>
    </row>
    <row r="87" spans="2:3" ht="13.5" customHeight="1">
      <c r="B87" s="47"/>
      <c r="C87" s="48"/>
    </row>
    <row r="88" spans="2:3" ht="13.5" customHeight="1">
      <c r="B88" s="47"/>
      <c r="C88" s="48"/>
    </row>
    <row r="89" spans="2:3" ht="13.5" customHeight="1">
      <c r="B89" s="47"/>
      <c r="C89" s="48"/>
    </row>
    <row r="90" spans="2:3" ht="13.5" customHeight="1">
      <c r="B90" s="47"/>
      <c r="C90" s="48"/>
    </row>
    <row r="91" spans="2:3" ht="13.5" customHeight="1">
      <c r="B91" s="47"/>
      <c r="C91" s="48"/>
    </row>
    <row r="92" spans="2:3" ht="13.5" customHeight="1">
      <c r="B92" s="47"/>
      <c r="C92" s="48"/>
    </row>
    <row r="93" spans="2:3" ht="13.5" customHeight="1">
      <c r="B93" s="47"/>
      <c r="C93" s="48"/>
    </row>
    <row r="94" spans="2:3" ht="13.5" customHeight="1">
      <c r="B94" s="47"/>
      <c r="C94" s="48"/>
    </row>
    <row r="95" spans="2:3" ht="13.5" customHeight="1">
      <c r="B95" s="47"/>
      <c r="C95" s="48"/>
    </row>
    <row r="96" spans="2:3" ht="13.5" customHeight="1">
      <c r="B96" s="47"/>
      <c r="C96" s="48"/>
    </row>
    <row r="97" spans="2:3" ht="13.5" customHeight="1">
      <c r="B97" s="47"/>
      <c r="C97" s="48"/>
    </row>
    <row r="98" spans="2:3" ht="13.5" customHeight="1">
      <c r="B98" s="47"/>
      <c r="C98" s="48"/>
    </row>
    <row r="99" spans="2:3" ht="13.5" customHeight="1">
      <c r="B99" s="47"/>
      <c r="C99" s="48"/>
    </row>
    <row r="100" spans="2:3" ht="13.5" customHeight="1">
      <c r="B100" s="47"/>
      <c r="C100" s="48"/>
    </row>
    <row r="101" spans="2:3" ht="13.5" customHeight="1">
      <c r="B101" s="47"/>
      <c r="C101" s="48"/>
    </row>
    <row r="102" spans="2:3" ht="13.5" customHeight="1">
      <c r="B102" s="47"/>
      <c r="C102" s="48"/>
    </row>
    <row r="103" spans="2:3" ht="13.5" customHeight="1">
      <c r="B103" s="47"/>
      <c r="C103" s="48"/>
    </row>
    <row r="104" spans="2:3" ht="13.5" customHeight="1">
      <c r="B104" s="47"/>
      <c r="C104" s="48"/>
    </row>
    <row r="105" spans="2:3" ht="13.5" customHeight="1">
      <c r="B105" s="47"/>
      <c r="C105" s="48"/>
    </row>
    <row r="106" spans="2:3" ht="13.5" customHeight="1">
      <c r="B106" s="47"/>
      <c r="C106" s="48"/>
    </row>
    <row r="107" spans="2:3" ht="13.5" customHeight="1">
      <c r="B107" s="47"/>
      <c r="C107" s="48"/>
    </row>
    <row r="108" spans="2:3" ht="13.5" customHeight="1">
      <c r="B108" s="47"/>
      <c r="C108" s="48"/>
    </row>
    <row r="109" spans="2:3" ht="13.5" customHeight="1">
      <c r="B109" s="47"/>
      <c r="C109" s="48"/>
    </row>
    <row r="110" spans="2:3" ht="13.5" customHeight="1">
      <c r="B110" s="47"/>
      <c r="C110" s="48"/>
    </row>
    <row r="111" spans="2:3" ht="13.5" customHeight="1">
      <c r="B111" s="47"/>
      <c r="C111" s="48"/>
    </row>
    <row r="112" spans="2:3" ht="13.5" customHeight="1">
      <c r="B112" s="47"/>
      <c r="C112" s="48"/>
    </row>
    <row r="113" spans="2:3" ht="13.5" customHeight="1">
      <c r="B113" s="47"/>
      <c r="C113" s="48"/>
    </row>
    <row r="114" spans="2:3" ht="13.5" customHeight="1">
      <c r="B114" s="47"/>
      <c r="C114" s="48"/>
    </row>
    <row r="115" spans="2:3" ht="13.5" customHeight="1">
      <c r="B115" s="47"/>
      <c r="C115" s="48"/>
    </row>
    <row r="116" spans="2:3" ht="13.5" customHeight="1">
      <c r="B116" s="47"/>
      <c r="C116" s="48"/>
    </row>
    <row r="117" spans="2:3" ht="13.5" customHeight="1">
      <c r="B117" s="47"/>
      <c r="C117" s="48"/>
    </row>
    <row r="118" spans="2:3" ht="13.5" customHeight="1">
      <c r="B118" s="47"/>
      <c r="C118" s="48"/>
    </row>
    <row r="119" spans="2:3" ht="13.5" customHeight="1">
      <c r="B119" s="47"/>
      <c r="C119" s="48"/>
    </row>
    <row r="120" spans="2:3" ht="13.5" customHeight="1">
      <c r="B120" s="47"/>
      <c r="C120" s="48"/>
    </row>
    <row r="121" spans="2:3" ht="13.5" customHeight="1">
      <c r="B121" s="47"/>
      <c r="C121" s="48"/>
    </row>
    <row r="122" spans="2:3" ht="13.5" customHeight="1">
      <c r="B122" s="47"/>
      <c r="C122" s="48"/>
    </row>
    <row r="123" spans="2:3" ht="13.5" customHeight="1">
      <c r="B123" s="47"/>
      <c r="C123" s="48"/>
    </row>
    <row r="124" spans="2:3" ht="13.5" customHeight="1">
      <c r="B124" s="47"/>
      <c r="C124" s="48"/>
    </row>
    <row r="125" spans="2:3" ht="13.5" customHeight="1">
      <c r="B125" s="47"/>
      <c r="C125" s="48"/>
    </row>
    <row r="126" spans="2:3" ht="13.5" customHeight="1">
      <c r="B126" s="47"/>
      <c r="C126" s="48"/>
    </row>
    <row r="127" spans="2:3" ht="13.5" customHeight="1">
      <c r="B127" s="47"/>
      <c r="C127" s="48"/>
    </row>
    <row r="128" spans="2:3" ht="13.5" customHeight="1">
      <c r="B128" s="47"/>
      <c r="C128" s="48"/>
    </row>
    <row r="129" spans="2:3" ht="13.5" customHeight="1">
      <c r="B129" s="47"/>
      <c r="C129" s="48"/>
    </row>
    <row r="130" spans="2:3" ht="13.5" customHeight="1">
      <c r="B130" s="47"/>
      <c r="C130" s="48"/>
    </row>
    <row r="131" spans="2:3" ht="13.5" customHeight="1">
      <c r="B131" s="47"/>
      <c r="C131" s="48"/>
    </row>
    <row r="132" spans="2:3" ht="13.5" customHeight="1">
      <c r="B132" s="47"/>
      <c r="C132" s="48"/>
    </row>
    <row r="133" spans="2:3" ht="13.5" customHeight="1">
      <c r="B133" s="47"/>
      <c r="C133" s="48"/>
    </row>
    <row r="134" spans="2:3" ht="13.5" customHeight="1">
      <c r="B134" s="47"/>
      <c r="C134" s="48"/>
    </row>
    <row r="135" spans="2:3" ht="13.5" customHeight="1">
      <c r="B135" s="47"/>
      <c r="C135" s="48"/>
    </row>
    <row r="136" spans="2:3" ht="13.5" customHeight="1">
      <c r="B136" s="47"/>
      <c r="C136" s="48"/>
    </row>
    <row r="137" spans="2:3" ht="13.5" customHeight="1">
      <c r="B137" s="47"/>
      <c r="C137" s="48"/>
    </row>
    <row r="138" spans="2:3" ht="13.5" customHeight="1">
      <c r="B138" s="47"/>
      <c r="C138" s="48"/>
    </row>
    <row r="139" spans="2:3" ht="13.5" customHeight="1">
      <c r="B139" s="47"/>
      <c r="C139" s="48"/>
    </row>
    <row r="140" spans="2:3" ht="13.5" customHeight="1">
      <c r="B140" s="47"/>
      <c r="C140" s="48"/>
    </row>
    <row r="141" spans="2:3" ht="13.5" customHeight="1">
      <c r="B141" s="47"/>
      <c r="C141" s="48"/>
    </row>
    <row r="142" spans="2:3" ht="13.5" customHeight="1">
      <c r="B142" s="47"/>
      <c r="C142" s="48"/>
    </row>
    <row r="143" spans="2:3" ht="13.5" customHeight="1">
      <c r="B143" s="47"/>
      <c r="C143" s="48"/>
    </row>
    <row r="144" spans="2:3" ht="13.5" customHeight="1">
      <c r="B144" s="47"/>
      <c r="C144" s="48"/>
    </row>
    <row r="145" spans="2:3" ht="13.5" customHeight="1">
      <c r="B145" s="47"/>
      <c r="C145" s="48"/>
    </row>
    <row r="146" spans="2:3" ht="13.5" customHeight="1">
      <c r="B146" s="47"/>
      <c r="C146" s="48"/>
    </row>
    <row r="147" spans="2:3" ht="13.5" customHeight="1">
      <c r="B147" s="47"/>
      <c r="C147" s="48"/>
    </row>
    <row r="148" spans="2:3" ht="13.5" customHeight="1">
      <c r="B148" s="47"/>
      <c r="C148" s="48"/>
    </row>
    <row r="149" spans="2:3" ht="13.5" customHeight="1">
      <c r="B149" s="47"/>
      <c r="C149" s="48"/>
    </row>
    <row r="150" spans="2:3" ht="13.5" customHeight="1">
      <c r="B150" s="47"/>
      <c r="C150" s="48"/>
    </row>
    <row r="151" spans="2:3" ht="13.5" customHeight="1">
      <c r="B151" s="47"/>
      <c r="C151" s="48"/>
    </row>
    <row r="152" spans="2:3" ht="13.5" customHeight="1">
      <c r="B152" s="47"/>
      <c r="C152" s="48"/>
    </row>
    <row r="153" spans="2:3" ht="13.5" customHeight="1">
      <c r="B153" s="47"/>
      <c r="C153" s="48"/>
    </row>
    <row r="154" spans="2:3" ht="13.5" customHeight="1">
      <c r="B154" s="47"/>
      <c r="C154" s="48"/>
    </row>
    <row r="155" spans="2:3" ht="13.5" customHeight="1">
      <c r="B155" s="47"/>
      <c r="C155" s="48"/>
    </row>
    <row r="156" spans="2:3" ht="13.5" customHeight="1">
      <c r="B156" s="47"/>
      <c r="C156" s="48"/>
    </row>
    <row r="157" spans="2:3" ht="13.5" customHeight="1">
      <c r="B157" s="47"/>
      <c r="C157" s="48"/>
    </row>
    <row r="158" spans="2:3" ht="13.5" customHeight="1">
      <c r="B158" s="47"/>
      <c r="C158" s="48"/>
    </row>
    <row r="159" spans="2:3" ht="13.5" customHeight="1">
      <c r="B159" s="47"/>
      <c r="C159" s="48"/>
    </row>
    <row r="160" spans="2:3" ht="13.5" customHeight="1">
      <c r="B160" s="47"/>
      <c r="C160" s="48"/>
    </row>
    <row r="161" spans="2:3" ht="13.5" customHeight="1">
      <c r="B161" s="47"/>
      <c r="C161" s="48"/>
    </row>
    <row r="162" spans="2:3" ht="13.5" customHeight="1">
      <c r="B162" s="47"/>
      <c r="C162" s="48"/>
    </row>
    <row r="163" spans="2:3" ht="13.5" customHeight="1">
      <c r="B163" s="47"/>
      <c r="C163" s="48"/>
    </row>
    <row r="164" spans="2:3" ht="13.5" customHeight="1">
      <c r="B164" s="47"/>
      <c r="C164" s="48"/>
    </row>
    <row r="165" spans="2:3" ht="13.5" customHeight="1">
      <c r="B165" s="47"/>
      <c r="C165" s="48"/>
    </row>
    <row r="166" spans="2:3" ht="13.5" customHeight="1">
      <c r="B166" s="47"/>
      <c r="C166" s="48"/>
    </row>
    <row r="167" spans="2:3" ht="13.5" customHeight="1">
      <c r="B167" s="47"/>
      <c r="C167" s="48"/>
    </row>
    <row r="168" spans="2:3" ht="13.5" customHeight="1">
      <c r="B168" s="47"/>
      <c r="C168" s="48"/>
    </row>
    <row r="169" spans="2:3" ht="13.5" customHeight="1">
      <c r="B169" s="47"/>
      <c r="C169" s="48"/>
    </row>
    <row r="170" spans="2:3" ht="13.5" customHeight="1">
      <c r="B170" s="47"/>
      <c r="C170" s="48"/>
    </row>
    <row r="171" spans="2:3" ht="13.5" customHeight="1">
      <c r="B171" s="47"/>
      <c r="C171" s="48"/>
    </row>
    <row r="172" spans="2:3" ht="13.5" customHeight="1">
      <c r="B172" s="47"/>
      <c r="C172" s="48"/>
    </row>
    <row r="173" spans="2:3" ht="13.5" customHeight="1">
      <c r="B173" s="47"/>
      <c r="C173" s="48"/>
    </row>
    <row r="174" spans="2:3" ht="13.5" customHeight="1">
      <c r="B174" s="47"/>
      <c r="C174" s="48"/>
    </row>
    <row r="175" spans="2:3" ht="13.5" customHeight="1">
      <c r="B175" s="47"/>
      <c r="C175" s="48"/>
    </row>
    <row r="176" spans="2:3" ht="13.5" customHeight="1">
      <c r="B176" s="47"/>
      <c r="C176" s="48"/>
    </row>
    <row r="177" spans="2:3" ht="13.5" customHeight="1">
      <c r="B177" s="47"/>
      <c r="C177" s="48"/>
    </row>
    <row r="178" spans="2:3" ht="13.5" customHeight="1">
      <c r="B178" s="47"/>
      <c r="C178" s="48"/>
    </row>
    <row r="179" spans="2:3" ht="13.5" customHeight="1">
      <c r="B179" s="47"/>
      <c r="C179" s="48"/>
    </row>
    <row r="180" spans="2:3" ht="13.5" customHeight="1">
      <c r="B180" s="47"/>
      <c r="C180" s="48"/>
    </row>
    <row r="181" spans="2:3" ht="13.5" customHeight="1">
      <c r="B181" s="47"/>
      <c r="C181" s="48"/>
    </row>
    <row r="182" spans="2:3" ht="13.5" customHeight="1">
      <c r="B182" s="47"/>
      <c r="C182" s="48"/>
    </row>
    <row r="183" spans="2:3" ht="13.5" customHeight="1">
      <c r="B183" s="47"/>
      <c r="C183" s="48"/>
    </row>
    <row r="184" spans="2:3" ht="13.5" customHeight="1">
      <c r="B184" s="47"/>
      <c r="C184" s="48"/>
    </row>
    <row r="185" spans="2:3" ht="13.5" customHeight="1">
      <c r="B185" s="47"/>
      <c r="C185" s="48"/>
    </row>
    <row r="186" spans="2:3" ht="13.5" customHeight="1">
      <c r="B186" s="47"/>
      <c r="C186" s="48"/>
    </row>
    <row r="187" spans="2:3" ht="13.5" customHeight="1">
      <c r="B187" s="47"/>
      <c r="C187" s="48"/>
    </row>
    <row r="188" spans="2:3" ht="13.5" customHeight="1">
      <c r="B188" s="47"/>
      <c r="C188" s="48"/>
    </row>
    <row r="189" spans="2:3" ht="13.5" customHeight="1">
      <c r="B189" s="47"/>
      <c r="C189" s="48"/>
    </row>
    <row r="190" spans="2:3" ht="13.5" customHeight="1">
      <c r="B190" s="47"/>
      <c r="C190" s="48"/>
    </row>
    <row r="191" spans="2:3" ht="13.5" customHeight="1">
      <c r="B191" s="47"/>
      <c r="C191" s="48"/>
    </row>
    <row r="192" spans="2:3" ht="13.5" customHeight="1">
      <c r="B192" s="47"/>
      <c r="C192" s="48"/>
    </row>
    <row r="193" spans="2:3" ht="13.5" customHeight="1">
      <c r="B193" s="47"/>
      <c r="C193" s="48"/>
    </row>
    <row r="194" spans="2:3" ht="13.5" customHeight="1">
      <c r="B194" s="47"/>
      <c r="C194" s="48"/>
    </row>
    <row r="195" spans="2:3" ht="13.5" customHeight="1">
      <c r="B195" s="47"/>
      <c r="C195" s="48"/>
    </row>
    <row r="196" spans="2:3" ht="13.5" customHeight="1">
      <c r="B196" s="47"/>
      <c r="C196" s="48"/>
    </row>
    <row r="197" spans="2:3" ht="13.5" customHeight="1">
      <c r="B197" s="47"/>
      <c r="C197" s="48"/>
    </row>
    <row r="198" spans="2:3" ht="13.5" customHeight="1">
      <c r="B198" s="47"/>
      <c r="C198" s="48"/>
    </row>
    <row r="199" spans="2:3" ht="13.5" customHeight="1">
      <c r="B199" s="47"/>
      <c r="C199" s="48"/>
    </row>
    <row r="200" spans="2:3" ht="13.5" customHeight="1">
      <c r="B200" s="47"/>
      <c r="C200" s="48"/>
    </row>
    <row r="201" spans="2:3" ht="13.5" customHeight="1">
      <c r="B201" s="47"/>
      <c r="C201" s="48"/>
    </row>
    <row r="202" spans="2:3" ht="13.5" customHeight="1">
      <c r="B202" s="47"/>
      <c r="C202" s="48"/>
    </row>
    <row r="203" spans="2:3" ht="13.5" customHeight="1">
      <c r="B203" s="47"/>
      <c r="C203" s="48"/>
    </row>
    <row r="204" spans="2:3" ht="13.5" customHeight="1">
      <c r="B204" s="47"/>
      <c r="C204" s="48"/>
    </row>
    <row r="205" spans="2:3" ht="13.5" customHeight="1">
      <c r="B205" s="47"/>
      <c r="C205" s="48"/>
    </row>
    <row r="206" spans="2:3" ht="13.5" customHeight="1">
      <c r="B206" s="47"/>
      <c r="C206" s="48"/>
    </row>
    <row r="207" spans="2:3" ht="13.5" customHeight="1">
      <c r="B207" s="47"/>
      <c r="C207" s="48"/>
    </row>
    <row r="208" spans="2:3" ht="13.5" customHeight="1">
      <c r="B208" s="47"/>
      <c r="C208" s="48"/>
    </row>
    <row r="209" spans="2:3" ht="13.5" customHeight="1">
      <c r="B209" s="47"/>
      <c r="C209" s="48"/>
    </row>
    <row r="210" spans="2:3" ht="13.5" customHeight="1">
      <c r="B210" s="47"/>
      <c r="C210" s="48"/>
    </row>
    <row r="211" spans="2:3" ht="13.5" customHeight="1">
      <c r="B211" s="47"/>
      <c r="C211" s="48"/>
    </row>
    <row r="212" spans="2:3" ht="13.5" customHeight="1">
      <c r="B212" s="47"/>
      <c r="C212" s="48"/>
    </row>
    <row r="213" spans="2:3" ht="13.5" customHeight="1">
      <c r="B213" s="47"/>
      <c r="C213" s="48"/>
    </row>
    <row r="214" spans="2:3" ht="13.5" customHeight="1">
      <c r="B214" s="47"/>
      <c r="C214" s="48"/>
    </row>
    <row r="215" spans="2:3" ht="13.5" customHeight="1">
      <c r="B215" s="47"/>
      <c r="C215" s="48"/>
    </row>
    <row r="216" spans="2:3" ht="13.5" customHeight="1">
      <c r="B216" s="47"/>
      <c r="C216" s="48"/>
    </row>
    <row r="217" spans="2:3" ht="13.5" customHeight="1">
      <c r="B217" s="47"/>
      <c r="C217" s="48"/>
    </row>
    <row r="218" spans="2:3" ht="13.5" customHeight="1">
      <c r="B218" s="47"/>
      <c r="C218" s="48"/>
    </row>
    <row r="219" spans="2:3" ht="13.5" customHeight="1">
      <c r="B219" s="47"/>
      <c r="C219" s="48"/>
    </row>
    <row r="220" spans="2:3" ht="13.5" customHeight="1">
      <c r="B220" s="47"/>
      <c r="C220" s="48"/>
    </row>
    <row r="221" spans="2:3" ht="13.5" customHeight="1">
      <c r="B221" s="47"/>
      <c r="C221" s="48"/>
    </row>
    <row r="222" spans="2:3" ht="13.5" customHeight="1">
      <c r="B222" s="47"/>
      <c r="C222" s="48"/>
    </row>
    <row r="223" spans="2:3" ht="13.5" customHeight="1">
      <c r="B223" s="47"/>
      <c r="C223" s="48"/>
    </row>
    <row r="224" spans="2:3" ht="13.5" customHeight="1">
      <c r="B224" s="47"/>
      <c r="C224" s="48"/>
    </row>
    <row r="225" spans="2:3" ht="13.5" customHeight="1">
      <c r="B225" s="47"/>
      <c r="C225" s="48"/>
    </row>
    <row r="226" spans="2:3" ht="13.5" customHeight="1">
      <c r="B226" s="47"/>
      <c r="C226" s="48"/>
    </row>
    <row r="227" spans="2:3" ht="13.5" customHeight="1">
      <c r="B227" s="47"/>
      <c r="C227" s="48"/>
    </row>
    <row r="228" spans="2:3" ht="13.5" customHeight="1">
      <c r="B228" s="47"/>
      <c r="C228" s="48"/>
    </row>
    <row r="229" spans="2:3" ht="13.5" customHeight="1">
      <c r="B229" s="47"/>
      <c r="C229" s="48"/>
    </row>
    <row r="230" spans="2:3" ht="13.5" customHeight="1">
      <c r="B230" s="47"/>
      <c r="C230" s="48"/>
    </row>
    <row r="231" spans="2:3" ht="13.5" customHeight="1">
      <c r="B231" s="47"/>
      <c r="C231" s="48"/>
    </row>
    <row r="232" spans="2:3" ht="13.5" customHeight="1">
      <c r="B232" s="47"/>
      <c r="C232" s="48"/>
    </row>
    <row r="233" spans="2:3" ht="13.5" customHeight="1">
      <c r="B233" s="47"/>
      <c r="C233" s="48"/>
    </row>
    <row r="234" spans="2:3" ht="13.5" customHeight="1">
      <c r="B234" s="47"/>
      <c r="C234" s="48"/>
    </row>
    <row r="235" spans="2:3" ht="13.5" customHeight="1">
      <c r="B235" s="47"/>
      <c r="C235" s="48"/>
    </row>
    <row r="236" spans="2:3" ht="13.5" customHeight="1">
      <c r="B236" s="47"/>
      <c r="C236" s="48"/>
    </row>
    <row r="237" spans="2:3" ht="13.5" customHeight="1">
      <c r="B237" s="47"/>
      <c r="C237" s="48"/>
    </row>
    <row r="238" spans="2:3" ht="13.5" customHeight="1">
      <c r="B238" s="47"/>
      <c r="C238" s="48"/>
    </row>
    <row r="239" spans="2:3" ht="13.5" customHeight="1">
      <c r="B239" s="47"/>
      <c r="C239" s="48"/>
    </row>
    <row r="240" spans="2:3" ht="13.5" customHeight="1">
      <c r="B240" s="47"/>
      <c r="C240" s="48"/>
    </row>
    <row r="241" spans="2:3" ht="13.5" customHeight="1">
      <c r="B241" s="47"/>
      <c r="C241" s="48"/>
    </row>
    <row r="242" spans="2:3" ht="13.5" customHeight="1">
      <c r="B242" s="47"/>
      <c r="C242" s="48"/>
    </row>
    <row r="243" spans="2:3" ht="13.5" customHeight="1">
      <c r="B243" s="47"/>
      <c r="C243" s="48"/>
    </row>
    <row r="244" spans="2:3" ht="13.5" customHeight="1">
      <c r="B244" s="47"/>
      <c r="C244" s="48"/>
    </row>
    <row r="245" spans="2:3" ht="13.5" customHeight="1">
      <c r="B245" s="47"/>
      <c r="C245" s="48"/>
    </row>
    <row r="246" spans="2:3" ht="13.5" customHeight="1">
      <c r="B246" s="47"/>
      <c r="C246" s="48"/>
    </row>
    <row r="247" spans="2:3" ht="13.5" customHeight="1">
      <c r="B247" s="47"/>
      <c r="C247" s="48"/>
    </row>
    <row r="248" spans="2:3" ht="13.5" customHeight="1">
      <c r="B248" s="47"/>
      <c r="C248" s="48"/>
    </row>
    <row r="249" spans="2:3" ht="13.5" customHeight="1">
      <c r="B249" s="47"/>
      <c r="C249" s="48"/>
    </row>
    <row r="250" spans="2:3" ht="13.5" customHeight="1">
      <c r="B250" s="47"/>
      <c r="C250" s="48"/>
    </row>
    <row r="251" spans="2:3" ht="13.5" customHeight="1">
      <c r="B251" s="47"/>
      <c r="C251" s="48"/>
    </row>
    <row r="252" spans="2:3" ht="13.5" customHeight="1">
      <c r="B252" s="47"/>
      <c r="C252" s="48"/>
    </row>
    <row r="253" spans="2:3" ht="13.5" customHeight="1">
      <c r="B253" s="47"/>
      <c r="C253" s="48"/>
    </row>
    <row r="254" spans="2:3" ht="13.5" customHeight="1">
      <c r="B254" s="47"/>
      <c r="C254" s="48"/>
    </row>
    <row r="255" spans="2:3" ht="13.5" customHeight="1">
      <c r="B255" s="47"/>
      <c r="C255" s="48"/>
    </row>
    <row r="256" spans="2:3" ht="13.5" customHeight="1">
      <c r="B256" s="47"/>
      <c r="C256" s="48"/>
    </row>
    <row r="257" spans="2:3" ht="13.5" customHeight="1">
      <c r="B257" s="47"/>
      <c r="C257" s="48"/>
    </row>
    <row r="258" spans="2:3" ht="13.5" customHeight="1">
      <c r="B258" s="47"/>
      <c r="C258" s="48"/>
    </row>
    <row r="259" spans="2:3" ht="13.5" customHeight="1">
      <c r="B259" s="47"/>
      <c r="C259" s="48"/>
    </row>
    <row r="260" spans="2:3" ht="13.5" customHeight="1">
      <c r="B260" s="47"/>
      <c r="C260" s="48"/>
    </row>
    <row r="261" spans="2:3" ht="13.5" customHeight="1">
      <c r="B261" s="47"/>
      <c r="C261" s="48"/>
    </row>
    <row r="262" spans="2:3" ht="13.5" customHeight="1">
      <c r="B262" s="47"/>
      <c r="C262" s="48"/>
    </row>
    <row r="263" spans="2:3" ht="13.5" customHeight="1">
      <c r="B263" s="47"/>
      <c r="C263" s="48"/>
    </row>
    <row r="264" spans="2:3" ht="13.5" customHeight="1">
      <c r="B264" s="47"/>
      <c r="C264" s="48"/>
    </row>
    <row r="265" spans="2:3" ht="13.5" customHeight="1">
      <c r="B265" s="47"/>
      <c r="C265" s="48"/>
    </row>
    <row r="266" spans="2:3" ht="13.5" customHeight="1">
      <c r="B266" s="47"/>
      <c r="C266" s="48"/>
    </row>
    <row r="267" spans="2:3" ht="13.5" customHeight="1">
      <c r="B267" s="47"/>
      <c r="C267" s="48"/>
    </row>
    <row r="268" spans="2:3" ht="13.5" customHeight="1">
      <c r="B268" s="47"/>
      <c r="C268" s="48"/>
    </row>
    <row r="269" spans="2:3" ht="13.5" customHeight="1">
      <c r="B269" s="47"/>
      <c r="C269" s="48"/>
    </row>
    <row r="270" spans="2:3" ht="13.5" customHeight="1">
      <c r="B270" s="47"/>
      <c r="C270" s="48"/>
    </row>
    <row r="271" spans="2:3" ht="13.5" customHeight="1">
      <c r="B271" s="47"/>
      <c r="C271" s="48"/>
    </row>
    <row r="272" spans="2:3" ht="13.5" customHeight="1">
      <c r="B272" s="47"/>
      <c r="C272" s="48"/>
    </row>
    <row r="273" spans="2:3" ht="13.5" customHeight="1">
      <c r="B273" s="47"/>
      <c r="C273" s="48"/>
    </row>
    <row r="274" spans="2:3" ht="13.5" customHeight="1">
      <c r="B274" s="47"/>
      <c r="C274" s="48"/>
    </row>
    <row r="275" spans="2:3" ht="13.5" customHeight="1">
      <c r="B275" s="47"/>
      <c r="C275" s="48"/>
    </row>
    <row r="276" spans="2:3" ht="13.5" customHeight="1">
      <c r="B276" s="47"/>
      <c r="C276" s="48"/>
    </row>
    <row r="277" spans="2:3" ht="13.5" customHeight="1">
      <c r="B277" s="47"/>
      <c r="C277" s="48"/>
    </row>
    <row r="278" spans="2:3" ht="13.5" customHeight="1">
      <c r="B278" s="47"/>
      <c r="C278" s="48"/>
    </row>
    <row r="279" spans="2:3" ht="13.5" customHeight="1">
      <c r="B279" s="47"/>
      <c r="C279" s="48"/>
    </row>
    <row r="280" spans="2:3" ht="13.5" customHeight="1">
      <c r="B280" s="47"/>
      <c r="C280" s="48"/>
    </row>
    <row r="281" spans="2:3" ht="13.5" customHeight="1">
      <c r="B281" s="47"/>
      <c r="C281" s="48"/>
    </row>
    <row r="282" spans="2:3" ht="13.5" customHeight="1">
      <c r="B282" s="47"/>
      <c r="C282" s="48"/>
    </row>
    <row r="283" spans="2:3" ht="13.5" customHeight="1">
      <c r="B283" s="47"/>
      <c r="C283" s="48"/>
    </row>
    <row r="284" spans="2:3" ht="13.5" customHeight="1">
      <c r="B284" s="47"/>
      <c r="C284" s="48"/>
    </row>
    <row r="285" spans="2:3" ht="13.5" customHeight="1">
      <c r="B285" s="47"/>
      <c r="C285" s="48"/>
    </row>
    <row r="286" spans="2:3" ht="13.5" customHeight="1">
      <c r="B286" s="47"/>
      <c r="C286" s="48"/>
    </row>
    <row r="287" spans="2:3" ht="13.5" customHeight="1">
      <c r="B287" s="47"/>
      <c r="C287" s="48"/>
    </row>
    <row r="288" spans="2:3" ht="13.5" customHeight="1">
      <c r="B288" s="47"/>
      <c r="C288" s="48"/>
    </row>
    <row r="289" spans="2:3" ht="13.5" customHeight="1">
      <c r="B289" s="47"/>
      <c r="C289" s="48"/>
    </row>
    <row r="290" spans="2:3" ht="13.5" customHeight="1">
      <c r="B290" s="47"/>
      <c r="C290" s="48"/>
    </row>
    <row r="291" spans="2:3" ht="13.5" customHeight="1">
      <c r="B291" s="47"/>
      <c r="C291" s="48"/>
    </row>
    <row r="292" spans="2:3" ht="13.5" customHeight="1">
      <c r="B292" s="47"/>
      <c r="C292" s="48"/>
    </row>
    <row r="293" spans="2:3" ht="13.5" customHeight="1">
      <c r="B293" s="47"/>
      <c r="C293" s="48"/>
    </row>
    <row r="294" spans="2:3" ht="13.5" customHeight="1">
      <c r="B294" s="47"/>
      <c r="C294" s="48"/>
    </row>
    <row r="295" spans="2:3" ht="13.5" customHeight="1">
      <c r="B295" s="47"/>
      <c r="C295" s="48"/>
    </row>
    <row r="296" spans="2:3" ht="13.5" customHeight="1">
      <c r="B296" s="47"/>
      <c r="C296" s="48"/>
    </row>
    <row r="297" spans="2:3" ht="13.5" customHeight="1">
      <c r="B297" s="47"/>
      <c r="C297" s="48"/>
    </row>
    <row r="298" spans="2:3" ht="13.5" customHeight="1">
      <c r="B298" s="47"/>
      <c r="C298" s="48"/>
    </row>
    <row r="299" spans="2:3" ht="13.5" customHeight="1">
      <c r="B299" s="47"/>
      <c r="C299" s="48"/>
    </row>
    <row r="300" spans="2:3" ht="13.5" customHeight="1">
      <c r="B300" s="47"/>
      <c r="C300" s="48"/>
    </row>
    <row r="301" spans="2:3" ht="13.5" customHeight="1">
      <c r="B301" s="47"/>
      <c r="C301" s="48"/>
    </row>
    <row r="302" spans="2:3" ht="13.5" customHeight="1">
      <c r="B302" s="47"/>
      <c r="C302" s="48"/>
    </row>
    <row r="303" spans="2:3" ht="13.5" customHeight="1">
      <c r="B303" s="47"/>
      <c r="C303" s="48"/>
    </row>
    <row r="304" spans="2:3" ht="13.5" customHeight="1">
      <c r="B304" s="47"/>
      <c r="C304" s="48"/>
    </row>
    <row r="305" spans="2:3" ht="13.5" customHeight="1">
      <c r="B305" s="47"/>
      <c r="C305" s="48"/>
    </row>
    <row r="306" spans="2:3" ht="13.5" customHeight="1">
      <c r="B306" s="47"/>
      <c r="C306" s="48"/>
    </row>
    <row r="307" spans="2:3" ht="13.5" customHeight="1">
      <c r="B307" s="47"/>
      <c r="C307" s="48"/>
    </row>
    <row r="308" spans="2:3" ht="13.5" customHeight="1">
      <c r="B308" s="47"/>
      <c r="C308" s="48"/>
    </row>
    <row r="309" spans="2:3" ht="13.5" customHeight="1">
      <c r="B309" s="47"/>
      <c r="C309" s="48"/>
    </row>
    <row r="310" spans="2:3" ht="13.5" customHeight="1">
      <c r="B310" s="47"/>
      <c r="C310" s="48"/>
    </row>
    <row r="311" spans="2:3" ht="13.5" customHeight="1">
      <c r="B311" s="47"/>
      <c r="C311" s="48"/>
    </row>
    <row r="312" spans="2:3" ht="13.5" customHeight="1">
      <c r="B312" s="47"/>
      <c r="C312" s="48"/>
    </row>
    <row r="313" spans="2:3" ht="13.5" customHeight="1">
      <c r="B313" s="47"/>
      <c r="C313" s="48"/>
    </row>
    <row r="314" spans="2:3" ht="13.5" customHeight="1">
      <c r="B314" s="47"/>
      <c r="C314" s="48"/>
    </row>
    <row r="315" spans="2:3" ht="13.5" customHeight="1">
      <c r="B315" s="47"/>
      <c r="C315" s="48"/>
    </row>
    <row r="316" spans="2:3" ht="13.5" customHeight="1">
      <c r="B316" s="47"/>
      <c r="C316" s="48"/>
    </row>
    <row r="317" spans="2:3" ht="13.5" customHeight="1">
      <c r="B317" s="47"/>
      <c r="C317" s="48"/>
    </row>
    <row r="318" spans="2:3" ht="13.5" customHeight="1">
      <c r="B318" s="47"/>
      <c r="C318" s="48"/>
    </row>
    <row r="319" spans="2:3" ht="13.5" customHeight="1">
      <c r="B319" s="47"/>
      <c r="C319" s="48"/>
    </row>
    <row r="320" spans="2:3" ht="13.5" customHeight="1">
      <c r="B320" s="47"/>
      <c r="C320" s="48"/>
    </row>
    <row r="321" spans="2:3" ht="13.5" customHeight="1">
      <c r="B321" s="47"/>
      <c r="C321" s="48"/>
    </row>
    <row r="322" spans="2:3" ht="13.5" customHeight="1">
      <c r="B322" s="47"/>
      <c r="C322" s="48"/>
    </row>
    <row r="323" spans="2:3" ht="13.5" customHeight="1">
      <c r="B323" s="47"/>
      <c r="C323" s="48"/>
    </row>
    <row r="324" spans="2:3" ht="13.5" customHeight="1">
      <c r="B324" s="47"/>
      <c r="C324" s="48"/>
    </row>
    <row r="325" spans="2:3" ht="13.5" customHeight="1">
      <c r="B325" s="47"/>
      <c r="C325" s="48"/>
    </row>
    <row r="326" spans="2:3" ht="13.5" customHeight="1">
      <c r="B326" s="47"/>
      <c r="C326" s="48"/>
    </row>
    <row r="327" spans="2:3" ht="13.5" customHeight="1">
      <c r="B327" s="47"/>
      <c r="C327" s="48"/>
    </row>
    <row r="328" spans="2:3" ht="13.5" customHeight="1">
      <c r="B328" s="47"/>
      <c r="C328" s="48"/>
    </row>
    <row r="329" spans="2:3" ht="13.5" customHeight="1">
      <c r="B329" s="47"/>
      <c r="C329" s="48"/>
    </row>
    <row r="330" spans="2:3" ht="13.5" customHeight="1">
      <c r="B330" s="47"/>
      <c r="C330" s="48"/>
    </row>
    <row r="331" spans="2:3" ht="13.5" customHeight="1">
      <c r="B331" s="47"/>
      <c r="C331" s="48"/>
    </row>
    <row r="332" spans="2:3" ht="13.5" customHeight="1">
      <c r="B332" s="47"/>
      <c r="C332" s="48"/>
    </row>
    <row r="333" spans="2:3" ht="13.5" customHeight="1">
      <c r="B333" s="47"/>
      <c r="C333" s="48"/>
    </row>
    <row r="334" spans="2:3" ht="13.5" customHeight="1">
      <c r="B334" s="47"/>
      <c r="C334" s="48"/>
    </row>
    <row r="335" spans="2:3" ht="13.5" customHeight="1">
      <c r="B335" s="47"/>
      <c r="C335" s="48"/>
    </row>
    <row r="336" spans="2:3" ht="13.5" customHeight="1">
      <c r="B336" s="47"/>
      <c r="C336" s="48"/>
    </row>
    <row r="337" spans="2:3" ht="13.5" customHeight="1">
      <c r="B337" s="47"/>
      <c r="C337" s="48"/>
    </row>
    <row r="338" spans="2:3" ht="13.5" customHeight="1">
      <c r="B338" s="47"/>
      <c r="C338" s="48"/>
    </row>
    <row r="339" spans="2:3" ht="13.5" customHeight="1">
      <c r="B339" s="47"/>
      <c r="C339" s="48"/>
    </row>
    <row r="340" spans="2:3" ht="13.5" customHeight="1">
      <c r="B340" s="47"/>
      <c r="C340" s="48"/>
    </row>
    <row r="341" spans="2:3" ht="13.5" customHeight="1">
      <c r="B341" s="47"/>
      <c r="C341" s="48"/>
    </row>
    <row r="342" spans="2:3" ht="13.5" customHeight="1">
      <c r="B342" s="47"/>
      <c r="C342" s="48"/>
    </row>
    <row r="343" spans="2:3" ht="13.5" customHeight="1">
      <c r="B343" s="47"/>
      <c r="C343" s="48"/>
    </row>
    <row r="344" spans="2:3" ht="13.5" customHeight="1">
      <c r="B344" s="47"/>
      <c r="C344" s="48"/>
    </row>
    <row r="345" spans="2:3" ht="13.5" customHeight="1">
      <c r="B345" s="47"/>
      <c r="C345" s="48"/>
    </row>
    <row r="346" spans="2:3" ht="13.5" customHeight="1">
      <c r="B346" s="47"/>
      <c r="C346" s="48"/>
    </row>
    <row r="347" spans="2:3" ht="13.5" customHeight="1">
      <c r="B347" s="47"/>
      <c r="C347" s="48"/>
    </row>
    <row r="348" spans="2:3" ht="13.5" customHeight="1">
      <c r="B348" s="47"/>
      <c r="C348" s="48"/>
    </row>
    <row r="349" spans="2:3" ht="13.5" customHeight="1">
      <c r="B349" s="47"/>
      <c r="C349" s="48"/>
    </row>
    <row r="350" spans="2:3" ht="13.5" customHeight="1">
      <c r="B350" s="47"/>
      <c r="C350" s="48"/>
    </row>
    <row r="351" spans="2:3" ht="13.5" customHeight="1">
      <c r="B351" s="47"/>
      <c r="C351" s="48"/>
    </row>
    <row r="352" spans="2:3" ht="13.5" customHeight="1">
      <c r="B352" s="47"/>
      <c r="C352" s="48"/>
    </row>
    <row r="353" spans="2:3" ht="13.5" customHeight="1">
      <c r="B353" s="47"/>
      <c r="C353" s="48"/>
    </row>
    <row r="354" spans="2:3" ht="13.5" customHeight="1">
      <c r="B354" s="47"/>
      <c r="C354" s="48"/>
    </row>
    <row r="355" spans="2:3" ht="13.5" customHeight="1">
      <c r="B355" s="47"/>
      <c r="C355" s="48"/>
    </row>
    <row r="356" spans="2:3" ht="13.5" customHeight="1">
      <c r="B356" s="47"/>
      <c r="C356" s="48"/>
    </row>
    <row r="357" spans="2:3" ht="13.5" customHeight="1">
      <c r="B357" s="47"/>
      <c r="C357" s="48"/>
    </row>
    <row r="358" spans="2:3" ht="13.5" customHeight="1">
      <c r="B358" s="47"/>
      <c r="C358" s="48"/>
    </row>
    <row r="359" spans="2:3" ht="13.5" customHeight="1">
      <c r="B359" s="47"/>
      <c r="C359" s="48"/>
    </row>
    <row r="360" spans="2:3" ht="13.5" customHeight="1">
      <c r="B360" s="47"/>
      <c r="C360" s="48"/>
    </row>
    <row r="361" spans="2:3" ht="13.5" customHeight="1">
      <c r="B361" s="47"/>
      <c r="C361" s="48"/>
    </row>
    <row r="362" spans="2:3" ht="13.5" customHeight="1">
      <c r="B362" s="47"/>
      <c r="C362" s="48"/>
    </row>
    <row r="363" spans="2:3" ht="13.5" customHeight="1">
      <c r="B363" s="47"/>
      <c r="C363" s="48"/>
    </row>
    <row r="364" spans="2:3" ht="13.5" customHeight="1">
      <c r="B364" s="47"/>
      <c r="C364" s="48"/>
    </row>
    <row r="365" spans="2:3" ht="13.5" customHeight="1">
      <c r="B365" s="47"/>
      <c r="C365" s="48"/>
    </row>
    <row r="366" spans="2:3" ht="13.5" customHeight="1">
      <c r="B366" s="47"/>
      <c r="C366" s="48"/>
    </row>
    <row r="367" spans="2:3" ht="13.5" customHeight="1">
      <c r="B367" s="47"/>
      <c r="C367" s="48"/>
    </row>
    <row r="368" spans="2:3" ht="13.5" customHeight="1">
      <c r="B368" s="47"/>
      <c r="C368" s="48"/>
    </row>
    <row r="369" spans="2:3" ht="13.5" customHeight="1">
      <c r="B369" s="47"/>
      <c r="C369" s="48"/>
    </row>
    <row r="370" spans="2:3" ht="13.5" customHeight="1">
      <c r="B370" s="47"/>
      <c r="C370" s="48"/>
    </row>
    <row r="371" spans="2:3" ht="13.5" customHeight="1">
      <c r="B371" s="47"/>
      <c r="C371" s="48"/>
    </row>
    <row r="372" spans="2:3" ht="13.5" customHeight="1">
      <c r="B372" s="47"/>
      <c r="C372" s="48"/>
    </row>
    <row r="373" spans="2:3" ht="13.5" customHeight="1">
      <c r="B373" s="47"/>
      <c r="C373" s="48"/>
    </row>
    <row r="374" spans="2:3" ht="13.5" customHeight="1">
      <c r="B374" s="47"/>
      <c r="C374" s="48"/>
    </row>
    <row r="375" spans="2:3" ht="13.5" customHeight="1">
      <c r="B375" s="47"/>
      <c r="C375" s="48"/>
    </row>
    <row r="376" spans="2:3" ht="13.5" customHeight="1">
      <c r="B376" s="47"/>
      <c r="C376" s="48"/>
    </row>
    <row r="377" spans="2:3" ht="13.5" customHeight="1">
      <c r="B377" s="47"/>
      <c r="C377" s="48"/>
    </row>
    <row r="378" spans="2:3" ht="13.5" customHeight="1">
      <c r="B378" s="47"/>
      <c r="C378" s="48"/>
    </row>
    <row r="379" spans="2:3" ht="13.5" customHeight="1">
      <c r="B379" s="47"/>
      <c r="C379" s="48"/>
    </row>
    <row r="380" spans="2:3" ht="13.5" customHeight="1">
      <c r="B380" s="47"/>
      <c r="C380" s="48"/>
    </row>
    <row r="381" spans="2:3" ht="13.5" customHeight="1">
      <c r="B381" s="47"/>
      <c r="C381" s="48"/>
    </row>
    <row r="382" spans="2:3" ht="13.5" customHeight="1">
      <c r="B382" s="47"/>
      <c r="C382" s="48"/>
    </row>
    <row r="383" spans="2:3" ht="13.5" customHeight="1">
      <c r="B383" s="47"/>
      <c r="C383" s="48"/>
    </row>
    <row r="384" spans="2:3" ht="13.5" customHeight="1">
      <c r="B384" s="47"/>
      <c r="C384" s="48"/>
    </row>
    <row r="385" spans="2:3" ht="13.5" customHeight="1">
      <c r="B385" s="47"/>
      <c r="C385" s="48"/>
    </row>
    <row r="386" spans="2:3" ht="13.5" customHeight="1">
      <c r="B386" s="47"/>
      <c r="C386" s="48"/>
    </row>
    <row r="387" spans="2:3" ht="13.5" customHeight="1">
      <c r="B387" s="47"/>
      <c r="C387" s="48"/>
    </row>
    <row r="388" spans="2:3" ht="13.5" customHeight="1">
      <c r="B388" s="47"/>
      <c r="C388" s="48"/>
    </row>
    <row r="389" spans="2:3" ht="13.5" customHeight="1">
      <c r="B389" s="47"/>
      <c r="C389" s="48"/>
    </row>
    <row r="390" spans="2:3" ht="13.5" customHeight="1">
      <c r="B390" s="47"/>
      <c r="C390" s="48"/>
    </row>
    <row r="391" spans="2:3" ht="13.5" customHeight="1">
      <c r="B391" s="47"/>
      <c r="C391" s="48"/>
    </row>
    <row r="392" spans="2:3" ht="13.5" customHeight="1">
      <c r="B392" s="47"/>
      <c r="C392" s="48"/>
    </row>
    <row r="393" spans="2:3" ht="13.5" customHeight="1">
      <c r="B393" s="47"/>
      <c r="C393" s="48"/>
    </row>
    <row r="394" spans="2:3" ht="13.5" customHeight="1">
      <c r="B394" s="47"/>
      <c r="C394" s="48"/>
    </row>
    <row r="395" spans="2:3" ht="13.5" customHeight="1">
      <c r="B395" s="47"/>
      <c r="C395" s="48"/>
    </row>
    <row r="396" spans="2:3" ht="13.5" customHeight="1">
      <c r="B396" s="47"/>
      <c r="C396" s="48"/>
    </row>
    <row r="397" spans="2:3" ht="13.5" customHeight="1">
      <c r="B397" s="47"/>
      <c r="C397" s="48"/>
    </row>
    <row r="398" spans="2:3" ht="13.5" customHeight="1">
      <c r="B398" s="47"/>
      <c r="C398" s="48"/>
    </row>
    <row r="399" spans="2:3" ht="13.5" customHeight="1">
      <c r="B399" s="47"/>
      <c r="C399" s="48"/>
    </row>
    <row r="400" spans="2:3" ht="13.5" customHeight="1">
      <c r="B400" s="47"/>
      <c r="C400" s="48"/>
    </row>
    <row r="401" spans="2:3" ht="13.5" customHeight="1">
      <c r="B401" s="47"/>
      <c r="C401" s="48"/>
    </row>
    <row r="402" spans="2:3" ht="13.5" customHeight="1">
      <c r="B402" s="47"/>
      <c r="C402" s="48"/>
    </row>
    <row r="403" spans="2:3" ht="13.5" customHeight="1">
      <c r="B403" s="47"/>
      <c r="C403" s="48"/>
    </row>
    <row r="404" spans="2:3" ht="13.5" customHeight="1">
      <c r="B404" s="47"/>
      <c r="C404" s="48"/>
    </row>
    <row r="405" spans="2:3" ht="13.5" customHeight="1">
      <c r="B405" s="47"/>
      <c r="C405" s="48"/>
    </row>
    <row r="406" spans="2:3" ht="13.5" customHeight="1">
      <c r="B406" s="47"/>
      <c r="C406" s="48"/>
    </row>
    <row r="407" spans="2:3" ht="13.5" customHeight="1">
      <c r="B407" s="47"/>
      <c r="C407" s="48"/>
    </row>
    <row r="408" spans="2:3" ht="13.5" customHeight="1">
      <c r="B408" s="47"/>
      <c r="C408" s="48"/>
    </row>
    <row r="409" spans="2:3" ht="13.5" customHeight="1">
      <c r="B409" s="47"/>
      <c r="C409" s="48"/>
    </row>
    <row r="410" spans="2:3" ht="13.5" customHeight="1">
      <c r="B410" s="47"/>
      <c r="C410" s="48"/>
    </row>
    <row r="411" spans="2:3" ht="13.5" customHeight="1">
      <c r="B411" s="47"/>
      <c r="C411" s="48"/>
    </row>
    <row r="412" spans="2:3" ht="13.5" customHeight="1">
      <c r="B412" s="47"/>
      <c r="C412" s="48"/>
    </row>
    <row r="413" spans="2:3" ht="13.5" customHeight="1">
      <c r="B413" s="47"/>
      <c r="C413" s="48"/>
    </row>
    <row r="414" spans="2:3" ht="13.5" customHeight="1">
      <c r="B414" s="47"/>
      <c r="C414" s="48"/>
    </row>
    <row r="415" spans="2:3" ht="13.5" customHeight="1">
      <c r="B415" s="47"/>
      <c r="C415" s="48"/>
    </row>
    <row r="416" spans="2:3" ht="13.5" customHeight="1">
      <c r="B416" s="47"/>
      <c r="C416" s="48"/>
    </row>
    <row r="417" spans="2:3" ht="13.5" customHeight="1">
      <c r="B417" s="47"/>
      <c r="C417" s="48"/>
    </row>
    <row r="418" spans="2:3" ht="13.5" customHeight="1">
      <c r="B418" s="47"/>
      <c r="C418" s="48"/>
    </row>
    <row r="419" spans="2:3" ht="13.5" customHeight="1">
      <c r="B419" s="47"/>
      <c r="C419" s="48"/>
    </row>
    <row r="420" spans="2:3" ht="13.5" customHeight="1">
      <c r="B420" s="47"/>
      <c r="C420" s="48"/>
    </row>
    <row r="421" spans="2:3" ht="13.5" customHeight="1">
      <c r="B421" s="47"/>
      <c r="C421" s="48"/>
    </row>
    <row r="422" spans="2:3" ht="13.5" customHeight="1">
      <c r="B422" s="47"/>
      <c r="C422" s="48"/>
    </row>
    <row r="423" spans="2:3" ht="13.5" customHeight="1">
      <c r="B423" s="47"/>
      <c r="C423" s="48"/>
    </row>
    <row r="424" spans="2:3" ht="13.5" customHeight="1">
      <c r="B424" s="47"/>
      <c r="C424" s="48"/>
    </row>
    <row r="425" spans="2:3" ht="13.5" customHeight="1">
      <c r="B425" s="47"/>
      <c r="C425" s="48"/>
    </row>
    <row r="426" spans="2:3" ht="13.5" customHeight="1">
      <c r="B426" s="47"/>
      <c r="C426" s="48"/>
    </row>
    <row r="427" spans="2:3" ht="13.5" customHeight="1">
      <c r="B427" s="47"/>
      <c r="C427" s="48"/>
    </row>
    <row r="428" spans="2:3" ht="13.5" customHeight="1">
      <c r="B428" s="47"/>
      <c r="C428" s="48"/>
    </row>
    <row r="429" spans="2:3" ht="13.5" customHeight="1">
      <c r="B429" s="47"/>
      <c r="C429" s="48"/>
    </row>
    <row r="430" spans="2:3" ht="13.5" customHeight="1">
      <c r="B430" s="47"/>
      <c r="C430" s="48"/>
    </row>
    <row r="431" spans="2:3" ht="13.5" customHeight="1">
      <c r="B431" s="47"/>
      <c r="C431" s="48"/>
    </row>
    <row r="432" spans="2:3" ht="13.5" customHeight="1">
      <c r="B432" s="47"/>
      <c r="C432" s="48"/>
    </row>
    <row r="433" spans="2:3" ht="13.5" customHeight="1">
      <c r="B433" s="47"/>
      <c r="C433" s="48"/>
    </row>
    <row r="434" spans="2:3" ht="13.5" customHeight="1">
      <c r="B434" s="47"/>
      <c r="C434" s="48"/>
    </row>
    <row r="435" spans="2:3" ht="13.5" customHeight="1">
      <c r="B435" s="47"/>
      <c r="C435" s="48"/>
    </row>
    <row r="436" spans="2:3" ht="13.5" customHeight="1">
      <c r="B436" s="47"/>
      <c r="C436" s="48"/>
    </row>
    <row r="437" spans="2:3" ht="13.5" customHeight="1">
      <c r="B437" s="47"/>
      <c r="C437" s="48"/>
    </row>
    <row r="438" spans="2:3" ht="13.5" customHeight="1">
      <c r="B438" s="47"/>
      <c r="C438" s="48"/>
    </row>
    <row r="439" spans="2:3" ht="13.5" customHeight="1">
      <c r="B439" s="47"/>
      <c r="C439" s="48"/>
    </row>
    <row r="440" spans="2:3" ht="13.5" customHeight="1">
      <c r="B440" s="47"/>
      <c r="C440" s="48"/>
    </row>
    <row r="441" spans="2:3" ht="13.5" customHeight="1">
      <c r="B441" s="47"/>
      <c r="C441" s="48"/>
    </row>
    <row r="442" spans="2:3" ht="13.5" customHeight="1">
      <c r="B442" s="47"/>
      <c r="C442" s="48"/>
    </row>
    <row r="443" spans="2:3" ht="13.5" customHeight="1">
      <c r="B443" s="47"/>
      <c r="C443" s="48"/>
    </row>
    <row r="444" spans="2:3" ht="13.5" customHeight="1">
      <c r="B444" s="47"/>
      <c r="C444" s="48"/>
    </row>
    <row r="445" spans="2:3" ht="13.5" customHeight="1">
      <c r="B445" s="47"/>
      <c r="C445" s="48"/>
    </row>
    <row r="446" spans="2:3" ht="13.5" customHeight="1">
      <c r="B446" s="47"/>
      <c r="C446" s="48"/>
    </row>
    <row r="447" spans="2:3" ht="13.5" customHeight="1">
      <c r="B447" s="47"/>
      <c r="C447" s="48"/>
    </row>
    <row r="448" spans="2:3" ht="13.5" customHeight="1">
      <c r="B448" s="47"/>
      <c r="C448" s="48"/>
    </row>
    <row r="449" spans="2:3" ht="13.5" customHeight="1">
      <c r="B449" s="47"/>
      <c r="C449" s="48"/>
    </row>
    <row r="450" spans="2:3" ht="13.5" customHeight="1">
      <c r="B450" s="47"/>
      <c r="C450" s="48"/>
    </row>
    <row r="451" spans="2:3" ht="13.5" customHeight="1">
      <c r="B451" s="47"/>
      <c r="C451" s="48"/>
    </row>
    <row r="452" spans="2:3" ht="13.5" customHeight="1">
      <c r="B452" s="47"/>
      <c r="C452" s="48"/>
    </row>
    <row r="453" spans="2:3" ht="13.5" customHeight="1">
      <c r="B453" s="47"/>
      <c r="C453" s="48"/>
    </row>
    <row r="454" spans="2:3" ht="13.5" customHeight="1">
      <c r="B454" s="47"/>
      <c r="C454" s="48"/>
    </row>
    <row r="455" spans="2:3" ht="13.5" customHeight="1">
      <c r="B455" s="47"/>
      <c r="C455" s="48"/>
    </row>
    <row r="456" spans="2:3" ht="13.5" customHeight="1">
      <c r="B456" s="47"/>
      <c r="C456" s="48"/>
    </row>
    <row r="457" spans="2:3" ht="13.5" customHeight="1">
      <c r="B457" s="47"/>
      <c r="C457" s="48"/>
    </row>
    <row r="458" spans="2:3" ht="13.5" customHeight="1">
      <c r="B458" s="47"/>
      <c r="C458" s="48"/>
    </row>
    <row r="459" spans="2:3" ht="13.5" customHeight="1">
      <c r="B459" s="47"/>
      <c r="C459" s="48"/>
    </row>
    <row r="460" spans="2:3" ht="13.5" customHeight="1">
      <c r="B460" s="47"/>
      <c r="C460" s="48"/>
    </row>
    <row r="461" spans="2:3" ht="13.5" customHeight="1">
      <c r="B461" s="47"/>
      <c r="C461" s="48"/>
    </row>
    <row r="462" spans="2:3" ht="13.5" customHeight="1">
      <c r="B462" s="47"/>
      <c r="C462" s="48"/>
    </row>
    <row r="463" spans="2:3" ht="13.5" customHeight="1">
      <c r="B463" s="47"/>
      <c r="C463" s="48"/>
    </row>
    <row r="464" spans="2:3" ht="13.5" customHeight="1">
      <c r="B464" s="47"/>
      <c r="C464" s="48"/>
    </row>
    <row r="465" spans="2:3" ht="13.5" customHeight="1">
      <c r="B465" s="47"/>
      <c r="C465" s="48"/>
    </row>
    <row r="466" spans="2:3" ht="13.5" customHeight="1">
      <c r="B466" s="47"/>
      <c r="C466" s="48"/>
    </row>
    <row r="467" spans="2:3" ht="13.5" customHeight="1">
      <c r="B467" s="47"/>
      <c r="C467" s="48"/>
    </row>
    <row r="468" spans="2:3" ht="13.5" customHeight="1">
      <c r="B468" s="47"/>
      <c r="C468" s="48"/>
    </row>
    <row r="469" spans="2:3" ht="13.5" customHeight="1">
      <c r="B469" s="47"/>
      <c r="C469" s="48"/>
    </row>
    <row r="470" spans="2:3" ht="13.5" customHeight="1">
      <c r="B470" s="47"/>
      <c r="C470" s="48"/>
    </row>
    <row r="471" spans="2:3" ht="13.5" customHeight="1">
      <c r="B471" s="47"/>
      <c r="C471" s="48"/>
    </row>
    <row r="472" spans="2:3" ht="13.5" customHeight="1">
      <c r="B472" s="47"/>
      <c r="C472" s="48"/>
    </row>
    <row r="473" spans="2:3" ht="13.5" customHeight="1">
      <c r="B473" s="47"/>
      <c r="C473" s="48"/>
    </row>
    <row r="474" spans="2:3" ht="13.5" customHeight="1">
      <c r="B474" s="47"/>
      <c r="C474" s="48"/>
    </row>
    <row r="475" spans="2:3" ht="13.5" customHeight="1">
      <c r="B475" s="47"/>
      <c r="C475" s="48"/>
    </row>
    <row r="476" spans="2:3" ht="13.5" customHeight="1">
      <c r="B476" s="47"/>
      <c r="C476" s="48"/>
    </row>
    <row r="477" spans="2:3" ht="13.5" customHeight="1">
      <c r="B477" s="47"/>
      <c r="C477" s="48"/>
    </row>
    <row r="478" spans="2:3" ht="13.5" customHeight="1">
      <c r="B478" s="47"/>
      <c r="C478" s="48"/>
    </row>
    <row r="479" spans="2:3" ht="13.5" customHeight="1">
      <c r="B479" s="47"/>
      <c r="C479" s="48"/>
    </row>
    <row r="480" spans="2:3" ht="13.5" customHeight="1">
      <c r="B480" s="47"/>
      <c r="C480" s="48"/>
    </row>
    <row r="481" spans="2:3" ht="13.5" customHeight="1">
      <c r="B481" s="47"/>
      <c r="C481" s="48"/>
    </row>
    <row r="482" spans="2:3" ht="13.5" customHeight="1">
      <c r="B482" s="47"/>
      <c r="C482" s="48"/>
    </row>
    <row r="483" spans="2:3" ht="13.5" customHeight="1">
      <c r="B483" s="47"/>
      <c r="C483" s="48"/>
    </row>
    <row r="484" spans="2:3" ht="13.5" customHeight="1">
      <c r="B484" s="47"/>
      <c r="C484" s="48"/>
    </row>
    <row r="485" spans="2:3" ht="13.5" customHeight="1">
      <c r="B485" s="47"/>
      <c r="C485" s="48"/>
    </row>
    <row r="486" spans="2:3" ht="13.5" customHeight="1">
      <c r="B486" s="47"/>
      <c r="C486" s="48"/>
    </row>
    <row r="487" spans="2:3" ht="13.5" customHeight="1">
      <c r="B487" s="47"/>
      <c r="C487" s="48"/>
    </row>
    <row r="488" spans="2:3" ht="13.5" customHeight="1">
      <c r="B488" s="47"/>
      <c r="C488" s="48"/>
    </row>
    <row r="489" spans="2:3" ht="13.5" customHeight="1">
      <c r="B489" s="47"/>
      <c r="C489" s="48"/>
    </row>
    <row r="490" spans="2:3" ht="13.5" customHeight="1">
      <c r="B490" s="47"/>
      <c r="C490" s="48"/>
    </row>
    <row r="491" spans="2:3" ht="13.5" customHeight="1">
      <c r="B491" s="47"/>
      <c r="C491" s="48"/>
    </row>
    <row r="492" spans="2:3" ht="13.5" customHeight="1">
      <c r="B492" s="47"/>
      <c r="C492" s="48"/>
    </row>
    <row r="493" spans="2:3" ht="13.5" customHeight="1">
      <c r="B493" s="47"/>
      <c r="C493" s="48"/>
    </row>
    <row r="494" spans="2:3" ht="13.5" customHeight="1">
      <c r="B494" s="47"/>
      <c r="C494" s="48"/>
    </row>
    <row r="495" spans="2:3" ht="13.5" customHeight="1">
      <c r="B495" s="47"/>
      <c r="C495" s="48"/>
    </row>
    <row r="496" spans="2:3" ht="13.5" customHeight="1">
      <c r="B496" s="47"/>
      <c r="C496" s="48"/>
    </row>
    <row r="497" spans="2:3" ht="13.5" customHeight="1">
      <c r="B497" s="47"/>
      <c r="C497" s="48"/>
    </row>
    <row r="498" spans="2:3" ht="13.5" customHeight="1">
      <c r="B498" s="47"/>
      <c r="C498" s="48"/>
    </row>
    <row r="499" spans="2:3" ht="13.5" customHeight="1">
      <c r="B499" s="47"/>
      <c r="C499" s="48"/>
    </row>
    <row r="500" spans="2:3" ht="13.5" customHeight="1">
      <c r="B500" s="47"/>
      <c r="C500" s="48"/>
    </row>
    <row r="501" spans="2:3" ht="13.5" customHeight="1">
      <c r="B501" s="47"/>
      <c r="C501" s="48"/>
    </row>
    <row r="502" spans="2:3" ht="13.5" customHeight="1">
      <c r="B502" s="47"/>
      <c r="C502" s="48"/>
    </row>
    <row r="503" spans="2:3" ht="13.5" customHeight="1">
      <c r="B503" s="47"/>
      <c r="C503" s="48"/>
    </row>
    <row r="504" spans="2:3" ht="13.5" customHeight="1">
      <c r="B504" s="47"/>
      <c r="C504" s="48"/>
    </row>
    <row r="505" spans="2:3" ht="13.5" customHeight="1">
      <c r="B505" s="47"/>
      <c r="C505" s="48"/>
    </row>
    <row r="506" spans="2:3" ht="13.5" customHeight="1">
      <c r="B506" s="47"/>
      <c r="C506" s="48"/>
    </row>
    <row r="507" spans="2:3" ht="13.5" customHeight="1">
      <c r="B507" s="47"/>
      <c r="C507" s="48"/>
    </row>
    <row r="508" spans="2:3" ht="13.5" customHeight="1">
      <c r="B508" s="47"/>
      <c r="C508" s="48"/>
    </row>
    <row r="509" spans="2:3" ht="13.5" customHeight="1">
      <c r="B509" s="47"/>
      <c r="C509" s="48"/>
    </row>
    <row r="510" spans="2:3" ht="13.5" customHeight="1">
      <c r="B510" s="47"/>
      <c r="C510" s="48"/>
    </row>
    <row r="511" spans="2:3" ht="13.5" customHeight="1">
      <c r="B511" s="47"/>
      <c r="C511" s="48"/>
    </row>
    <row r="512" spans="2:3" ht="13.5" customHeight="1">
      <c r="B512" s="47"/>
      <c r="C512" s="48"/>
    </row>
    <row r="513" spans="2:3" ht="13.5" customHeight="1">
      <c r="B513" s="47"/>
      <c r="C513" s="48"/>
    </row>
    <row r="514" spans="2:3" ht="13.5" customHeight="1">
      <c r="B514" s="47"/>
      <c r="C514" s="48"/>
    </row>
    <row r="515" spans="2:3" ht="13.5" customHeight="1">
      <c r="B515" s="47"/>
      <c r="C515" s="48"/>
    </row>
    <row r="516" spans="2:3" ht="13.5" customHeight="1">
      <c r="B516" s="47"/>
      <c r="C516" s="48"/>
    </row>
    <row r="517" spans="2:3" ht="13.5" customHeight="1">
      <c r="B517" s="47"/>
      <c r="C517" s="48"/>
    </row>
    <row r="518" spans="2:3" ht="13.5" customHeight="1">
      <c r="B518" s="47"/>
      <c r="C518" s="48"/>
    </row>
    <row r="519" spans="2:3" ht="13.5" customHeight="1">
      <c r="B519" s="47"/>
      <c r="C519" s="48"/>
    </row>
    <row r="520" spans="2:3" ht="13.5" customHeight="1">
      <c r="B520" s="47"/>
      <c r="C520" s="48"/>
    </row>
    <row r="521" spans="2:3" ht="13.5" customHeight="1">
      <c r="B521" s="47"/>
      <c r="C521" s="48"/>
    </row>
    <row r="522" spans="2:3" ht="13.5" customHeight="1">
      <c r="B522" s="47"/>
      <c r="C522" s="48"/>
    </row>
    <row r="523" spans="2:3" ht="13.5" customHeight="1">
      <c r="B523" s="47"/>
      <c r="C523" s="48"/>
    </row>
    <row r="524" spans="2:3" ht="13.5" customHeight="1">
      <c r="B524" s="47"/>
      <c r="C524" s="48"/>
    </row>
    <row r="525" spans="2:3" ht="13.5" customHeight="1">
      <c r="B525" s="47"/>
      <c r="C525" s="48"/>
    </row>
    <row r="526" spans="2:3" ht="13.5" customHeight="1">
      <c r="B526" s="47"/>
      <c r="C526" s="48"/>
    </row>
    <row r="527" spans="2:3" ht="13.5" customHeight="1">
      <c r="B527" s="47"/>
      <c r="C527" s="48"/>
    </row>
    <row r="528" spans="2:3" ht="13.5" customHeight="1">
      <c r="B528" s="47"/>
      <c r="C528" s="48"/>
    </row>
    <row r="529" spans="2:3" ht="13.5" customHeight="1">
      <c r="B529" s="47"/>
      <c r="C529" s="48"/>
    </row>
    <row r="530" spans="2:3" ht="13.5" customHeight="1">
      <c r="B530" s="47"/>
      <c r="C530" s="48"/>
    </row>
    <row r="531" spans="2:3" ht="13.5" customHeight="1">
      <c r="B531" s="47"/>
      <c r="C531" s="48"/>
    </row>
    <row r="532" spans="2:3" ht="13.5" customHeight="1">
      <c r="B532" s="47"/>
      <c r="C532" s="48"/>
    </row>
    <row r="533" spans="2:3" ht="13.5" customHeight="1">
      <c r="B533" s="47"/>
      <c r="C533" s="48"/>
    </row>
    <row r="534" spans="2:3" ht="13.5" customHeight="1">
      <c r="B534" s="47"/>
      <c r="C534" s="48"/>
    </row>
    <row r="535" spans="2:3" ht="13.5" customHeight="1">
      <c r="B535" s="47"/>
      <c r="C535" s="48"/>
    </row>
    <row r="536" spans="2:3" ht="13.5" customHeight="1">
      <c r="B536" s="47"/>
      <c r="C536" s="48"/>
    </row>
    <row r="537" spans="2:3" ht="13.5" customHeight="1">
      <c r="B537" s="47"/>
      <c r="C537" s="48"/>
    </row>
    <row r="538" spans="2:3" ht="13.5" customHeight="1">
      <c r="B538" s="47"/>
      <c r="C538" s="48"/>
    </row>
    <row r="539" spans="2:3" ht="13.5" customHeight="1">
      <c r="B539" s="47"/>
      <c r="C539" s="48"/>
    </row>
    <row r="540" spans="2:3" ht="13.5" customHeight="1">
      <c r="B540" s="47"/>
      <c r="C540" s="48"/>
    </row>
    <row r="541" spans="2:3" ht="13.5" customHeight="1">
      <c r="B541" s="47"/>
      <c r="C541" s="48"/>
    </row>
    <row r="542" spans="2:3" ht="13.5" customHeight="1">
      <c r="B542" s="47"/>
      <c r="C542" s="48"/>
    </row>
    <row r="543" spans="2:3" ht="13.5" customHeight="1">
      <c r="B543" s="47"/>
      <c r="C543" s="48"/>
    </row>
    <row r="544" spans="2:3" ht="13.5" customHeight="1">
      <c r="B544" s="47"/>
      <c r="C544" s="48"/>
    </row>
    <row r="545" spans="2:3" ht="13.5" customHeight="1">
      <c r="B545" s="47"/>
      <c r="C545" s="48"/>
    </row>
    <row r="546" spans="2:3" ht="13.5" customHeight="1">
      <c r="B546" s="47"/>
      <c r="C546" s="48"/>
    </row>
    <row r="547" spans="2:3" ht="13.5" customHeight="1">
      <c r="B547" s="47"/>
      <c r="C547" s="48"/>
    </row>
    <row r="548" spans="2:3" ht="13.5" customHeight="1">
      <c r="B548" s="47"/>
      <c r="C548" s="48"/>
    </row>
    <row r="549" spans="2:3" ht="13.5" customHeight="1">
      <c r="B549" s="47"/>
      <c r="C549" s="48"/>
    </row>
    <row r="550" spans="2:3" ht="13.5" customHeight="1">
      <c r="B550" s="47"/>
      <c r="C550" s="48"/>
    </row>
    <row r="551" spans="2:3" ht="13.5" customHeight="1">
      <c r="B551" s="47"/>
      <c r="C551" s="48"/>
    </row>
    <row r="552" spans="2:3" ht="13.5" customHeight="1">
      <c r="B552" s="47"/>
      <c r="C552" s="48"/>
    </row>
    <row r="553" spans="2:3" ht="13.5" customHeight="1">
      <c r="B553" s="47"/>
      <c r="C553" s="48"/>
    </row>
    <row r="554" spans="2:3" ht="13.5" customHeight="1">
      <c r="B554" s="47"/>
      <c r="C554" s="48"/>
    </row>
    <row r="555" spans="2:3" ht="13.5" customHeight="1">
      <c r="B555" s="47"/>
      <c r="C555" s="48"/>
    </row>
    <row r="556" spans="2:3" ht="13.5" customHeight="1">
      <c r="B556" s="47"/>
      <c r="C556" s="48"/>
    </row>
    <row r="557" spans="2:3" ht="13.5" customHeight="1">
      <c r="B557" s="47"/>
      <c r="C557" s="48"/>
    </row>
    <row r="558" spans="2:3" ht="13.5" customHeight="1">
      <c r="B558" s="47"/>
      <c r="C558" s="48"/>
    </row>
    <row r="559" spans="2:3" ht="13.5" customHeight="1">
      <c r="B559" s="47"/>
      <c r="C559" s="48"/>
    </row>
    <row r="560" spans="2:3" ht="13.5" customHeight="1">
      <c r="B560" s="47"/>
      <c r="C560" s="48"/>
    </row>
    <row r="561" spans="2:3" ht="13.5" customHeight="1">
      <c r="B561" s="47"/>
      <c r="C561" s="48"/>
    </row>
    <row r="562" spans="2:3" ht="13.5" customHeight="1">
      <c r="B562" s="47"/>
      <c r="C562" s="48"/>
    </row>
    <row r="563" spans="2:3" ht="13.5" customHeight="1">
      <c r="B563" s="47"/>
      <c r="C563" s="48"/>
    </row>
    <row r="564" spans="2:3" ht="13.5" customHeight="1">
      <c r="B564" s="47"/>
      <c r="C564" s="48"/>
    </row>
    <row r="565" spans="2:3" ht="13.5" customHeight="1">
      <c r="B565" s="47"/>
      <c r="C565" s="48"/>
    </row>
    <row r="566" spans="2:3" ht="13.5" customHeight="1">
      <c r="B566" s="47"/>
      <c r="C566" s="48"/>
    </row>
    <row r="567" spans="2:3" ht="13.5" customHeight="1">
      <c r="B567" s="47"/>
      <c r="C567" s="48"/>
    </row>
    <row r="568" spans="2:3" ht="13.5" customHeight="1">
      <c r="B568" s="47"/>
      <c r="C568" s="48"/>
    </row>
    <row r="569" spans="2:3" ht="13.5" customHeight="1">
      <c r="B569" s="47"/>
      <c r="C569" s="48"/>
    </row>
    <row r="570" spans="2:3" ht="13.5" customHeight="1">
      <c r="B570" s="47"/>
      <c r="C570" s="48"/>
    </row>
    <row r="571" spans="2:3" ht="13.5" customHeight="1">
      <c r="B571" s="47"/>
      <c r="C571" s="48"/>
    </row>
    <row r="572" spans="2:3" ht="13.5" customHeight="1">
      <c r="B572" s="47"/>
      <c r="C572" s="48"/>
    </row>
    <row r="573" spans="2:3" ht="13.5" customHeight="1">
      <c r="B573" s="47"/>
      <c r="C573" s="48"/>
    </row>
    <row r="574" spans="2:3" ht="13.5" customHeight="1">
      <c r="B574" s="47"/>
      <c r="C574" s="48"/>
    </row>
    <row r="575" spans="2:3" ht="13.5" customHeight="1">
      <c r="B575" s="47"/>
      <c r="C575" s="48"/>
    </row>
    <row r="576" spans="2:3" ht="13.5" customHeight="1">
      <c r="B576" s="47"/>
      <c r="C576" s="48"/>
    </row>
    <row r="577" spans="2:3" ht="13.5" customHeight="1">
      <c r="B577" s="47"/>
      <c r="C577" s="48"/>
    </row>
    <row r="578" spans="2:3" ht="13.5" customHeight="1">
      <c r="B578" s="47"/>
      <c r="C578" s="48"/>
    </row>
    <row r="579" spans="2:3" ht="13.5" customHeight="1">
      <c r="B579" s="47"/>
      <c r="C579" s="48"/>
    </row>
    <row r="580" spans="2:3" ht="13.5" customHeight="1">
      <c r="B580" s="47"/>
      <c r="C580" s="48"/>
    </row>
    <row r="581" spans="2:3" ht="13.5" customHeight="1">
      <c r="B581" s="47"/>
      <c r="C581" s="48"/>
    </row>
    <row r="582" spans="2:3" ht="13.5" customHeight="1">
      <c r="B582" s="47"/>
      <c r="C582" s="48"/>
    </row>
    <row r="583" spans="2:3" ht="13.5" customHeight="1">
      <c r="B583" s="47"/>
      <c r="C583" s="48"/>
    </row>
    <row r="584" spans="2:3" ht="13.5" customHeight="1">
      <c r="B584" s="47"/>
      <c r="C584" s="48"/>
    </row>
    <row r="585" spans="2:3" ht="13.5" customHeight="1">
      <c r="B585" s="47"/>
      <c r="C585" s="48"/>
    </row>
    <row r="586" spans="2:3" ht="13.5" customHeight="1">
      <c r="B586" s="47"/>
      <c r="C586" s="48"/>
    </row>
    <row r="587" spans="2:3" ht="13.5" customHeight="1">
      <c r="B587" s="47"/>
      <c r="C587" s="48"/>
    </row>
    <row r="588" spans="2:3" ht="13.5" customHeight="1">
      <c r="B588" s="47"/>
      <c r="C588" s="48"/>
    </row>
    <row r="589" spans="2:3" ht="13.5" customHeight="1">
      <c r="B589" s="47"/>
      <c r="C589" s="48"/>
    </row>
    <row r="590" spans="2:3" ht="13.5" customHeight="1">
      <c r="B590" s="47"/>
      <c r="C590" s="48"/>
    </row>
    <row r="591" spans="2:3" ht="13.5" customHeight="1">
      <c r="B591" s="47"/>
      <c r="C591" s="48"/>
    </row>
    <row r="592" spans="2:3" ht="13.5" customHeight="1">
      <c r="B592" s="47"/>
      <c r="C592" s="48"/>
    </row>
    <row r="593" spans="2:3" ht="13.5" customHeight="1">
      <c r="B593" s="47"/>
      <c r="C593" s="48"/>
    </row>
    <row r="594" spans="2:3" ht="13.5" customHeight="1">
      <c r="B594" s="47"/>
      <c r="C594" s="48"/>
    </row>
    <row r="595" spans="2:3" ht="13.5" customHeight="1">
      <c r="B595" s="47"/>
      <c r="C595" s="48"/>
    </row>
    <row r="596" spans="2:3" ht="13.5" customHeight="1">
      <c r="B596" s="47"/>
      <c r="C596" s="48"/>
    </row>
    <row r="597" spans="2:3" ht="13.5" customHeight="1">
      <c r="B597" s="47"/>
      <c r="C597" s="48"/>
    </row>
    <row r="598" spans="2:3" ht="13.5" customHeight="1">
      <c r="B598" s="47"/>
      <c r="C598" s="48"/>
    </row>
    <row r="599" spans="2:3" ht="13.5" customHeight="1">
      <c r="B599" s="47"/>
      <c r="C599" s="48"/>
    </row>
    <row r="600" spans="2:3" ht="13.5" customHeight="1">
      <c r="B600" s="47"/>
      <c r="C600" s="48"/>
    </row>
    <row r="601" spans="2:3" ht="13.5" customHeight="1">
      <c r="B601" s="47"/>
      <c r="C601" s="48"/>
    </row>
    <row r="602" spans="2:3" ht="13.5" customHeight="1">
      <c r="B602" s="47"/>
      <c r="C602" s="48"/>
    </row>
    <row r="603" spans="2:3" ht="13.5" customHeight="1">
      <c r="B603" s="47"/>
      <c r="C603" s="48"/>
    </row>
    <row r="604" spans="2:3" ht="13.5" customHeight="1">
      <c r="B604" s="47"/>
      <c r="C604" s="48"/>
    </row>
    <row r="605" spans="2:3" ht="13.5" customHeight="1">
      <c r="B605" s="47"/>
      <c r="C605" s="48"/>
    </row>
    <row r="606" spans="2:3" ht="13.5" customHeight="1">
      <c r="B606" s="47"/>
      <c r="C606" s="48"/>
    </row>
    <row r="607" spans="2:3" ht="13.5" customHeight="1">
      <c r="B607" s="47"/>
      <c r="C607" s="48"/>
    </row>
    <row r="608" spans="2:3" ht="13.5" customHeight="1">
      <c r="B608" s="47"/>
      <c r="C608" s="48"/>
    </row>
    <row r="609" spans="2:3" ht="13.5" customHeight="1">
      <c r="B609" s="47"/>
      <c r="C609" s="48"/>
    </row>
    <row r="610" spans="2:3" ht="13.5" customHeight="1">
      <c r="B610" s="47"/>
      <c r="C610" s="48"/>
    </row>
    <row r="611" spans="2:3" ht="13.5" customHeight="1">
      <c r="B611" s="47"/>
      <c r="C611" s="48"/>
    </row>
    <row r="612" spans="2:3" ht="13.5" customHeight="1">
      <c r="B612" s="47"/>
      <c r="C612" s="48"/>
    </row>
    <row r="613" spans="2:3" ht="13.5" customHeight="1">
      <c r="B613" s="47"/>
      <c r="C613" s="48"/>
    </row>
    <row r="614" spans="2:3" ht="13.5" customHeight="1">
      <c r="B614" s="47"/>
      <c r="C614" s="48"/>
    </row>
    <row r="615" spans="2:3" ht="13.5" customHeight="1">
      <c r="B615" s="47"/>
      <c r="C615" s="48"/>
    </row>
    <row r="616" spans="2:3" ht="13.5" customHeight="1">
      <c r="B616" s="47"/>
      <c r="C616" s="48"/>
    </row>
    <row r="617" spans="2:3" ht="13.5" customHeight="1">
      <c r="B617" s="47"/>
      <c r="C617" s="48"/>
    </row>
    <row r="618" spans="2:3" ht="13.5" customHeight="1">
      <c r="B618" s="47"/>
      <c r="C618" s="48"/>
    </row>
    <row r="619" spans="2:3" ht="13.5" customHeight="1">
      <c r="B619" s="47"/>
      <c r="C619" s="48"/>
    </row>
    <row r="620" spans="2:3" ht="13.5" customHeight="1">
      <c r="B620" s="47"/>
      <c r="C620" s="48"/>
    </row>
    <row r="621" spans="2:3" ht="13.5" customHeight="1">
      <c r="B621" s="47"/>
      <c r="C621" s="48"/>
    </row>
    <row r="622" spans="2:3" ht="13.5" customHeight="1">
      <c r="B622" s="47"/>
      <c r="C622" s="48"/>
    </row>
    <row r="623" spans="2:3" ht="13.5" customHeight="1">
      <c r="B623" s="47"/>
      <c r="C623" s="48"/>
    </row>
    <row r="624" spans="2:3" ht="13.5" customHeight="1">
      <c r="B624" s="47"/>
      <c r="C624" s="48"/>
    </row>
    <row r="625" spans="2:3" ht="13.5" customHeight="1">
      <c r="B625" s="47"/>
      <c r="C625" s="48"/>
    </row>
    <row r="626" spans="2:3" ht="13.5" customHeight="1">
      <c r="B626" s="47"/>
      <c r="C626" s="48"/>
    </row>
    <row r="627" spans="2:3" ht="13.5" customHeight="1">
      <c r="B627" s="47"/>
      <c r="C627" s="48"/>
    </row>
    <row r="628" spans="2:3" ht="13.5" customHeight="1">
      <c r="B628" s="47"/>
      <c r="C628" s="48"/>
    </row>
    <row r="629" spans="2:3" ht="13.5" customHeight="1">
      <c r="B629" s="47"/>
      <c r="C629" s="48"/>
    </row>
    <row r="630" spans="2:3" ht="13.5" customHeight="1">
      <c r="B630" s="47"/>
      <c r="C630" s="48"/>
    </row>
    <row r="631" spans="2:3" ht="13.5" customHeight="1">
      <c r="B631" s="47"/>
      <c r="C631" s="48"/>
    </row>
    <row r="632" spans="2:3" ht="13.5" customHeight="1">
      <c r="B632" s="47"/>
      <c r="C632" s="48"/>
    </row>
    <row r="633" spans="2:3" ht="13.5" customHeight="1">
      <c r="B633" s="47"/>
      <c r="C633" s="48"/>
    </row>
    <row r="634" spans="2:3" ht="13.5" customHeight="1">
      <c r="B634" s="47"/>
      <c r="C634" s="48"/>
    </row>
    <row r="635" spans="2:3" ht="13.5" customHeight="1">
      <c r="B635" s="47"/>
      <c r="C635" s="48"/>
    </row>
    <row r="636" spans="2:3" ht="13.5" customHeight="1">
      <c r="B636" s="47"/>
      <c r="C636" s="48"/>
    </row>
    <row r="637" spans="2:3" ht="13.5" customHeight="1">
      <c r="B637" s="47"/>
      <c r="C637" s="48"/>
    </row>
    <row r="638" spans="2:3" ht="13.5" customHeight="1">
      <c r="B638" s="47"/>
      <c r="C638" s="48"/>
    </row>
    <row r="639" spans="2:3" ht="13.5" customHeight="1">
      <c r="B639" s="47"/>
      <c r="C639" s="48"/>
    </row>
    <row r="640" spans="2:3" ht="13.5" customHeight="1">
      <c r="B640" s="47"/>
      <c r="C640" s="48"/>
    </row>
    <row r="641" spans="2:3" ht="13.5" customHeight="1">
      <c r="B641" s="47"/>
      <c r="C641" s="48"/>
    </row>
    <row r="642" spans="2:3" ht="13.5" customHeight="1">
      <c r="B642" s="47"/>
      <c r="C642" s="48"/>
    </row>
    <row r="643" spans="2:3" ht="13.5" customHeight="1">
      <c r="B643" s="47"/>
      <c r="C643" s="48"/>
    </row>
    <row r="644" spans="2:3" ht="13.5" customHeight="1">
      <c r="B644" s="47"/>
      <c r="C644" s="48"/>
    </row>
    <row r="645" spans="2:3" ht="13.5" customHeight="1">
      <c r="B645" s="47"/>
      <c r="C645" s="48"/>
    </row>
    <row r="646" spans="2:3" ht="13.5" customHeight="1">
      <c r="B646" s="47"/>
      <c r="C646" s="48"/>
    </row>
    <row r="647" spans="2:3" ht="13.5" customHeight="1">
      <c r="B647" s="47"/>
      <c r="C647" s="48"/>
    </row>
    <row r="648" spans="2:3" ht="13.5" customHeight="1">
      <c r="B648" s="47"/>
      <c r="C648" s="48"/>
    </row>
    <row r="649" spans="2:3" ht="13.5" customHeight="1">
      <c r="B649" s="47"/>
      <c r="C649" s="48"/>
    </row>
    <row r="650" spans="2:3" ht="13.5" customHeight="1">
      <c r="B650" s="47"/>
      <c r="C650" s="48"/>
    </row>
    <row r="651" spans="2:3" ht="13.5" customHeight="1">
      <c r="B651" s="47"/>
      <c r="C651" s="48"/>
    </row>
    <row r="652" spans="2:3" ht="13.5" customHeight="1">
      <c r="B652" s="47"/>
      <c r="C652" s="48"/>
    </row>
    <row r="653" spans="2:3" ht="13.5" customHeight="1">
      <c r="B653" s="47"/>
      <c r="C653" s="48"/>
    </row>
    <row r="654" spans="2:3" ht="13.5" customHeight="1">
      <c r="B654" s="47"/>
      <c r="C654" s="48"/>
    </row>
    <row r="655" spans="2:3" ht="13.5" customHeight="1">
      <c r="B655" s="47"/>
      <c r="C655" s="48"/>
    </row>
    <row r="656" spans="2:3" ht="13.5" customHeight="1">
      <c r="B656" s="47"/>
      <c r="C656" s="48"/>
    </row>
    <row r="657" spans="2:3" ht="13.5" customHeight="1">
      <c r="B657" s="47"/>
      <c r="C657" s="48"/>
    </row>
    <row r="658" spans="2:3" ht="13.5" customHeight="1">
      <c r="B658" s="47"/>
      <c r="C658" s="48"/>
    </row>
    <row r="659" spans="2:3" ht="13.5" customHeight="1">
      <c r="B659" s="47"/>
      <c r="C659" s="48"/>
    </row>
    <row r="660" spans="2:3" ht="13.5" customHeight="1">
      <c r="B660" s="47"/>
      <c r="C660" s="48"/>
    </row>
    <row r="661" spans="2:3" ht="13.5" customHeight="1">
      <c r="B661" s="47"/>
      <c r="C661" s="48"/>
    </row>
    <row r="662" spans="2:3" ht="13.5" customHeight="1">
      <c r="B662" s="47"/>
      <c r="C662" s="48"/>
    </row>
    <row r="663" spans="2:3" ht="13.5" customHeight="1">
      <c r="B663" s="47"/>
      <c r="C663" s="48"/>
    </row>
    <row r="664" spans="2:3" ht="13.5" customHeight="1">
      <c r="B664" s="47"/>
      <c r="C664" s="48"/>
    </row>
    <row r="665" spans="2:3" ht="13.5" customHeight="1">
      <c r="B665" s="47"/>
      <c r="C665" s="48"/>
    </row>
    <row r="666" spans="2:3" ht="13.5" customHeight="1">
      <c r="B666" s="47"/>
      <c r="C666" s="48"/>
    </row>
    <row r="667" spans="2:3" ht="13.5" customHeight="1">
      <c r="B667" s="47"/>
      <c r="C667" s="48"/>
    </row>
    <row r="668" spans="2:3" ht="13.5" customHeight="1">
      <c r="B668" s="47"/>
      <c r="C668" s="48"/>
    </row>
    <row r="669" spans="2:3" ht="13.5" customHeight="1">
      <c r="B669" s="47"/>
      <c r="C669" s="48"/>
    </row>
    <row r="670" spans="2:3" ht="13.5" customHeight="1">
      <c r="B670" s="47"/>
      <c r="C670" s="48"/>
    </row>
    <row r="671" spans="2:3" ht="13.5" customHeight="1">
      <c r="B671" s="47"/>
      <c r="C671" s="48"/>
    </row>
    <row r="672" spans="2:3" ht="13.5" customHeight="1">
      <c r="B672" s="47"/>
      <c r="C672" s="48"/>
    </row>
    <row r="673" spans="2:3" ht="13.5" customHeight="1">
      <c r="B673" s="47"/>
      <c r="C673" s="48"/>
    </row>
    <row r="674" spans="2:3" ht="13.5" customHeight="1">
      <c r="B674" s="47"/>
      <c r="C674" s="48"/>
    </row>
    <row r="675" spans="2:3" ht="13.5" customHeight="1">
      <c r="B675" s="47"/>
      <c r="C675" s="48"/>
    </row>
    <row r="676" spans="2:3" ht="13.5" customHeight="1">
      <c r="B676" s="47"/>
      <c r="C676" s="48"/>
    </row>
    <row r="677" spans="2:3" ht="13.5" customHeight="1">
      <c r="B677" s="47"/>
      <c r="C677" s="48"/>
    </row>
    <row r="678" spans="2:3" ht="13.5" customHeight="1">
      <c r="B678" s="47"/>
      <c r="C678" s="48"/>
    </row>
    <row r="679" spans="2:3" ht="13.5" customHeight="1">
      <c r="B679" s="47"/>
      <c r="C679" s="48"/>
    </row>
    <row r="680" spans="2:3" ht="13.5" customHeight="1">
      <c r="B680" s="47"/>
      <c r="C680" s="48"/>
    </row>
    <row r="681" spans="2:3" ht="13.5" customHeight="1">
      <c r="B681" s="47"/>
      <c r="C681" s="48"/>
    </row>
    <row r="682" spans="2:3" ht="13.5" customHeight="1">
      <c r="B682" s="47"/>
      <c r="C682" s="48"/>
    </row>
    <row r="683" spans="2:3" ht="13.5" customHeight="1">
      <c r="B683" s="47"/>
      <c r="C683" s="48"/>
    </row>
    <row r="684" spans="2:3" ht="13.5" customHeight="1">
      <c r="B684" s="47"/>
      <c r="C684" s="48"/>
    </row>
    <row r="685" spans="2:3" ht="13.5" customHeight="1">
      <c r="B685" s="47"/>
      <c r="C685" s="48"/>
    </row>
    <row r="686" spans="2:3" ht="13.5" customHeight="1">
      <c r="B686" s="47"/>
      <c r="C686" s="48"/>
    </row>
    <row r="687" spans="2:3" ht="13.5" customHeight="1">
      <c r="B687" s="47"/>
      <c r="C687" s="48"/>
    </row>
    <row r="688" spans="2:3" ht="13.5" customHeight="1">
      <c r="B688" s="47"/>
      <c r="C688" s="48"/>
    </row>
    <row r="689" spans="2:3" ht="13.5" customHeight="1">
      <c r="B689" s="47"/>
      <c r="C689" s="48"/>
    </row>
    <row r="690" spans="2:3" ht="13.5" customHeight="1">
      <c r="B690" s="47"/>
      <c r="C690" s="48"/>
    </row>
    <row r="691" spans="2:3" ht="13.5" customHeight="1">
      <c r="B691" s="47"/>
      <c r="C691" s="48"/>
    </row>
    <row r="692" spans="2:3" ht="13.5" customHeight="1">
      <c r="B692" s="47"/>
      <c r="C692" s="48"/>
    </row>
    <row r="693" spans="2:3" ht="13.5" customHeight="1">
      <c r="B693" s="47"/>
      <c r="C693" s="48"/>
    </row>
    <row r="694" spans="2:3" ht="13.5" customHeight="1">
      <c r="B694" s="47"/>
      <c r="C694" s="48"/>
    </row>
    <row r="695" spans="2:3" ht="13.5" customHeight="1">
      <c r="B695" s="47"/>
      <c r="C695" s="48"/>
    </row>
    <row r="696" spans="2:3" ht="13.5" customHeight="1">
      <c r="B696" s="47"/>
      <c r="C696" s="48"/>
    </row>
    <row r="697" spans="2:3" ht="13.5" customHeight="1">
      <c r="B697" s="47"/>
      <c r="C697" s="48"/>
    </row>
    <row r="698" spans="2:3" ht="13.5" customHeight="1">
      <c r="B698" s="47"/>
      <c r="C698" s="48"/>
    </row>
    <row r="699" spans="2:3" ht="13.5" customHeight="1">
      <c r="B699" s="47"/>
      <c r="C699" s="48"/>
    </row>
    <row r="700" spans="2:3" ht="13.5" customHeight="1">
      <c r="B700" s="47"/>
      <c r="C700" s="48"/>
    </row>
    <row r="701" spans="2:3" ht="13.5" customHeight="1">
      <c r="B701" s="47"/>
      <c r="C701" s="48"/>
    </row>
    <row r="702" spans="2:3" ht="13.5" customHeight="1">
      <c r="B702" s="47"/>
      <c r="C702" s="48"/>
    </row>
    <row r="703" spans="2:3" ht="13.5" customHeight="1">
      <c r="B703" s="47"/>
      <c r="C703" s="48"/>
    </row>
    <row r="704" spans="2:3" ht="13.5" customHeight="1">
      <c r="B704" s="47"/>
      <c r="C704" s="48"/>
    </row>
    <row r="705" spans="2:3" ht="13.5" customHeight="1">
      <c r="B705" s="47"/>
      <c r="C705" s="48"/>
    </row>
    <row r="706" spans="2:3" ht="13.5" customHeight="1">
      <c r="B706" s="47"/>
      <c r="C706" s="48"/>
    </row>
    <row r="707" spans="2:3" ht="13.5" customHeight="1">
      <c r="B707" s="47"/>
      <c r="C707" s="48"/>
    </row>
    <row r="708" spans="2:3" ht="13.5" customHeight="1">
      <c r="B708" s="47"/>
      <c r="C708" s="48"/>
    </row>
    <row r="709" spans="2:3" ht="13.5" customHeight="1">
      <c r="B709" s="47"/>
      <c r="C709" s="48"/>
    </row>
    <row r="710" spans="2:3" ht="13.5" customHeight="1">
      <c r="B710" s="47"/>
      <c r="C710" s="48"/>
    </row>
    <row r="711" spans="2:3" ht="13.5" customHeight="1">
      <c r="B711" s="47"/>
      <c r="C711" s="48"/>
    </row>
    <row r="712" spans="2:3" ht="13.5" customHeight="1">
      <c r="B712" s="47"/>
      <c r="C712" s="48"/>
    </row>
    <row r="713" spans="2:3" ht="13.5" customHeight="1">
      <c r="B713" s="47"/>
      <c r="C713" s="48"/>
    </row>
    <row r="714" spans="2:3" ht="13.5" customHeight="1">
      <c r="B714" s="47"/>
      <c r="C714" s="48"/>
    </row>
    <row r="715" spans="2:3" ht="13.5" customHeight="1">
      <c r="B715" s="47"/>
      <c r="C715" s="48"/>
    </row>
    <row r="716" spans="2:3" ht="13.5" customHeight="1">
      <c r="B716" s="47"/>
      <c r="C716" s="48"/>
    </row>
    <row r="717" spans="2:3" ht="13.5" customHeight="1">
      <c r="B717" s="47"/>
      <c r="C717" s="48"/>
    </row>
    <row r="718" spans="2:3" ht="13.5" customHeight="1">
      <c r="B718" s="47"/>
      <c r="C718" s="48"/>
    </row>
    <row r="719" spans="2:3" ht="13.5" customHeight="1">
      <c r="B719" s="47"/>
      <c r="C719" s="48"/>
    </row>
    <row r="720" spans="2:3" ht="13.5" customHeight="1">
      <c r="B720" s="47"/>
      <c r="C720" s="48"/>
    </row>
    <row r="721" spans="2:3" ht="13.5" customHeight="1">
      <c r="B721" s="47"/>
      <c r="C721" s="48"/>
    </row>
    <row r="722" spans="2:3" ht="13.5" customHeight="1">
      <c r="B722" s="47"/>
      <c r="C722" s="48"/>
    </row>
    <row r="723" spans="2:3" ht="13.5" customHeight="1">
      <c r="B723" s="47"/>
      <c r="C723" s="48"/>
    </row>
    <row r="724" spans="2:3" ht="13.5" customHeight="1">
      <c r="B724" s="47"/>
      <c r="C724" s="48"/>
    </row>
    <row r="725" spans="2:3" ht="13.5" customHeight="1">
      <c r="B725" s="47"/>
      <c r="C725" s="48"/>
    </row>
    <row r="726" spans="2:3" ht="13.5" customHeight="1">
      <c r="B726" s="47"/>
      <c r="C726" s="48"/>
    </row>
    <row r="727" spans="2:3" ht="13.5" customHeight="1">
      <c r="B727" s="47"/>
      <c r="C727" s="48"/>
    </row>
    <row r="728" spans="2:3" ht="13.5" customHeight="1">
      <c r="B728" s="47"/>
      <c r="C728" s="48"/>
    </row>
    <row r="729" spans="2:3" ht="13.5" customHeight="1">
      <c r="B729" s="47"/>
      <c r="C729" s="48"/>
    </row>
    <row r="730" spans="2:3" ht="13.5" customHeight="1">
      <c r="B730" s="47"/>
      <c r="C730" s="48"/>
    </row>
    <row r="731" spans="2:3" ht="13.5" customHeight="1">
      <c r="B731" s="47"/>
      <c r="C731" s="48"/>
    </row>
    <row r="732" spans="2:3" ht="13.5" customHeight="1">
      <c r="B732" s="47"/>
      <c r="C732" s="48"/>
    </row>
    <row r="733" spans="2:3" ht="13.5" customHeight="1">
      <c r="B733" s="47"/>
      <c r="C733" s="48"/>
    </row>
    <row r="734" spans="2:3" ht="13.5" customHeight="1">
      <c r="B734" s="47"/>
      <c r="C734" s="48"/>
    </row>
    <row r="735" spans="2:3" ht="13.5" customHeight="1">
      <c r="B735" s="47"/>
      <c r="C735" s="48"/>
    </row>
    <row r="736" spans="2:3" ht="13.5" customHeight="1">
      <c r="B736" s="47"/>
      <c r="C736" s="48"/>
    </row>
    <row r="737" spans="2:3" ht="13.5" customHeight="1">
      <c r="B737" s="47"/>
      <c r="C737" s="48"/>
    </row>
    <row r="738" spans="2:3" ht="13.5" customHeight="1">
      <c r="B738" s="47"/>
      <c r="C738" s="48"/>
    </row>
    <row r="739" spans="2:3" ht="13.5" customHeight="1">
      <c r="B739" s="47"/>
      <c r="C739" s="48"/>
    </row>
    <row r="740" spans="2:3" ht="13.5" customHeight="1">
      <c r="B740" s="47"/>
      <c r="C740" s="48"/>
    </row>
    <row r="741" spans="2:3" ht="13.5" customHeight="1">
      <c r="B741" s="47"/>
      <c r="C741" s="48"/>
    </row>
    <row r="742" spans="2:3" ht="13.5" customHeight="1">
      <c r="B742" s="47"/>
      <c r="C742" s="48"/>
    </row>
    <row r="743" spans="2:3" ht="13.5" customHeight="1">
      <c r="B743" s="47"/>
      <c r="C743" s="48"/>
    </row>
    <row r="744" spans="2:3" ht="13.5" customHeight="1">
      <c r="B744" s="47"/>
      <c r="C744" s="48"/>
    </row>
    <row r="745" spans="2:3" ht="13.5" customHeight="1">
      <c r="B745" s="47"/>
      <c r="C745" s="48"/>
    </row>
    <row r="746" spans="2:3" ht="13.5" customHeight="1">
      <c r="B746" s="47"/>
      <c r="C746" s="48"/>
    </row>
    <row r="747" spans="2:3" ht="13.5" customHeight="1">
      <c r="B747" s="47"/>
      <c r="C747" s="48"/>
    </row>
    <row r="748" spans="2:3" ht="13.5" customHeight="1">
      <c r="B748" s="47"/>
      <c r="C748" s="48"/>
    </row>
    <row r="749" spans="2:3" ht="13.5" customHeight="1">
      <c r="B749" s="47"/>
      <c r="C749" s="48"/>
    </row>
    <row r="750" spans="2:3" ht="13.5" customHeight="1">
      <c r="B750" s="47"/>
      <c r="C750" s="48"/>
    </row>
    <row r="751" spans="2:3" ht="13.5" customHeight="1">
      <c r="B751" s="47"/>
      <c r="C751" s="48"/>
    </row>
    <row r="752" spans="2:3" ht="13.5" customHeight="1">
      <c r="B752" s="47"/>
      <c r="C752" s="48"/>
    </row>
    <row r="753" spans="2:3" ht="13.5" customHeight="1">
      <c r="B753" s="47"/>
      <c r="C753" s="48"/>
    </row>
    <row r="754" spans="2:3" ht="13.5" customHeight="1">
      <c r="B754" s="47"/>
      <c r="C754" s="48"/>
    </row>
    <row r="755" spans="2:3" ht="13.5" customHeight="1">
      <c r="B755" s="47"/>
      <c r="C755" s="48"/>
    </row>
    <row r="756" spans="2:3" ht="13.5" customHeight="1">
      <c r="B756" s="47"/>
      <c r="C756" s="48"/>
    </row>
    <row r="757" spans="2:3" ht="13.5" customHeight="1">
      <c r="B757" s="47"/>
      <c r="C757" s="48"/>
    </row>
    <row r="758" spans="2:3" ht="13.5" customHeight="1">
      <c r="B758" s="47"/>
      <c r="C758" s="48"/>
    </row>
    <row r="759" spans="2:3" ht="13.5" customHeight="1">
      <c r="B759" s="47"/>
      <c r="C759" s="48"/>
    </row>
    <row r="760" spans="2:3" ht="13.5" customHeight="1">
      <c r="B760" s="47"/>
      <c r="C760" s="48"/>
    </row>
    <row r="761" spans="2:3" ht="13.5" customHeight="1">
      <c r="B761" s="47"/>
      <c r="C761" s="48"/>
    </row>
    <row r="762" spans="2:3" ht="13.5" customHeight="1">
      <c r="B762" s="47"/>
      <c r="C762" s="48"/>
    </row>
    <row r="763" spans="2:3" ht="13.5" customHeight="1">
      <c r="B763" s="47"/>
      <c r="C763" s="48"/>
    </row>
    <row r="764" spans="2:3" ht="13.5" customHeight="1">
      <c r="B764" s="47"/>
      <c r="C764" s="48"/>
    </row>
    <row r="765" spans="2:3" ht="13.5" customHeight="1">
      <c r="B765" s="47"/>
      <c r="C765" s="48"/>
    </row>
    <row r="766" spans="2:3" ht="13.5" customHeight="1">
      <c r="B766" s="47"/>
      <c r="C766" s="48"/>
    </row>
    <row r="767" spans="2:3" ht="13.5" customHeight="1">
      <c r="B767" s="47"/>
      <c r="C767" s="48"/>
    </row>
    <row r="768" spans="2:3" ht="13.5" customHeight="1">
      <c r="B768" s="47"/>
      <c r="C768" s="48"/>
    </row>
    <row r="769" spans="2:3" ht="13.5" customHeight="1">
      <c r="B769" s="47"/>
      <c r="C769" s="48"/>
    </row>
    <row r="770" spans="2:3" ht="13.5" customHeight="1">
      <c r="B770" s="47"/>
      <c r="C770" s="48"/>
    </row>
    <row r="771" spans="2:3" ht="13.5" customHeight="1">
      <c r="B771" s="47"/>
      <c r="C771" s="48"/>
    </row>
    <row r="772" spans="2:3" ht="13.5" customHeight="1">
      <c r="B772" s="47"/>
      <c r="C772" s="48"/>
    </row>
    <row r="773" spans="2:3" ht="13.5" customHeight="1">
      <c r="B773" s="47"/>
      <c r="C773" s="48"/>
    </row>
    <row r="774" spans="2:3" ht="13.5" customHeight="1">
      <c r="B774" s="47"/>
      <c r="C774" s="48"/>
    </row>
    <row r="775" spans="2:3" ht="13.5" customHeight="1">
      <c r="B775" s="47"/>
      <c r="C775" s="48"/>
    </row>
    <row r="776" spans="2:3" ht="13.5" customHeight="1">
      <c r="B776" s="47"/>
      <c r="C776" s="48"/>
    </row>
    <row r="777" spans="2:3" ht="13.5" customHeight="1">
      <c r="B777" s="47"/>
      <c r="C777" s="48"/>
    </row>
    <row r="778" spans="2:3" ht="13.5" customHeight="1">
      <c r="B778" s="47"/>
      <c r="C778" s="48"/>
    </row>
    <row r="779" spans="2:3" ht="13.5" customHeight="1">
      <c r="B779" s="47"/>
      <c r="C779" s="48"/>
    </row>
    <row r="780" spans="2:3" ht="13.5" customHeight="1">
      <c r="B780" s="47"/>
      <c r="C780" s="48"/>
    </row>
    <row r="781" spans="2:3" ht="13.5" customHeight="1">
      <c r="B781" s="47"/>
      <c r="C781" s="48"/>
    </row>
    <row r="782" spans="2:3" ht="13.5" customHeight="1">
      <c r="B782" s="47"/>
      <c r="C782" s="48"/>
    </row>
    <row r="783" spans="2:3" ht="13.5" customHeight="1">
      <c r="B783" s="47"/>
      <c r="C783" s="48"/>
    </row>
    <row r="784" spans="2:3" ht="13.5" customHeight="1">
      <c r="B784" s="47"/>
      <c r="C784" s="48"/>
    </row>
    <row r="785" spans="2:3" ht="13.5" customHeight="1">
      <c r="B785" s="47"/>
      <c r="C785" s="48"/>
    </row>
    <row r="786" spans="2:3" ht="13.5" customHeight="1">
      <c r="B786" s="47"/>
      <c r="C786" s="48"/>
    </row>
    <row r="787" spans="2:3" ht="13.5" customHeight="1">
      <c r="B787" s="47"/>
      <c r="C787" s="48"/>
    </row>
    <row r="788" spans="2:3" ht="13.5" customHeight="1">
      <c r="B788" s="47"/>
      <c r="C788" s="48"/>
    </row>
    <row r="789" spans="2:3" ht="13.5" customHeight="1">
      <c r="B789" s="47"/>
      <c r="C789" s="48"/>
    </row>
    <row r="790" spans="2:3" ht="13.5" customHeight="1">
      <c r="B790" s="47"/>
      <c r="C790" s="48"/>
    </row>
    <row r="791" spans="2:3" ht="13.5" customHeight="1">
      <c r="B791" s="47"/>
      <c r="C791" s="48"/>
    </row>
    <row r="792" spans="2:3" ht="13.5" customHeight="1">
      <c r="B792" s="47"/>
      <c r="C792" s="48"/>
    </row>
    <row r="793" spans="2:3" ht="13.5" customHeight="1">
      <c r="B793" s="47"/>
      <c r="C793" s="48"/>
    </row>
    <row r="794" spans="2:3" ht="13.5" customHeight="1">
      <c r="B794" s="47"/>
      <c r="C794" s="48"/>
    </row>
    <row r="795" spans="2:3" ht="13.5" customHeight="1">
      <c r="B795" s="47"/>
      <c r="C795" s="48"/>
    </row>
    <row r="796" spans="2:3" ht="13.5" customHeight="1">
      <c r="B796" s="47"/>
      <c r="C796" s="48"/>
    </row>
    <row r="797" spans="2:3" ht="13.5" customHeight="1">
      <c r="B797" s="47"/>
      <c r="C797" s="48"/>
    </row>
    <row r="798" spans="2:3" ht="13.5" customHeight="1">
      <c r="B798" s="47"/>
      <c r="C798" s="48"/>
    </row>
    <row r="799" spans="2:3" ht="13.5" customHeight="1">
      <c r="B799" s="47"/>
      <c r="C799" s="48"/>
    </row>
    <row r="800" spans="2:3" ht="13.5" customHeight="1">
      <c r="B800" s="47"/>
      <c r="C800" s="48"/>
    </row>
    <row r="801" spans="2:3" ht="13.5" customHeight="1">
      <c r="B801" s="47"/>
      <c r="C801" s="48"/>
    </row>
    <row r="802" spans="2:3" ht="13.5" customHeight="1">
      <c r="B802" s="47"/>
      <c r="C802" s="48"/>
    </row>
    <row r="803" spans="2:3" ht="13.5" customHeight="1">
      <c r="B803" s="47"/>
      <c r="C803" s="48"/>
    </row>
    <row r="804" spans="2:3" ht="13.5" customHeight="1">
      <c r="B804" s="47"/>
      <c r="C804" s="48"/>
    </row>
    <row r="805" spans="2:3" ht="13.5" customHeight="1">
      <c r="B805" s="47"/>
      <c r="C805" s="48"/>
    </row>
    <row r="806" spans="2:3" ht="13.5" customHeight="1">
      <c r="B806" s="47"/>
      <c r="C806" s="48"/>
    </row>
    <row r="807" spans="2:3" ht="13.5" customHeight="1">
      <c r="B807" s="47"/>
      <c r="C807" s="48"/>
    </row>
    <row r="808" spans="2:3" ht="13.5" customHeight="1">
      <c r="B808" s="47"/>
      <c r="C808" s="48"/>
    </row>
    <row r="809" spans="2:3" ht="13.5" customHeight="1">
      <c r="B809" s="47"/>
      <c r="C809" s="48"/>
    </row>
    <row r="810" spans="2:3" ht="13.5" customHeight="1">
      <c r="B810" s="47"/>
      <c r="C810" s="48"/>
    </row>
    <row r="811" spans="2:3" ht="13.5" customHeight="1">
      <c r="B811" s="47"/>
      <c r="C811" s="48"/>
    </row>
    <row r="812" spans="2:3" ht="13.5" customHeight="1">
      <c r="B812" s="47"/>
      <c r="C812" s="48"/>
    </row>
    <row r="813" spans="2:3" ht="13.5" customHeight="1">
      <c r="B813" s="47"/>
      <c r="C813" s="48"/>
    </row>
    <row r="814" spans="2:3" ht="13.5" customHeight="1">
      <c r="B814" s="47"/>
      <c r="C814" s="48"/>
    </row>
    <row r="815" spans="2:3" ht="13.5" customHeight="1">
      <c r="B815" s="47"/>
      <c r="C815" s="48"/>
    </row>
    <row r="816" spans="2:3" ht="13.5" customHeight="1">
      <c r="B816" s="47"/>
      <c r="C816" s="48"/>
    </row>
    <row r="817" spans="2:3" ht="13.5" customHeight="1">
      <c r="B817" s="47"/>
      <c r="C817" s="48"/>
    </row>
    <row r="818" spans="2:3" ht="13.5" customHeight="1">
      <c r="B818" s="47"/>
      <c r="C818" s="48"/>
    </row>
    <row r="819" spans="2:3" ht="13.5" customHeight="1">
      <c r="B819" s="47"/>
      <c r="C819" s="48"/>
    </row>
    <row r="820" spans="2:3" ht="13.5" customHeight="1">
      <c r="B820" s="47"/>
      <c r="C820" s="48"/>
    </row>
    <row r="821" spans="2:3" ht="13.5" customHeight="1">
      <c r="B821" s="47"/>
      <c r="C821" s="48"/>
    </row>
    <row r="822" spans="2:3" ht="13.5" customHeight="1">
      <c r="B822" s="47"/>
      <c r="C822" s="48"/>
    </row>
    <row r="823" spans="2:3" ht="13.5" customHeight="1">
      <c r="B823" s="47"/>
      <c r="C823" s="48"/>
    </row>
    <row r="824" spans="2:3" ht="13.5" customHeight="1">
      <c r="B824" s="47"/>
      <c r="C824" s="48"/>
    </row>
    <row r="825" spans="2:3" ht="13.5" customHeight="1">
      <c r="B825" s="47"/>
      <c r="C825" s="48"/>
    </row>
    <row r="826" spans="2:3" ht="13.5" customHeight="1">
      <c r="B826" s="47"/>
      <c r="C826" s="48"/>
    </row>
    <row r="827" spans="2:3" ht="13.5" customHeight="1">
      <c r="B827" s="47"/>
      <c r="C827" s="48"/>
    </row>
    <row r="828" spans="2:3" ht="13.5" customHeight="1">
      <c r="B828" s="47"/>
      <c r="C828" s="48"/>
    </row>
    <row r="829" spans="2:3" ht="13.5" customHeight="1">
      <c r="B829" s="47"/>
      <c r="C829" s="48"/>
    </row>
    <row r="830" spans="2:3" ht="13.5" customHeight="1">
      <c r="B830" s="47"/>
      <c r="C830" s="48"/>
    </row>
    <row r="831" spans="2:3" ht="13.5" customHeight="1">
      <c r="B831" s="47"/>
      <c r="C831" s="48"/>
    </row>
    <row r="832" spans="2:3" ht="13.5" customHeight="1">
      <c r="B832" s="47"/>
      <c r="C832" s="48"/>
    </row>
    <row r="833" spans="2:3" ht="13.5" customHeight="1">
      <c r="B833" s="47"/>
      <c r="C833" s="48"/>
    </row>
    <row r="834" spans="2:3" ht="13.5" customHeight="1">
      <c r="B834" s="47"/>
      <c r="C834" s="48"/>
    </row>
    <row r="835" spans="2:3" ht="13.5" customHeight="1">
      <c r="B835" s="47"/>
      <c r="C835" s="48"/>
    </row>
    <row r="836" spans="2:3" ht="13.5" customHeight="1">
      <c r="B836" s="47"/>
      <c r="C836" s="48"/>
    </row>
    <row r="837" spans="2:3" ht="13.5" customHeight="1">
      <c r="B837" s="47"/>
      <c r="C837" s="48"/>
    </row>
    <row r="838" spans="2:3" ht="13.5" customHeight="1">
      <c r="B838" s="47"/>
      <c r="C838" s="48"/>
    </row>
    <row r="839" spans="2:3" ht="13.5" customHeight="1">
      <c r="B839" s="47"/>
      <c r="C839" s="48"/>
    </row>
    <row r="840" spans="2:3" ht="13.5" customHeight="1">
      <c r="B840" s="47"/>
      <c r="C840" s="48"/>
    </row>
    <row r="841" spans="2:3" ht="13.5" customHeight="1">
      <c r="B841" s="47"/>
      <c r="C841" s="48"/>
    </row>
    <row r="842" spans="2:3" ht="13.5" customHeight="1">
      <c r="B842" s="47"/>
      <c r="C842" s="48"/>
    </row>
    <row r="843" spans="2:3" ht="13.5" customHeight="1">
      <c r="B843" s="47"/>
      <c r="C843" s="48"/>
    </row>
    <row r="844" spans="2:3" ht="13.5" customHeight="1">
      <c r="B844" s="47"/>
      <c r="C844" s="48"/>
    </row>
    <row r="845" spans="2:3" ht="13.5" customHeight="1">
      <c r="B845" s="47"/>
      <c r="C845" s="48"/>
    </row>
    <row r="846" spans="2:3" ht="13.5" customHeight="1">
      <c r="B846" s="47"/>
      <c r="C846" s="48"/>
    </row>
    <row r="847" spans="2:3" ht="13.5" customHeight="1">
      <c r="B847" s="47"/>
      <c r="C847" s="48"/>
    </row>
    <row r="848" spans="2:3" ht="13.5" customHeight="1">
      <c r="B848" s="47"/>
      <c r="C848" s="48"/>
    </row>
    <row r="849" spans="2:3" ht="13.5" customHeight="1">
      <c r="B849" s="47"/>
      <c r="C849" s="48"/>
    </row>
    <row r="850" spans="2:3" ht="13.5" customHeight="1">
      <c r="B850" s="47"/>
      <c r="C850" s="48"/>
    </row>
    <row r="851" spans="2:3" ht="13.5" customHeight="1">
      <c r="B851" s="47"/>
      <c r="C851" s="48"/>
    </row>
    <row r="852" spans="2:3" ht="13.5" customHeight="1">
      <c r="B852" s="47"/>
      <c r="C852" s="48"/>
    </row>
    <row r="853" spans="2:3" ht="13.5" customHeight="1">
      <c r="B853" s="47"/>
      <c r="C853" s="48"/>
    </row>
    <row r="854" spans="2:3" ht="13.5" customHeight="1">
      <c r="B854" s="47"/>
      <c r="C854" s="48"/>
    </row>
    <row r="855" spans="2:3" ht="13.5" customHeight="1">
      <c r="B855" s="47"/>
      <c r="C855" s="48"/>
    </row>
    <row r="856" spans="2:3" ht="13.5" customHeight="1">
      <c r="B856" s="47"/>
      <c r="C856" s="48"/>
    </row>
    <row r="857" spans="2:3" ht="13.5" customHeight="1">
      <c r="B857" s="47"/>
      <c r="C857" s="48"/>
    </row>
    <row r="858" spans="2:3" ht="13.5" customHeight="1">
      <c r="B858" s="47"/>
      <c r="C858" s="48"/>
    </row>
    <row r="859" spans="2:3" ht="13.5" customHeight="1">
      <c r="B859" s="47"/>
      <c r="C859" s="48"/>
    </row>
    <row r="860" spans="2:3" ht="13.5" customHeight="1">
      <c r="B860" s="47"/>
      <c r="C860" s="48"/>
    </row>
    <row r="861" spans="2:3" ht="13.5" customHeight="1">
      <c r="B861" s="47"/>
      <c r="C861" s="48"/>
    </row>
    <row r="862" spans="2:3" ht="13.5" customHeight="1">
      <c r="B862" s="47"/>
      <c r="C862" s="48"/>
    </row>
    <row r="863" spans="2:3" ht="13.5" customHeight="1">
      <c r="B863" s="47"/>
      <c r="C863" s="48"/>
    </row>
    <row r="864" spans="2:3" ht="13.5" customHeight="1">
      <c r="B864" s="47"/>
      <c r="C864" s="48"/>
    </row>
    <row r="865" spans="2:3" ht="13.5" customHeight="1">
      <c r="B865" s="47"/>
      <c r="C865" s="48"/>
    </row>
    <row r="866" spans="2:3" ht="13.5" customHeight="1">
      <c r="B866" s="47"/>
      <c r="C866" s="48"/>
    </row>
    <row r="867" spans="2:3" ht="13.5" customHeight="1">
      <c r="B867" s="47"/>
      <c r="C867" s="48"/>
    </row>
    <row r="868" spans="2:3" ht="13.5" customHeight="1">
      <c r="B868" s="47"/>
      <c r="C868" s="48"/>
    </row>
    <row r="869" spans="2:3" ht="13.5" customHeight="1">
      <c r="B869" s="47"/>
      <c r="C869" s="48"/>
    </row>
    <row r="870" spans="2:3" ht="13.5" customHeight="1">
      <c r="B870" s="47"/>
      <c r="C870" s="48"/>
    </row>
    <row r="871" spans="2:3" ht="13.5" customHeight="1">
      <c r="B871" s="47"/>
      <c r="C871" s="48"/>
    </row>
    <row r="872" spans="2:3" ht="13.5" customHeight="1">
      <c r="B872" s="47"/>
      <c r="C872" s="48"/>
    </row>
    <row r="873" spans="2:3" ht="13.5" customHeight="1">
      <c r="B873" s="47"/>
      <c r="C873" s="48"/>
    </row>
    <row r="874" spans="2:3" ht="13.5" customHeight="1">
      <c r="B874" s="47"/>
      <c r="C874" s="48"/>
    </row>
    <row r="875" spans="2:3" ht="13.5" customHeight="1">
      <c r="B875" s="47"/>
      <c r="C875" s="48"/>
    </row>
    <row r="876" spans="2:3" ht="13.5" customHeight="1">
      <c r="B876" s="47"/>
      <c r="C876" s="48"/>
    </row>
    <row r="877" spans="2:3" ht="13.5" customHeight="1">
      <c r="B877" s="47"/>
      <c r="C877" s="48"/>
    </row>
    <row r="878" spans="2:3" ht="13.5" customHeight="1">
      <c r="B878" s="47"/>
      <c r="C878" s="48"/>
    </row>
    <row r="879" spans="2:3" ht="13.5" customHeight="1">
      <c r="B879" s="47"/>
      <c r="C879" s="48"/>
    </row>
    <row r="880" spans="2:3" ht="13.5" customHeight="1">
      <c r="B880" s="47"/>
      <c r="C880" s="48"/>
    </row>
    <row r="881" spans="2:3" ht="13.5" customHeight="1">
      <c r="B881" s="47"/>
      <c r="C881" s="48"/>
    </row>
    <row r="882" spans="2:3" ht="13.5" customHeight="1">
      <c r="B882" s="47"/>
      <c r="C882" s="48"/>
    </row>
    <row r="883" spans="2:3" ht="13.5" customHeight="1">
      <c r="B883" s="47"/>
      <c r="C883" s="48"/>
    </row>
    <row r="884" spans="2:3" ht="13.5" customHeight="1">
      <c r="B884" s="47"/>
      <c r="C884" s="48"/>
    </row>
    <row r="885" spans="2:3" ht="13.5" customHeight="1">
      <c r="B885" s="47"/>
      <c r="C885" s="48"/>
    </row>
    <row r="886" spans="2:3" ht="13.5" customHeight="1">
      <c r="B886" s="47"/>
      <c r="C886" s="48"/>
    </row>
    <row r="887" spans="2:3" ht="13.5" customHeight="1">
      <c r="B887" s="47"/>
      <c r="C887" s="48"/>
    </row>
    <row r="888" spans="2:3" ht="13.5" customHeight="1">
      <c r="B888" s="47"/>
      <c r="C888" s="48"/>
    </row>
    <row r="889" spans="2:3" ht="13.5" customHeight="1">
      <c r="B889" s="47"/>
      <c r="C889" s="48"/>
    </row>
    <row r="890" spans="2:3" ht="13.5" customHeight="1">
      <c r="B890" s="47"/>
      <c r="C890" s="48"/>
    </row>
    <row r="891" spans="2:3" ht="13.5" customHeight="1">
      <c r="B891" s="47"/>
      <c r="C891" s="48"/>
    </row>
    <row r="892" spans="2:3" ht="13.5" customHeight="1">
      <c r="B892" s="47"/>
      <c r="C892" s="48"/>
    </row>
    <row r="893" spans="2:3" ht="13.5" customHeight="1">
      <c r="B893" s="47"/>
      <c r="C893" s="48"/>
    </row>
    <row r="894" spans="2:3" ht="13.5" customHeight="1">
      <c r="B894" s="47"/>
      <c r="C894" s="48"/>
    </row>
    <row r="895" spans="2:3" ht="13.5" customHeight="1">
      <c r="B895" s="47"/>
      <c r="C895" s="48"/>
    </row>
    <row r="896" spans="2:3" ht="13.5" customHeight="1">
      <c r="B896" s="47"/>
      <c r="C896" s="48"/>
    </row>
    <row r="897" spans="2:3" ht="13.5" customHeight="1">
      <c r="B897" s="47"/>
      <c r="C897" s="48"/>
    </row>
    <row r="898" spans="2:3" ht="13.5" customHeight="1">
      <c r="B898" s="47"/>
      <c r="C898" s="48"/>
    </row>
    <row r="899" spans="2:3" ht="13.5" customHeight="1">
      <c r="B899" s="47"/>
      <c r="C899" s="48"/>
    </row>
    <row r="900" spans="2:3" ht="13.5" customHeight="1">
      <c r="B900" s="47"/>
      <c r="C900" s="48"/>
    </row>
    <row r="901" spans="2:3" ht="13.5" customHeight="1">
      <c r="B901" s="47"/>
      <c r="C901" s="48"/>
    </row>
    <row r="902" spans="2:3" ht="13.5" customHeight="1">
      <c r="B902" s="47"/>
      <c r="C902" s="48"/>
    </row>
    <row r="903" spans="2:3" ht="13.5" customHeight="1">
      <c r="B903" s="47"/>
      <c r="C903" s="48"/>
    </row>
    <row r="904" spans="2:3" ht="13.5" customHeight="1">
      <c r="B904" s="47"/>
      <c r="C904" s="48"/>
    </row>
    <row r="905" spans="2:3" ht="13.5" customHeight="1">
      <c r="B905" s="47"/>
      <c r="C905" s="48"/>
    </row>
    <row r="906" spans="2:3" ht="13.5" customHeight="1">
      <c r="B906" s="47"/>
      <c r="C906" s="48"/>
    </row>
    <row r="907" spans="2:3" ht="13.5" customHeight="1">
      <c r="B907" s="47"/>
      <c r="C907" s="48"/>
    </row>
    <row r="908" spans="2:3" ht="13.5" customHeight="1">
      <c r="B908" s="47"/>
      <c r="C908" s="48"/>
    </row>
    <row r="909" spans="2:3" ht="13.5" customHeight="1">
      <c r="B909" s="47"/>
      <c r="C909" s="48"/>
    </row>
    <row r="910" spans="2:3" ht="13.5" customHeight="1">
      <c r="B910" s="47"/>
      <c r="C910" s="48"/>
    </row>
    <row r="911" spans="2:3" ht="13.5" customHeight="1">
      <c r="B911" s="47"/>
      <c r="C911" s="48"/>
    </row>
    <row r="912" spans="2:3" ht="13.5" customHeight="1">
      <c r="B912" s="47"/>
      <c r="C912" s="48"/>
    </row>
    <row r="913" spans="2:3" ht="13.5" customHeight="1">
      <c r="B913" s="47"/>
      <c r="C913" s="48"/>
    </row>
    <row r="914" spans="2:3" ht="13.5" customHeight="1">
      <c r="B914" s="47"/>
      <c r="C914" s="48"/>
    </row>
    <row r="915" spans="2:3" ht="13.5" customHeight="1">
      <c r="B915" s="47"/>
      <c r="C915" s="48"/>
    </row>
    <row r="916" spans="2:3" ht="13.5" customHeight="1">
      <c r="B916" s="47"/>
      <c r="C916" s="48"/>
    </row>
    <row r="917" spans="2:3" ht="13.5" customHeight="1">
      <c r="B917" s="47"/>
      <c r="C917" s="48"/>
    </row>
    <row r="918" spans="2:3" ht="13.5" customHeight="1">
      <c r="B918" s="47"/>
      <c r="C918" s="48"/>
    </row>
    <row r="919" spans="2:3" ht="13.5" customHeight="1">
      <c r="B919" s="47"/>
      <c r="C919" s="48"/>
    </row>
    <row r="920" spans="2:3" ht="13.5" customHeight="1">
      <c r="B920" s="47"/>
      <c r="C920" s="48"/>
    </row>
    <row r="921" spans="2:3" ht="13.5" customHeight="1">
      <c r="B921" s="47"/>
      <c r="C921" s="48"/>
    </row>
    <row r="922" spans="2:3" ht="13.5" customHeight="1">
      <c r="B922" s="47"/>
      <c r="C922" s="48"/>
    </row>
    <row r="923" spans="2:3" ht="13.5" customHeight="1">
      <c r="B923" s="47"/>
      <c r="C923" s="48"/>
    </row>
    <row r="924" spans="2:3" ht="13.5" customHeight="1">
      <c r="B924" s="47"/>
      <c r="C924" s="48"/>
    </row>
    <row r="925" spans="2:3" ht="13.5" customHeight="1">
      <c r="B925" s="47"/>
      <c r="C925" s="48"/>
    </row>
    <row r="926" spans="2:3" ht="13.5" customHeight="1">
      <c r="B926" s="47"/>
      <c r="C926" s="48"/>
    </row>
    <row r="927" spans="2:3" ht="13.5" customHeight="1">
      <c r="B927" s="47"/>
      <c r="C927" s="48"/>
    </row>
    <row r="928" spans="2:3" ht="13.5" customHeight="1">
      <c r="B928" s="47"/>
      <c r="C928" s="48"/>
    </row>
    <row r="929" spans="2:3" ht="13.5" customHeight="1">
      <c r="B929" s="47"/>
      <c r="C929" s="48"/>
    </row>
    <row r="930" spans="2:3" ht="13.5" customHeight="1">
      <c r="B930" s="47"/>
      <c r="C930" s="48"/>
    </row>
    <row r="931" spans="2:3" ht="13.5" customHeight="1">
      <c r="B931" s="47"/>
      <c r="C931" s="48"/>
    </row>
    <row r="932" spans="2:3" ht="13.5" customHeight="1">
      <c r="B932" s="47"/>
      <c r="C932" s="48"/>
    </row>
    <row r="933" spans="2:3" ht="13.5" customHeight="1">
      <c r="B933" s="47"/>
      <c r="C933" s="48"/>
    </row>
    <row r="934" spans="2:3" ht="13.5" customHeight="1">
      <c r="B934" s="47"/>
      <c r="C934" s="48"/>
    </row>
    <row r="935" spans="2:3" ht="13.5" customHeight="1">
      <c r="B935" s="47"/>
      <c r="C935" s="48"/>
    </row>
    <row r="936" spans="2:3" ht="13.5" customHeight="1">
      <c r="B936" s="47"/>
      <c r="C936" s="48"/>
    </row>
    <row r="937" spans="2:3" ht="13.5" customHeight="1">
      <c r="B937" s="47"/>
      <c r="C937" s="48"/>
    </row>
    <row r="938" spans="2:3" ht="13.5" customHeight="1">
      <c r="B938" s="47"/>
      <c r="C938" s="48"/>
    </row>
    <row r="939" spans="2:3" ht="13.5" customHeight="1">
      <c r="B939" s="47"/>
      <c r="C939" s="48"/>
    </row>
    <row r="940" spans="2:3" ht="13.5" customHeight="1">
      <c r="B940" s="47"/>
      <c r="C940" s="48"/>
    </row>
    <row r="941" spans="2:3" ht="13.5" customHeight="1">
      <c r="B941" s="47"/>
      <c r="C941" s="48"/>
    </row>
    <row r="942" spans="2:3" ht="13.5" customHeight="1">
      <c r="B942" s="47"/>
      <c r="C942" s="48"/>
    </row>
    <row r="943" spans="2:3" ht="13.5" customHeight="1">
      <c r="B943" s="47"/>
      <c r="C943" s="48"/>
    </row>
    <row r="944" spans="2:3" ht="13.5" customHeight="1">
      <c r="B944" s="47"/>
      <c r="C944" s="48"/>
    </row>
    <row r="945" spans="2:3" ht="13.5" customHeight="1">
      <c r="B945" s="47"/>
      <c r="C945" s="48"/>
    </row>
    <row r="946" spans="2:3" ht="13.5" customHeight="1">
      <c r="B946" s="47"/>
      <c r="C946" s="48"/>
    </row>
    <row r="947" spans="2:3" ht="13.5" customHeight="1">
      <c r="B947" s="47"/>
      <c r="C947" s="48"/>
    </row>
    <row r="948" spans="2:3" ht="13.5" customHeight="1">
      <c r="B948" s="47"/>
      <c r="C948" s="48"/>
    </row>
    <row r="949" spans="2:3" ht="13.5" customHeight="1">
      <c r="B949" s="47"/>
      <c r="C949" s="48"/>
    </row>
    <row r="950" spans="2:3" ht="13.5" customHeight="1">
      <c r="B950" s="47"/>
      <c r="C950" s="48"/>
    </row>
    <row r="951" spans="2:3" ht="13.5" customHeight="1">
      <c r="B951" s="47"/>
      <c r="C951" s="48"/>
    </row>
    <row r="952" spans="2:3" ht="13.5" customHeight="1">
      <c r="B952" s="47"/>
      <c r="C952" s="48"/>
    </row>
    <row r="953" spans="2:3" ht="13.5" customHeight="1">
      <c r="B953" s="47"/>
      <c r="C953" s="48"/>
    </row>
    <row r="954" spans="2:3" ht="13.5" customHeight="1">
      <c r="B954" s="47"/>
      <c r="C954" s="48"/>
    </row>
    <row r="955" spans="2:3" ht="13.5" customHeight="1">
      <c r="B955" s="47"/>
      <c r="C955" s="48"/>
    </row>
    <row r="956" spans="2:3" ht="13.5" customHeight="1">
      <c r="B956" s="47"/>
      <c r="C956" s="48"/>
    </row>
    <row r="957" spans="2:3" ht="13.5" customHeight="1">
      <c r="B957" s="47"/>
      <c r="C957" s="48"/>
    </row>
    <row r="958" spans="2:3" ht="13.5" customHeight="1">
      <c r="B958" s="47"/>
      <c r="C958" s="48"/>
    </row>
    <row r="959" spans="2:3" ht="13.5" customHeight="1">
      <c r="B959" s="47"/>
      <c r="C959" s="48"/>
    </row>
    <row r="960" spans="2:3" ht="13.5" customHeight="1">
      <c r="B960" s="47"/>
      <c r="C960" s="48"/>
    </row>
    <row r="961" spans="2:3" ht="13.5" customHeight="1">
      <c r="B961" s="47"/>
      <c r="C961" s="48"/>
    </row>
    <row r="962" spans="2:3" ht="13.5" customHeight="1">
      <c r="B962" s="47"/>
      <c r="C962" s="48"/>
    </row>
    <row r="963" spans="2:3" ht="13.5" customHeight="1">
      <c r="B963" s="47"/>
      <c r="C963" s="48"/>
    </row>
    <row r="964" spans="2:3" ht="13.5" customHeight="1">
      <c r="B964" s="47"/>
      <c r="C964" s="48"/>
    </row>
    <row r="965" spans="2:3" ht="13.5" customHeight="1">
      <c r="B965" s="47"/>
      <c r="C965" s="48"/>
    </row>
    <row r="966" spans="2:3" ht="13.5" customHeight="1">
      <c r="B966" s="47"/>
      <c r="C966" s="48"/>
    </row>
    <row r="967" spans="2:3" ht="13.5" customHeight="1">
      <c r="B967" s="47"/>
      <c r="C967" s="48"/>
    </row>
    <row r="968" spans="2:3" ht="13.5" customHeight="1">
      <c r="B968" s="47"/>
      <c r="C968" s="48"/>
    </row>
    <row r="969" spans="2:3" ht="13.5" customHeight="1">
      <c r="B969" s="47"/>
      <c r="C969" s="48"/>
    </row>
    <row r="970" spans="2:3" ht="13.5" customHeight="1">
      <c r="B970" s="47"/>
      <c r="C970" s="48"/>
    </row>
    <row r="971" spans="2:3" ht="13.5" customHeight="1">
      <c r="B971" s="47"/>
      <c r="C971" s="48"/>
    </row>
    <row r="972" spans="2:3" ht="13.5" customHeight="1">
      <c r="B972" s="47"/>
      <c r="C972" s="48"/>
    </row>
    <row r="973" spans="2:3" ht="13.5" customHeight="1">
      <c r="B973" s="47"/>
      <c r="C973" s="48"/>
    </row>
    <row r="974" spans="2:3" ht="13.5" customHeight="1">
      <c r="B974" s="47"/>
      <c r="C974" s="48"/>
    </row>
    <row r="975" spans="2:3" ht="13.5" customHeight="1">
      <c r="B975" s="47"/>
      <c r="C975" s="48"/>
    </row>
    <row r="976" spans="2:3" ht="13.5" customHeight="1">
      <c r="B976" s="47"/>
      <c r="C976" s="48"/>
    </row>
    <row r="977" spans="2:3" ht="13.5" customHeight="1">
      <c r="B977" s="47"/>
      <c r="C977" s="48"/>
    </row>
    <row r="978" spans="2:3" ht="13.5" customHeight="1">
      <c r="B978" s="47"/>
      <c r="C978" s="48"/>
    </row>
    <row r="979" spans="2:3" ht="13.5" customHeight="1">
      <c r="B979" s="47"/>
      <c r="C979" s="48"/>
    </row>
    <row r="980" spans="2:3" ht="13.5" customHeight="1">
      <c r="B980" s="47"/>
      <c r="C980" s="48"/>
    </row>
    <row r="981" spans="2:3" ht="13.5" customHeight="1">
      <c r="B981" s="47"/>
      <c r="C981" s="48"/>
    </row>
    <row r="982" spans="2:3" ht="13.5" customHeight="1">
      <c r="B982" s="47"/>
      <c r="C982" s="48"/>
    </row>
    <row r="983" spans="2:3" ht="13.5" customHeight="1">
      <c r="B983" s="47"/>
      <c r="C983" s="48"/>
    </row>
    <row r="984" spans="2:3" ht="13.5" customHeight="1">
      <c r="B984" s="47"/>
      <c r="C984" s="48"/>
    </row>
    <row r="985" spans="2:3" ht="13.5" customHeight="1">
      <c r="B985" s="47"/>
      <c r="C985" s="48"/>
    </row>
    <row r="986" spans="2:3" ht="13.5" customHeight="1">
      <c r="B986" s="47"/>
      <c r="C986" s="48"/>
    </row>
    <row r="987" spans="2:3" ht="13.5" customHeight="1">
      <c r="B987" s="47"/>
      <c r="C987" s="48"/>
    </row>
    <row r="988" spans="2:3" ht="13.5" customHeight="1">
      <c r="B988" s="47"/>
      <c r="C988" s="48"/>
    </row>
    <row r="989" spans="2:3" ht="13.5" customHeight="1">
      <c r="B989" s="47"/>
      <c r="C989" s="48"/>
    </row>
    <row r="990" spans="2:3" ht="13.5" customHeight="1">
      <c r="B990" s="47"/>
      <c r="C990" s="48"/>
    </row>
    <row r="991" spans="2:3" ht="13.5" customHeight="1">
      <c r="B991" s="47"/>
      <c r="C991" s="48"/>
    </row>
    <row r="992" spans="2:3" ht="13.5" customHeight="1">
      <c r="B992" s="47"/>
      <c r="C992" s="48"/>
    </row>
    <row r="993" spans="2:3" ht="13.5" customHeight="1">
      <c r="B993" s="47"/>
      <c r="C993" s="48"/>
    </row>
    <row r="994" spans="2:3" ht="13.5" customHeight="1"/>
    <row r="995" spans="2:3" ht="13.5" customHeight="1"/>
    <row r="996" spans="2:3" ht="13.5" customHeight="1"/>
    <row r="997" spans="2:3" ht="12.75" customHeight="1"/>
    <row r="998" spans="2:3" ht="12.75"/>
    <row r="999" spans="2:3" ht="12.75"/>
  </sheetData>
  <mergeCells count="15">
    <mergeCell ref="J32:K32"/>
    <mergeCell ref="J33:K33"/>
    <mergeCell ref="J34:K34"/>
    <mergeCell ref="B5:C5"/>
    <mergeCell ref="F5:F6"/>
    <mergeCell ref="J29:K29"/>
    <mergeCell ref="J30:K30"/>
    <mergeCell ref="J31:K31"/>
    <mergeCell ref="H2:H6"/>
    <mergeCell ref="K3:K6"/>
    <mergeCell ref="L3:U6"/>
    <mergeCell ref="E4:E6"/>
    <mergeCell ref="G4:G6"/>
    <mergeCell ref="I4:I6"/>
    <mergeCell ref="J4:J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K1000"/>
  <sheetViews>
    <sheetView showGridLines="0" zoomScaleNormal="100" workbookViewId="0">
      <selection activeCell="M34" sqref="M34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8EAADB"/>
  </sheetPr>
  <dimension ref="A1:AB985"/>
  <sheetViews>
    <sheetView showGridLines="0" zoomScaleNormal="100" workbookViewId="0">
      <selection activeCell="D31" sqref="D31"/>
    </sheetView>
  </sheetViews>
  <sheetFormatPr defaultColWidth="14.42578125" defaultRowHeight="13.15"/>
  <cols>
    <col min="1" max="1" width="5.42578125" style="1" customWidth="1"/>
    <col min="2" max="2" width="11.42578125" style="1" customWidth="1"/>
    <col min="3" max="3" width="12" style="1" customWidth="1"/>
    <col min="4" max="4" width="79.5703125" style="1" customWidth="1"/>
    <col min="5" max="5" width="15" style="1" customWidth="1"/>
    <col min="6" max="6" width="13.28515625" style="1" customWidth="1"/>
    <col min="7" max="7" width="14.85546875" style="1" customWidth="1"/>
    <col min="8" max="8" width="12.140625" style="1" customWidth="1"/>
    <col min="9" max="9" width="11.5703125" style="1" customWidth="1"/>
    <col min="10" max="10" width="12.5703125" style="1" customWidth="1"/>
    <col min="11" max="11" width="13.85546875" style="1" customWidth="1"/>
    <col min="12" max="26" width="4.85546875" style="1" customWidth="1"/>
    <col min="27" max="16384" width="14.42578125" style="1"/>
  </cols>
  <sheetData>
    <row r="1" spans="1:27" ht="13.5" customHeight="1">
      <c r="A1" s="108"/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</row>
    <row r="2" spans="1:27" ht="13.5" customHeight="1">
      <c r="A2" s="108"/>
      <c r="B2" s="49"/>
      <c r="C2" s="50"/>
      <c r="D2" s="108"/>
      <c r="E2" s="108"/>
      <c r="F2" s="108"/>
      <c r="G2" s="108"/>
      <c r="H2" s="133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</row>
    <row r="3" spans="1:27" ht="13.5" customHeight="1">
      <c r="A3" s="108"/>
      <c r="B3" s="49"/>
      <c r="C3" s="50"/>
      <c r="D3" s="108"/>
      <c r="E3" s="108"/>
      <c r="F3" s="108"/>
      <c r="G3" s="108"/>
      <c r="H3" s="133"/>
      <c r="I3" s="108"/>
      <c r="J3" s="108"/>
      <c r="K3" s="136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08"/>
      <c r="W3" s="108"/>
      <c r="X3" s="108"/>
      <c r="Y3" s="108"/>
      <c r="Z3" s="108"/>
      <c r="AA3" s="108"/>
    </row>
    <row r="4" spans="1:27" ht="12.75" customHeight="1">
      <c r="A4" s="108"/>
      <c r="B4" s="49"/>
      <c r="C4" s="50"/>
      <c r="D4" s="108"/>
      <c r="E4" s="135"/>
      <c r="F4" s="108"/>
      <c r="G4" s="134"/>
      <c r="H4" s="133"/>
      <c r="I4" s="136"/>
      <c r="J4" s="133"/>
      <c r="K4" s="136"/>
      <c r="L4" s="136"/>
      <c r="M4" s="137"/>
      <c r="N4" s="137"/>
      <c r="O4" s="137"/>
      <c r="P4" s="137"/>
      <c r="Q4" s="137"/>
      <c r="R4" s="137"/>
      <c r="S4" s="137"/>
      <c r="T4" s="137"/>
      <c r="U4" s="137"/>
      <c r="V4" s="108"/>
      <c r="W4" s="108"/>
      <c r="X4" s="108"/>
      <c r="Y4" s="108"/>
      <c r="Z4" s="108"/>
      <c r="AA4" s="108"/>
    </row>
    <row r="5" spans="1:27" ht="18" customHeight="1">
      <c r="A5" s="108"/>
      <c r="B5" s="138" t="s">
        <v>275</v>
      </c>
      <c r="C5" s="138"/>
      <c r="D5" s="108"/>
      <c r="E5" s="135"/>
      <c r="F5" s="139"/>
      <c r="G5" s="134"/>
      <c r="H5" s="134"/>
      <c r="I5" s="134"/>
      <c r="J5" s="134"/>
      <c r="K5" s="134"/>
      <c r="L5" s="134"/>
      <c r="M5" s="137"/>
      <c r="N5" s="137"/>
      <c r="O5" s="137"/>
      <c r="P5" s="137"/>
      <c r="Q5" s="137"/>
      <c r="R5" s="137"/>
      <c r="S5" s="137"/>
      <c r="T5" s="137"/>
      <c r="U5" s="137"/>
      <c r="V5" s="108"/>
      <c r="W5" s="108"/>
      <c r="X5" s="108"/>
      <c r="Y5" s="108"/>
      <c r="Z5" s="108"/>
      <c r="AA5" s="108"/>
    </row>
    <row r="6" spans="1:27" ht="13.5" customHeight="1">
      <c r="A6" s="108"/>
      <c r="B6" s="51"/>
      <c r="C6" s="50"/>
      <c r="D6" s="108"/>
      <c r="E6" s="135"/>
      <c r="F6" s="135"/>
      <c r="G6" s="135"/>
      <c r="H6" s="135"/>
      <c r="I6" s="135"/>
      <c r="J6" s="135"/>
      <c r="K6" s="135"/>
      <c r="L6" s="135"/>
      <c r="M6" s="137"/>
      <c r="N6" s="137"/>
      <c r="O6" s="137"/>
      <c r="P6" s="137"/>
      <c r="Q6" s="137"/>
      <c r="R6" s="137"/>
      <c r="S6" s="137"/>
      <c r="T6" s="137"/>
      <c r="U6" s="137"/>
      <c r="V6" s="108"/>
      <c r="W6" s="108"/>
      <c r="X6" s="108"/>
      <c r="Y6" s="108"/>
      <c r="Z6" s="108"/>
      <c r="AA6" s="108"/>
    </row>
    <row r="7" spans="1:27" ht="38.25" customHeight="1">
      <c r="A7" s="108"/>
      <c r="B7" s="116" t="s">
        <v>277</v>
      </c>
      <c r="C7" s="116" t="s">
        <v>278</v>
      </c>
      <c r="D7" s="116" t="s">
        <v>19</v>
      </c>
      <c r="E7" s="116" t="s">
        <v>50</v>
      </c>
      <c r="F7" s="116" t="s">
        <v>22</v>
      </c>
      <c r="G7" s="117" t="s">
        <v>279</v>
      </c>
      <c r="H7" s="117" t="s">
        <v>280</v>
      </c>
      <c r="I7" s="117" t="s">
        <v>281</v>
      </c>
      <c r="J7" s="117" t="s">
        <v>282</v>
      </c>
      <c r="K7" s="117" t="s">
        <v>283</v>
      </c>
      <c r="L7" s="118" t="s">
        <v>284</v>
      </c>
      <c r="M7" s="118" t="s">
        <v>285</v>
      </c>
      <c r="N7" s="118" t="s">
        <v>286</v>
      </c>
      <c r="O7" s="118" t="s">
        <v>287</v>
      </c>
      <c r="P7" s="118" t="s">
        <v>288</v>
      </c>
      <c r="Q7" s="118" t="s">
        <v>289</v>
      </c>
      <c r="R7" s="118" t="s">
        <v>290</v>
      </c>
      <c r="S7" s="118" t="s">
        <v>291</v>
      </c>
      <c r="T7" s="118" t="s">
        <v>292</v>
      </c>
      <c r="U7" s="118" t="s">
        <v>293</v>
      </c>
      <c r="V7" s="118" t="s">
        <v>294</v>
      </c>
      <c r="W7" s="118" t="s">
        <v>295</v>
      </c>
      <c r="X7" s="118" t="s">
        <v>296</v>
      </c>
      <c r="Y7" s="118" t="s">
        <v>297</v>
      </c>
      <c r="Z7" s="119" t="s">
        <v>298</v>
      </c>
      <c r="AA7" s="108"/>
    </row>
    <row r="8" spans="1:27" ht="13.5" customHeight="1">
      <c r="A8" s="108"/>
      <c r="B8" s="56" t="s">
        <v>341</v>
      </c>
      <c r="C8" s="57" t="s">
        <v>103</v>
      </c>
      <c r="D8" s="109" t="s">
        <v>342</v>
      </c>
      <c r="E8" s="59" t="s">
        <v>343</v>
      </c>
      <c r="F8" s="59" t="s">
        <v>302</v>
      </c>
      <c r="G8" s="57">
        <v>14</v>
      </c>
      <c r="H8" s="57">
        <v>14</v>
      </c>
      <c r="I8" s="72">
        <f>SUM(G8-H8)</f>
        <v>0</v>
      </c>
      <c r="J8" s="72">
        <v>0</v>
      </c>
      <c r="K8" s="72">
        <f>SUM(J8-G8)</f>
        <v>-14</v>
      </c>
      <c r="L8" s="5">
        <v>14</v>
      </c>
      <c r="M8" s="5">
        <v>14</v>
      </c>
      <c r="N8" s="5">
        <v>14</v>
      </c>
      <c r="O8" s="5">
        <v>10</v>
      </c>
      <c r="P8" s="5">
        <v>6</v>
      </c>
      <c r="Q8" s="5">
        <v>0</v>
      </c>
      <c r="R8" s="5"/>
      <c r="S8" s="5"/>
      <c r="T8" s="5"/>
      <c r="U8" s="5"/>
      <c r="V8" s="5"/>
      <c r="W8" s="5"/>
      <c r="X8" s="5"/>
      <c r="Y8" s="5"/>
      <c r="Z8" s="115"/>
      <c r="AA8" s="108"/>
    </row>
    <row r="9" spans="1:27" ht="13.5" customHeight="1">
      <c r="A9" s="108"/>
      <c r="B9" s="56" t="s">
        <v>344</v>
      </c>
      <c r="C9" s="61" t="s">
        <v>103</v>
      </c>
      <c r="D9" s="110" t="s">
        <v>345</v>
      </c>
      <c r="E9" s="58" t="s">
        <v>343</v>
      </c>
      <c r="F9" s="59" t="s">
        <v>302</v>
      </c>
      <c r="G9" s="61">
        <v>10</v>
      </c>
      <c r="H9" s="61">
        <v>10</v>
      </c>
      <c r="I9" s="73">
        <f>SUM(G9-H9)</f>
        <v>0</v>
      </c>
      <c r="J9" s="73">
        <v>0</v>
      </c>
      <c r="K9" s="73">
        <f>SUM(J9-G9)</f>
        <v>-10</v>
      </c>
      <c r="L9" s="5">
        <v>5</v>
      </c>
      <c r="M9" s="5">
        <v>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115"/>
      <c r="AA9" s="112"/>
    </row>
    <row r="10" spans="1:27" ht="13.5" customHeight="1">
      <c r="A10" s="108"/>
      <c r="B10" s="56" t="s">
        <v>346</v>
      </c>
      <c r="C10" s="61" t="s">
        <v>103</v>
      </c>
      <c r="D10" s="113" t="s">
        <v>347</v>
      </c>
      <c r="E10" s="58" t="s">
        <v>348</v>
      </c>
      <c r="F10" s="59" t="s">
        <v>302</v>
      </c>
      <c r="G10" s="61">
        <v>8</v>
      </c>
      <c r="H10" s="61">
        <v>8</v>
      </c>
      <c r="I10" s="73">
        <f>SUM(G10-H10)</f>
        <v>0</v>
      </c>
      <c r="J10" s="73">
        <v>0</v>
      </c>
      <c r="K10" s="73">
        <f>SUM(J10-G10)</f>
        <v>-8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115"/>
      <c r="AA10" s="112"/>
    </row>
    <row r="11" spans="1:27" ht="13.5" customHeight="1">
      <c r="A11" s="108"/>
      <c r="B11" s="56" t="s">
        <v>349</v>
      </c>
      <c r="C11" s="61" t="s">
        <v>109</v>
      </c>
      <c r="D11" s="110" t="s">
        <v>350</v>
      </c>
      <c r="E11" s="58" t="s">
        <v>343</v>
      </c>
      <c r="F11" s="59" t="s">
        <v>302</v>
      </c>
      <c r="G11" s="61">
        <v>10</v>
      </c>
      <c r="H11" s="61">
        <v>10</v>
      </c>
      <c r="I11" s="73">
        <f>SUM(G11-H11)</f>
        <v>0</v>
      </c>
      <c r="J11" s="73">
        <v>0</v>
      </c>
      <c r="K11" s="73">
        <f>SUM(J11-G11)</f>
        <v>-10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115"/>
      <c r="AA11" s="112"/>
    </row>
    <row r="12" spans="1:27" ht="13.5" customHeight="1">
      <c r="A12" s="108"/>
      <c r="B12" s="56" t="s">
        <v>351</v>
      </c>
      <c r="C12" s="61" t="s">
        <v>109</v>
      </c>
      <c r="D12" s="110" t="s">
        <v>352</v>
      </c>
      <c r="E12" s="58" t="s">
        <v>353</v>
      </c>
      <c r="F12" s="59" t="s">
        <v>302</v>
      </c>
      <c r="G12" s="61">
        <v>8</v>
      </c>
      <c r="H12" s="61">
        <v>8</v>
      </c>
      <c r="I12" s="73">
        <f>SUM(G12-H12)</f>
        <v>0</v>
      </c>
      <c r="J12" s="73">
        <v>0</v>
      </c>
      <c r="K12" s="73">
        <f>SUM(J12-G12)</f>
        <v>-8</v>
      </c>
      <c r="L12" s="5">
        <v>9</v>
      </c>
      <c r="M12" s="5">
        <v>4</v>
      </c>
      <c r="N12" s="5">
        <v>0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115"/>
      <c r="AA12" s="112"/>
    </row>
    <row r="13" spans="1:27" ht="13.5" customHeight="1">
      <c r="A13" s="108"/>
      <c r="B13" s="56" t="s">
        <v>354</v>
      </c>
      <c r="C13" s="61" t="s">
        <v>109</v>
      </c>
      <c r="D13" s="110" t="s">
        <v>355</v>
      </c>
      <c r="E13" s="58" t="s">
        <v>343</v>
      </c>
      <c r="F13" s="59" t="s">
        <v>302</v>
      </c>
      <c r="G13" s="61">
        <v>10</v>
      </c>
      <c r="H13" s="61">
        <v>10</v>
      </c>
      <c r="I13" s="73">
        <f>SUM(G13-H13)</f>
        <v>0</v>
      </c>
      <c r="J13" s="73">
        <v>0</v>
      </c>
      <c r="K13" s="73">
        <f>SUM(J13-G13)</f>
        <v>-10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115"/>
      <c r="AA13" s="112"/>
    </row>
    <row r="14" spans="1:27" ht="13.5" customHeight="1">
      <c r="A14" s="108"/>
      <c r="B14" s="56" t="s">
        <v>356</v>
      </c>
      <c r="C14" s="61" t="s">
        <v>114</v>
      </c>
      <c r="D14" s="110" t="s">
        <v>357</v>
      </c>
      <c r="E14" s="58" t="s">
        <v>358</v>
      </c>
      <c r="F14" s="59" t="s">
        <v>302</v>
      </c>
      <c r="G14" s="61">
        <v>14</v>
      </c>
      <c r="H14" s="61">
        <v>14</v>
      </c>
      <c r="I14" s="73">
        <f>SUM(G14-H14)</f>
        <v>0</v>
      </c>
      <c r="J14" s="73">
        <v>0</v>
      </c>
      <c r="K14" s="73">
        <f>SUM(J14-G14)</f>
        <v>-14</v>
      </c>
      <c r="L14" s="5"/>
      <c r="M14" s="5"/>
      <c r="N14" s="5"/>
      <c r="O14" s="5"/>
      <c r="P14" s="5"/>
      <c r="Q14" s="5"/>
      <c r="R14" s="5"/>
      <c r="S14" s="5"/>
      <c r="T14" s="5">
        <v>6</v>
      </c>
      <c r="U14" s="5">
        <v>8</v>
      </c>
      <c r="V14" s="5">
        <v>0</v>
      </c>
      <c r="W14" s="5"/>
      <c r="X14" s="5"/>
      <c r="Y14" s="5"/>
      <c r="Z14" s="115"/>
      <c r="AA14" s="112"/>
    </row>
    <row r="15" spans="1:27" ht="13.5" customHeight="1">
      <c r="A15" s="108"/>
      <c r="B15" s="56" t="s">
        <v>359</v>
      </c>
      <c r="C15" s="61" t="s">
        <v>114</v>
      </c>
      <c r="D15" s="110" t="s">
        <v>360</v>
      </c>
      <c r="E15" s="58" t="s">
        <v>358</v>
      </c>
      <c r="F15" s="59" t="s">
        <v>302</v>
      </c>
      <c r="G15" s="61">
        <v>10</v>
      </c>
      <c r="H15" s="61">
        <v>10</v>
      </c>
      <c r="I15" s="73">
        <f>SUM(G15-H15)</f>
        <v>0</v>
      </c>
      <c r="J15" s="73">
        <v>48</v>
      </c>
      <c r="K15" s="73">
        <f>SUM(J15-G15)</f>
        <v>38</v>
      </c>
      <c r="L15" s="5"/>
      <c r="M15" s="5"/>
      <c r="N15" s="5"/>
      <c r="O15" s="5"/>
      <c r="P15" s="5"/>
      <c r="Q15" s="5"/>
      <c r="R15" s="5">
        <v>8</v>
      </c>
      <c r="S15" s="5">
        <v>0</v>
      </c>
      <c r="T15" s="5"/>
      <c r="U15" s="5"/>
      <c r="V15" s="5"/>
      <c r="W15" s="5"/>
      <c r="X15" s="5"/>
      <c r="Y15" s="5"/>
      <c r="Z15" s="115"/>
      <c r="AA15" s="112"/>
    </row>
    <row r="16" spans="1:27" ht="13.5" customHeight="1">
      <c r="A16" s="108"/>
      <c r="B16" s="56" t="s">
        <v>361</v>
      </c>
      <c r="C16" s="61" t="s">
        <v>114</v>
      </c>
      <c r="D16" s="110" t="s">
        <v>362</v>
      </c>
      <c r="E16" s="58" t="s">
        <v>358</v>
      </c>
      <c r="F16" s="59" t="s">
        <v>302</v>
      </c>
      <c r="G16" s="61">
        <v>12</v>
      </c>
      <c r="H16" s="61">
        <v>12</v>
      </c>
      <c r="I16" s="73">
        <f>SUM(G16-H16)</f>
        <v>0</v>
      </c>
      <c r="J16" s="73">
        <v>0</v>
      </c>
      <c r="K16" s="73">
        <f>SUM(J16-G16)</f>
        <v>-12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15"/>
      <c r="AA16" s="112"/>
    </row>
    <row r="17" spans="1:28" ht="13.5" customHeight="1">
      <c r="A17" s="108"/>
      <c r="B17" s="56" t="s">
        <v>363</v>
      </c>
      <c r="C17" s="61" t="s">
        <v>119</v>
      </c>
      <c r="D17" s="110" t="s">
        <v>364</v>
      </c>
      <c r="E17" s="58" t="s">
        <v>365</v>
      </c>
      <c r="F17" s="59" t="s">
        <v>302</v>
      </c>
      <c r="G17" s="61">
        <v>10</v>
      </c>
      <c r="H17" s="61">
        <v>10</v>
      </c>
      <c r="I17" s="73">
        <f>SUM(G17-H17)</f>
        <v>0</v>
      </c>
      <c r="J17" s="73">
        <v>14</v>
      </c>
      <c r="K17" s="73">
        <f>SUM(J17-G17)</f>
        <v>4</v>
      </c>
      <c r="L17" s="5"/>
      <c r="M17" s="5"/>
      <c r="N17" s="5"/>
      <c r="O17" s="5">
        <v>8</v>
      </c>
      <c r="P17" s="5">
        <v>0</v>
      </c>
      <c r="Q17" s="5"/>
      <c r="R17" s="5"/>
      <c r="S17" s="5"/>
      <c r="T17" s="5"/>
      <c r="U17" s="5"/>
      <c r="V17" s="5"/>
      <c r="W17" s="5"/>
      <c r="X17" s="5"/>
      <c r="Y17" s="5"/>
      <c r="Z17" s="115"/>
      <c r="AA17" s="108"/>
      <c r="AB17" s="108"/>
    </row>
    <row r="18" spans="1:28" ht="13.5" customHeight="1">
      <c r="A18" s="108"/>
      <c r="B18" s="56" t="s">
        <v>366</v>
      </c>
      <c r="C18" s="61" t="s">
        <v>119</v>
      </c>
      <c r="D18" s="110" t="s">
        <v>367</v>
      </c>
      <c r="E18" s="58" t="s">
        <v>353</v>
      </c>
      <c r="F18" s="59" t="s">
        <v>302</v>
      </c>
      <c r="G18" s="61">
        <v>6</v>
      </c>
      <c r="H18" s="61">
        <v>6</v>
      </c>
      <c r="I18" s="73">
        <f>SUM(G18-H18)</f>
        <v>0</v>
      </c>
      <c r="J18" s="73">
        <v>0</v>
      </c>
      <c r="K18" s="73">
        <f>SUM(J18-G18)</f>
        <v>-6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15"/>
      <c r="AA18" s="108"/>
      <c r="AB18" s="108"/>
    </row>
    <row r="19" spans="1:28" ht="13.5" customHeight="1">
      <c r="A19" s="108"/>
      <c r="B19" s="56" t="s">
        <v>368</v>
      </c>
      <c r="C19" s="61" t="s">
        <v>119</v>
      </c>
      <c r="D19" s="110" t="s">
        <v>369</v>
      </c>
      <c r="E19" s="58" t="s">
        <v>358</v>
      </c>
      <c r="F19" s="59" t="s">
        <v>302</v>
      </c>
      <c r="G19" s="61">
        <v>4</v>
      </c>
      <c r="H19" s="61">
        <v>4</v>
      </c>
      <c r="I19" s="73">
        <f>SUM(G19-H19)</f>
        <v>0</v>
      </c>
      <c r="J19" s="73">
        <v>0</v>
      </c>
      <c r="K19" s="73">
        <f>SUM(J19-G19)</f>
        <v>-4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15"/>
      <c r="AA19" s="108"/>
      <c r="AB19" s="108"/>
    </row>
    <row r="20" spans="1:28" ht="13.5" customHeight="1">
      <c r="A20" s="108"/>
      <c r="B20" s="56" t="s">
        <v>370</v>
      </c>
      <c r="C20" s="61" t="s">
        <v>69</v>
      </c>
      <c r="D20" s="110" t="s">
        <v>371</v>
      </c>
      <c r="E20" s="58" t="s">
        <v>348</v>
      </c>
      <c r="F20" s="59" t="s">
        <v>302</v>
      </c>
      <c r="G20" s="61">
        <v>10</v>
      </c>
      <c r="H20" s="61">
        <v>10</v>
      </c>
      <c r="I20" s="73">
        <f>SUM(G20-H20)</f>
        <v>0</v>
      </c>
      <c r="J20" s="73">
        <v>0</v>
      </c>
      <c r="K20" s="73">
        <f>SUM(J20-G20)</f>
        <v>-10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15"/>
      <c r="AA20" s="108"/>
      <c r="AB20" s="108"/>
    </row>
    <row r="21" spans="1:28" ht="13.5" customHeight="1">
      <c r="A21" s="108"/>
      <c r="B21" s="56" t="s">
        <v>372</v>
      </c>
      <c r="C21" s="61" t="s">
        <v>69</v>
      </c>
      <c r="D21" s="110" t="s">
        <v>373</v>
      </c>
      <c r="E21" s="58" t="s">
        <v>348</v>
      </c>
      <c r="F21" s="59" t="s">
        <v>302</v>
      </c>
      <c r="G21" s="61">
        <v>10</v>
      </c>
      <c r="H21" s="61">
        <v>10</v>
      </c>
      <c r="I21" s="73">
        <f>SUM(G21-H21)</f>
        <v>0</v>
      </c>
      <c r="J21" s="73">
        <v>0</v>
      </c>
      <c r="K21" s="73">
        <f>SUM(J21-G21)</f>
        <v>-10</v>
      </c>
      <c r="L21" s="5">
        <v>5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15"/>
      <c r="AA21" s="108"/>
      <c r="AB21" s="108"/>
    </row>
    <row r="22" spans="1:28" ht="13.5" customHeight="1">
      <c r="A22" s="108"/>
      <c r="B22" s="56" t="s">
        <v>374</v>
      </c>
      <c r="C22" s="61" t="s">
        <v>69</v>
      </c>
      <c r="D22" s="110" t="s">
        <v>375</v>
      </c>
      <c r="E22" s="58" t="s">
        <v>353</v>
      </c>
      <c r="F22" s="59" t="s">
        <v>302</v>
      </c>
      <c r="G22" s="61">
        <v>4</v>
      </c>
      <c r="H22" s="61">
        <v>4</v>
      </c>
      <c r="I22" s="73">
        <f>SUM(G22-H22)</f>
        <v>0</v>
      </c>
      <c r="J22" s="73">
        <v>0</v>
      </c>
      <c r="K22" s="73">
        <f>SUM(J22-G22)</f>
        <v>-4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15"/>
      <c r="AA22" s="108"/>
      <c r="AB22" s="108"/>
    </row>
    <row r="23" spans="1:28" ht="13.5" customHeight="1">
      <c r="A23" s="108"/>
      <c r="B23" s="56" t="s">
        <v>376</v>
      </c>
      <c r="C23" s="61" t="s">
        <v>75</v>
      </c>
      <c r="D23" s="110" t="s">
        <v>377</v>
      </c>
      <c r="E23" s="58" t="s">
        <v>343</v>
      </c>
      <c r="F23" s="59" t="s">
        <v>302</v>
      </c>
      <c r="G23" s="61">
        <v>12</v>
      </c>
      <c r="H23" s="61">
        <v>12</v>
      </c>
      <c r="I23" s="73">
        <f>SUM(G23-H23)</f>
        <v>0</v>
      </c>
      <c r="J23" s="73">
        <v>0</v>
      </c>
      <c r="K23" s="73">
        <f>SUM(J23-G23)</f>
        <v>-12</v>
      </c>
      <c r="L23" s="5"/>
      <c r="M23" s="5"/>
      <c r="N23" s="5"/>
      <c r="O23" s="5"/>
      <c r="P23" s="5"/>
      <c r="Q23" s="5"/>
      <c r="R23" s="5"/>
      <c r="S23" s="5"/>
      <c r="T23" s="5">
        <v>10</v>
      </c>
      <c r="U23" s="5">
        <v>5</v>
      </c>
      <c r="V23" s="5">
        <v>0</v>
      </c>
      <c r="W23" s="5"/>
      <c r="X23" s="5"/>
      <c r="Y23" s="5"/>
      <c r="Z23" s="115"/>
      <c r="AA23" s="108"/>
      <c r="AB23" s="108"/>
    </row>
    <row r="24" spans="1:28" ht="13.5" customHeight="1">
      <c r="A24" s="108"/>
      <c r="B24" s="56" t="s">
        <v>378</v>
      </c>
      <c r="C24" s="61" t="s">
        <v>75</v>
      </c>
      <c r="D24" s="110" t="s">
        <v>379</v>
      </c>
      <c r="E24" s="58" t="s">
        <v>348</v>
      </c>
      <c r="F24" s="59" t="s">
        <v>302</v>
      </c>
      <c r="G24" s="61">
        <v>12</v>
      </c>
      <c r="H24" s="61">
        <v>12</v>
      </c>
      <c r="I24" s="73">
        <f>SUM(G24-H24)</f>
        <v>0</v>
      </c>
      <c r="J24" s="73">
        <v>0</v>
      </c>
      <c r="K24" s="73">
        <f>SUM(J24-G24)</f>
        <v>-12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15"/>
      <c r="AA24" s="108"/>
      <c r="AB24" s="108"/>
    </row>
    <row r="25" spans="1:28" ht="13.5" customHeight="1">
      <c r="A25" s="108"/>
      <c r="B25" s="56" t="s">
        <v>380</v>
      </c>
      <c r="C25" s="61" t="s">
        <v>75</v>
      </c>
      <c r="D25" s="110" t="s">
        <v>381</v>
      </c>
      <c r="E25" s="58" t="s">
        <v>348</v>
      </c>
      <c r="F25" s="59" t="s">
        <v>302</v>
      </c>
      <c r="G25" s="61">
        <v>4</v>
      </c>
      <c r="H25" s="61">
        <v>4</v>
      </c>
      <c r="I25" s="73">
        <f>SUM(G25-H25)</f>
        <v>0</v>
      </c>
      <c r="J25" s="73">
        <v>0</v>
      </c>
      <c r="K25" s="73">
        <f>SUM(J25-G25)</f>
        <v>-4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15"/>
      <c r="AA25" s="108"/>
      <c r="AB25" s="108"/>
    </row>
    <row r="26" spans="1:28" ht="13.5" customHeight="1">
      <c r="A26" s="108"/>
      <c r="B26" s="56" t="s">
        <v>382</v>
      </c>
      <c r="C26" s="61" t="s">
        <v>98</v>
      </c>
      <c r="D26" s="110" t="s">
        <v>383</v>
      </c>
      <c r="E26" s="58" t="s">
        <v>365</v>
      </c>
      <c r="F26" s="59" t="s">
        <v>302</v>
      </c>
      <c r="G26" s="61">
        <v>12</v>
      </c>
      <c r="H26" s="61">
        <v>12</v>
      </c>
      <c r="I26" s="73">
        <f>SUM(G26-H26)</f>
        <v>0</v>
      </c>
      <c r="J26" s="73">
        <v>0</v>
      </c>
      <c r="K26" s="73">
        <f>SUM(J26-G26)</f>
        <v>-12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15"/>
      <c r="AA26" s="112"/>
      <c r="AB26" s="108"/>
    </row>
    <row r="27" spans="1:28" ht="13.5" customHeight="1">
      <c r="A27" s="108"/>
      <c r="B27" s="111" t="s">
        <v>384</v>
      </c>
      <c r="C27" s="61" t="s">
        <v>80</v>
      </c>
      <c r="D27" s="110" t="s">
        <v>385</v>
      </c>
      <c r="E27" s="58" t="s">
        <v>365</v>
      </c>
      <c r="F27" s="59" t="s">
        <v>302</v>
      </c>
      <c r="G27" s="61">
        <v>12</v>
      </c>
      <c r="H27" s="61">
        <v>12</v>
      </c>
      <c r="I27" s="73">
        <f>SUM(G27-H27)</f>
        <v>0</v>
      </c>
      <c r="J27" s="73">
        <v>0</v>
      </c>
      <c r="K27" s="73">
        <f>SUM(J27-G27)</f>
        <v>-12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15"/>
      <c r="AA27" s="112"/>
      <c r="AB27" s="108"/>
    </row>
    <row r="28" spans="1:28" s="108" customFormat="1" ht="13.5" customHeight="1">
      <c r="A28"/>
      <c r="B28" s="60" t="s">
        <v>386</v>
      </c>
      <c r="C28" s="61" t="s">
        <v>80</v>
      </c>
      <c r="D28" s="58" t="s">
        <v>387</v>
      </c>
      <c r="E28" s="58" t="s">
        <v>353</v>
      </c>
      <c r="F28" s="59" t="s">
        <v>302</v>
      </c>
      <c r="G28" s="61">
        <v>24</v>
      </c>
      <c r="H28" s="61">
        <v>24</v>
      </c>
      <c r="I28" s="73">
        <f>SUM(G28-H28)</f>
        <v>0</v>
      </c>
      <c r="J28" s="130">
        <v>0</v>
      </c>
      <c r="K28" s="130">
        <f>SUM(J28-G28)</f>
        <v>-24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115"/>
      <c r="AA28" s="112"/>
      <c r="AB28"/>
    </row>
    <row r="29" spans="1:28" ht="13.5" customHeight="1">
      <c r="A29" s="108"/>
      <c r="B29" s="56" t="s">
        <v>388</v>
      </c>
      <c r="C29" s="61" t="s">
        <v>80</v>
      </c>
      <c r="D29" s="110" t="s">
        <v>389</v>
      </c>
      <c r="E29" s="114" t="s">
        <v>353</v>
      </c>
      <c r="F29" s="59" t="s">
        <v>302</v>
      </c>
      <c r="G29" s="61">
        <v>5</v>
      </c>
      <c r="H29" s="61">
        <v>5</v>
      </c>
      <c r="I29" s="73">
        <f>SUM(G29-H29)</f>
        <v>0</v>
      </c>
      <c r="J29" s="73">
        <v>0</v>
      </c>
      <c r="K29" s="73">
        <f>SUM(J29-G29)</f>
        <v>-5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115"/>
      <c r="AA29" s="112"/>
      <c r="AB29" s="108"/>
    </row>
    <row r="30" spans="1:28" ht="13.5" customHeight="1">
      <c r="A30" s="108"/>
      <c r="B30" s="56" t="s">
        <v>390</v>
      </c>
      <c r="C30" s="61" t="s">
        <v>114</v>
      </c>
      <c r="D30" s="110" t="s">
        <v>391</v>
      </c>
      <c r="E30" s="110" t="s">
        <v>365</v>
      </c>
      <c r="F30" s="59" t="s">
        <v>302</v>
      </c>
      <c r="G30" s="61">
        <v>8</v>
      </c>
      <c r="H30" s="61">
        <v>8</v>
      </c>
      <c r="I30" s="73">
        <f>SUM(G30-H30)</f>
        <v>0</v>
      </c>
      <c r="J30" s="73">
        <v>12</v>
      </c>
      <c r="K30" s="73">
        <f t="shared" ref="K30:K32" si="0">SUM(J30-G30)</f>
        <v>4</v>
      </c>
      <c r="L30" s="5">
        <v>8</v>
      </c>
      <c r="M30" s="5">
        <v>2</v>
      </c>
      <c r="N30" s="5">
        <v>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115"/>
      <c r="AA30" s="108"/>
      <c r="AB30" s="108"/>
    </row>
    <row r="31" spans="1:28" ht="13.5" customHeight="1">
      <c r="A31" s="108"/>
      <c r="B31" s="56" t="s">
        <v>392</v>
      </c>
      <c r="C31" s="61" t="s">
        <v>119</v>
      </c>
      <c r="D31" s="110" t="s">
        <v>393</v>
      </c>
      <c r="E31" s="58" t="s">
        <v>358</v>
      </c>
      <c r="F31" s="59" t="s">
        <v>302</v>
      </c>
      <c r="G31" s="61">
        <v>4</v>
      </c>
      <c r="H31" s="61">
        <v>4</v>
      </c>
      <c r="I31" s="73">
        <f>SUM(G31-H31)</f>
        <v>0</v>
      </c>
      <c r="J31" s="73">
        <v>12</v>
      </c>
      <c r="K31" s="73">
        <f t="shared" si="0"/>
        <v>8</v>
      </c>
      <c r="L31" s="5"/>
      <c r="M31" s="5"/>
      <c r="N31" s="5"/>
      <c r="O31" s="5"/>
      <c r="P31" s="5"/>
      <c r="Q31" s="5"/>
      <c r="R31" s="5"/>
      <c r="S31" s="5">
        <v>8</v>
      </c>
      <c r="T31" s="5">
        <v>2</v>
      </c>
      <c r="U31" s="5">
        <v>0</v>
      </c>
      <c r="V31" s="5"/>
      <c r="W31" s="5"/>
      <c r="X31" s="5"/>
      <c r="Y31" s="5"/>
      <c r="Z31" s="115"/>
      <c r="AA31" s="108"/>
      <c r="AB31" s="108"/>
    </row>
    <row r="32" spans="1:28" s="108" customFormat="1" ht="13.5" customHeight="1">
      <c r="B32" s="56" t="s">
        <v>394</v>
      </c>
      <c r="C32" s="61" t="s">
        <v>119</v>
      </c>
      <c r="D32" s="110" t="s">
        <v>395</v>
      </c>
      <c r="E32" s="58" t="s">
        <v>365</v>
      </c>
      <c r="F32" s="59" t="s">
        <v>302</v>
      </c>
      <c r="G32" s="61">
        <v>8</v>
      </c>
      <c r="H32" s="61">
        <v>8</v>
      </c>
      <c r="I32" s="73">
        <f>SUM(G32-H32)</f>
        <v>0</v>
      </c>
      <c r="J32" s="73">
        <v>10</v>
      </c>
      <c r="K32" s="73">
        <f t="shared" si="0"/>
        <v>2</v>
      </c>
      <c r="L32" s="5"/>
      <c r="M32" s="5"/>
      <c r="N32" s="5">
        <v>5</v>
      </c>
      <c r="O32" s="5">
        <v>0</v>
      </c>
      <c r="P32" s="5"/>
      <c r="Q32" s="5"/>
      <c r="R32" s="5"/>
      <c r="S32" s="5"/>
      <c r="T32" s="5"/>
      <c r="U32" s="5"/>
      <c r="V32" s="5"/>
      <c r="W32" s="5"/>
      <c r="X32" s="5"/>
      <c r="Y32" s="5"/>
      <c r="Z32" s="115"/>
    </row>
    <row r="33" spans="1:28" ht="13.5" customHeight="1">
      <c r="A33" s="108"/>
      <c r="B33" s="56"/>
      <c r="C33" s="61"/>
      <c r="D33" s="58"/>
      <c r="E33" s="58"/>
      <c r="F33" s="58"/>
      <c r="G33" s="61"/>
      <c r="H33" s="73"/>
      <c r="I33" s="73"/>
      <c r="J33" s="73"/>
      <c r="K33" s="73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74"/>
      <c r="AB33" s="108"/>
    </row>
    <row r="34" spans="1:28" ht="13.5" customHeight="1">
      <c r="A34" s="108"/>
      <c r="B34" s="56"/>
      <c r="C34" s="61"/>
      <c r="D34" s="58"/>
      <c r="E34" s="58"/>
      <c r="F34" s="58" t="s">
        <v>267</v>
      </c>
      <c r="G34" s="61">
        <f>SUM(G8:G32)</f>
        <v>241</v>
      </c>
      <c r="H34" s="73">
        <f>SUM(H8:H31)</f>
        <v>233</v>
      </c>
      <c r="I34" s="73">
        <f>SUM(I8:I32)</f>
        <v>0</v>
      </c>
      <c r="J34" s="73">
        <f>SUM(J8:J32)</f>
        <v>96</v>
      </c>
      <c r="K34" s="73">
        <f>SUM(K8:K32)</f>
        <v>-145</v>
      </c>
      <c r="L34" s="5">
        <f>SUBTOTAL(9,L7:L32)</f>
        <v>41</v>
      </c>
      <c r="M34" s="5">
        <f>SUBTOTAL(9,M7:M32)</f>
        <v>20</v>
      </c>
      <c r="N34" s="5">
        <f t="shared" ref="N34:Z34" si="1">SUBTOTAL(9,N7:N32)</f>
        <v>19</v>
      </c>
      <c r="O34" s="5">
        <f t="shared" si="1"/>
        <v>18</v>
      </c>
      <c r="P34" s="5">
        <f t="shared" si="1"/>
        <v>6</v>
      </c>
      <c r="Q34" s="5">
        <f t="shared" si="1"/>
        <v>0</v>
      </c>
      <c r="R34" s="5">
        <f t="shared" si="1"/>
        <v>8</v>
      </c>
      <c r="S34" s="5">
        <f t="shared" si="1"/>
        <v>8</v>
      </c>
      <c r="T34" s="5">
        <f t="shared" si="1"/>
        <v>18</v>
      </c>
      <c r="U34" s="5">
        <f t="shared" si="1"/>
        <v>13</v>
      </c>
      <c r="V34" s="5">
        <f t="shared" si="1"/>
        <v>0</v>
      </c>
      <c r="W34" s="5">
        <f t="shared" si="1"/>
        <v>0</v>
      </c>
      <c r="X34" s="5">
        <f t="shared" si="1"/>
        <v>0</v>
      </c>
      <c r="Y34" s="5">
        <f t="shared" si="1"/>
        <v>0</v>
      </c>
      <c r="Z34" s="5">
        <f t="shared" si="1"/>
        <v>0</v>
      </c>
      <c r="AA34" s="108"/>
      <c r="AB34" s="108"/>
    </row>
    <row r="35" spans="1:28" ht="13.5" customHeight="1">
      <c r="A35" s="108"/>
      <c r="B35" s="56"/>
      <c r="C35" s="61"/>
      <c r="D35" s="58"/>
      <c r="E35" s="58"/>
      <c r="F35" s="58" t="s">
        <v>333</v>
      </c>
      <c r="G35" s="61"/>
      <c r="H35" s="73"/>
      <c r="I35" s="73"/>
      <c r="J35" s="73"/>
      <c r="K35" s="73"/>
      <c r="L35" s="5">
        <f>G34-L34</f>
        <v>200</v>
      </c>
      <c r="M35" s="5">
        <f t="shared" ref="M35:Z35" si="2">L35-M34</f>
        <v>180</v>
      </c>
      <c r="N35" s="5">
        <f t="shared" si="2"/>
        <v>161</v>
      </c>
      <c r="O35" s="5">
        <f t="shared" si="2"/>
        <v>143</v>
      </c>
      <c r="P35" s="5">
        <f t="shared" si="2"/>
        <v>137</v>
      </c>
      <c r="Q35" s="5">
        <f t="shared" si="2"/>
        <v>137</v>
      </c>
      <c r="R35" s="5">
        <f t="shared" si="2"/>
        <v>129</v>
      </c>
      <c r="S35" s="5">
        <f t="shared" si="2"/>
        <v>121</v>
      </c>
      <c r="T35" s="5">
        <f t="shared" si="2"/>
        <v>103</v>
      </c>
      <c r="U35" s="5">
        <f t="shared" si="2"/>
        <v>90</v>
      </c>
      <c r="V35" s="5">
        <f t="shared" si="2"/>
        <v>90</v>
      </c>
      <c r="W35" s="5">
        <f t="shared" si="2"/>
        <v>90</v>
      </c>
      <c r="X35" s="5">
        <f t="shared" si="2"/>
        <v>90</v>
      </c>
      <c r="Y35" s="5">
        <f t="shared" si="2"/>
        <v>90</v>
      </c>
      <c r="Z35" s="5">
        <f t="shared" si="2"/>
        <v>90</v>
      </c>
      <c r="AA35" s="108"/>
      <c r="AB35" s="108"/>
    </row>
    <row r="36" spans="1:28" ht="13.5" customHeight="1">
      <c r="A36" s="108"/>
      <c r="B36" s="56"/>
      <c r="C36" s="61"/>
      <c r="D36" s="58"/>
      <c r="E36" s="58"/>
      <c r="F36" s="58" t="s">
        <v>334</v>
      </c>
      <c r="G36" s="61"/>
      <c r="H36" s="73"/>
      <c r="I36" s="73"/>
      <c r="J36" s="73"/>
      <c r="K36" s="73"/>
      <c r="L36" s="5">
        <f>L34</f>
        <v>41</v>
      </c>
      <c r="M36" s="5">
        <f t="shared" ref="M36:Z36" si="3">L36+M34</f>
        <v>61</v>
      </c>
      <c r="N36" s="5">
        <f t="shared" si="3"/>
        <v>80</v>
      </c>
      <c r="O36" s="5">
        <f t="shared" si="3"/>
        <v>98</v>
      </c>
      <c r="P36" s="5">
        <f t="shared" si="3"/>
        <v>104</v>
      </c>
      <c r="Q36" s="5">
        <f t="shared" si="3"/>
        <v>104</v>
      </c>
      <c r="R36" s="5">
        <f t="shared" si="3"/>
        <v>112</v>
      </c>
      <c r="S36" s="5">
        <f t="shared" si="3"/>
        <v>120</v>
      </c>
      <c r="T36" s="5">
        <f t="shared" si="3"/>
        <v>138</v>
      </c>
      <c r="U36" s="5">
        <f t="shared" si="3"/>
        <v>151</v>
      </c>
      <c r="V36" s="5">
        <f t="shared" si="3"/>
        <v>151</v>
      </c>
      <c r="W36" s="5">
        <f t="shared" si="3"/>
        <v>151</v>
      </c>
      <c r="X36" s="5">
        <f t="shared" si="3"/>
        <v>151</v>
      </c>
      <c r="Y36" s="5">
        <f t="shared" si="3"/>
        <v>151</v>
      </c>
      <c r="Z36" s="5">
        <f t="shared" si="3"/>
        <v>151</v>
      </c>
      <c r="AA36" s="108"/>
      <c r="AB36" s="108"/>
    </row>
    <row r="37" spans="1:28" ht="13.5" customHeight="1">
      <c r="A37" s="108"/>
      <c r="B37" s="49"/>
      <c r="C37" s="50"/>
      <c r="D37" s="108"/>
      <c r="E37" s="108"/>
      <c r="F37" s="108"/>
      <c r="G37" s="108"/>
      <c r="H37" s="108"/>
      <c r="I37" s="108"/>
      <c r="J37" s="145"/>
      <c r="K37" s="145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  <c r="AA37" s="145"/>
      <c r="AB37" s="145"/>
    </row>
    <row r="38" spans="1:28" ht="13.5" customHeight="1">
      <c r="A38" s="108"/>
      <c r="B38" s="49"/>
      <c r="C38" s="50"/>
      <c r="D38" s="108"/>
      <c r="E38" s="108"/>
      <c r="F38" s="108"/>
      <c r="G38" s="108"/>
      <c r="H38" s="108"/>
      <c r="I38" s="108"/>
      <c r="J38" s="145"/>
      <c r="K38" s="145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</row>
    <row r="39" spans="1:28" ht="13.5" customHeight="1">
      <c r="A39" s="108"/>
      <c r="B39" s="49"/>
      <c r="C39" s="50"/>
      <c r="D39" s="108"/>
      <c r="E39" s="108"/>
      <c r="F39" s="108"/>
      <c r="G39" s="108"/>
      <c r="H39" s="108"/>
      <c r="I39" s="108"/>
      <c r="J39" s="145"/>
      <c r="K39" s="145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</row>
    <row r="40" spans="1:28" ht="13.5" customHeight="1">
      <c r="A40" s="108"/>
      <c r="B40" s="49"/>
      <c r="C40" s="50"/>
      <c r="D40" s="108"/>
      <c r="E40" s="108"/>
      <c r="F40" s="108"/>
      <c r="G40" s="108"/>
      <c r="H40" s="108"/>
      <c r="I40" s="108"/>
      <c r="J40" s="145" t="s">
        <v>335</v>
      </c>
      <c r="K40" s="145"/>
      <c r="L40" s="108">
        <v>1</v>
      </c>
      <c r="M40" s="108">
        <v>2</v>
      </c>
      <c r="N40" s="108">
        <v>3</v>
      </c>
      <c r="O40" s="108">
        <v>4</v>
      </c>
      <c r="P40" s="108">
        <v>5</v>
      </c>
      <c r="Q40" s="108">
        <v>6</v>
      </c>
      <c r="R40" s="108">
        <v>7</v>
      </c>
      <c r="S40" s="108">
        <v>8</v>
      </c>
      <c r="T40" s="108">
        <v>9</v>
      </c>
      <c r="U40" s="108">
        <v>10</v>
      </c>
      <c r="V40" s="108">
        <v>11</v>
      </c>
      <c r="W40" s="108">
        <v>12</v>
      </c>
      <c r="X40" s="108">
        <v>13</v>
      </c>
      <c r="Y40" s="108">
        <v>14</v>
      </c>
      <c r="Z40" s="108">
        <v>15</v>
      </c>
      <c r="AA40" s="108" t="s">
        <v>336</v>
      </c>
      <c r="AB40" s="108"/>
    </row>
    <row r="41" spans="1:28" ht="13.5" customHeight="1">
      <c r="A41" s="108"/>
      <c r="B41" s="49"/>
      <c r="C41" s="50"/>
      <c r="D41" s="108"/>
      <c r="E41" s="108"/>
      <c r="F41" s="108"/>
      <c r="G41" s="108"/>
      <c r="H41" s="108"/>
      <c r="I41" s="108"/>
      <c r="J41" s="145" t="s">
        <v>9</v>
      </c>
      <c r="K41" s="145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108">
        <f>SUM(L38:Z38)</f>
        <v>0</v>
      </c>
      <c r="AB41" s="108"/>
    </row>
    <row r="42" spans="1:28" ht="13.5" customHeight="1">
      <c r="A42" s="108"/>
      <c r="B42" s="49"/>
      <c r="C42" s="50"/>
      <c r="D42" s="108"/>
      <c r="E42" s="108"/>
      <c r="F42" s="108"/>
      <c r="G42" s="108"/>
      <c r="H42" s="108"/>
      <c r="I42" s="108"/>
      <c r="J42" s="145" t="s">
        <v>7</v>
      </c>
      <c r="K42" s="145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>
        <f>SUM(L39:Z39)</f>
        <v>0</v>
      </c>
      <c r="AB42" s="108"/>
    </row>
    <row r="43" spans="1:28" ht="13.5" customHeight="1">
      <c r="A43" s="108"/>
      <c r="B43" s="49"/>
      <c r="C43" s="50"/>
      <c r="D43" s="108"/>
      <c r="E43" s="108"/>
      <c r="F43" s="108"/>
      <c r="G43" s="108"/>
      <c r="H43" s="108"/>
      <c r="I43" s="108"/>
      <c r="J43" s="108" t="s">
        <v>13</v>
      </c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>
        <f>SUM(L40:Z40)</f>
        <v>120</v>
      </c>
      <c r="AB43" s="108"/>
    </row>
    <row r="44" spans="1:28" ht="13.5" customHeight="1">
      <c r="A44" s="108"/>
      <c r="B44" s="49"/>
      <c r="C44" s="50"/>
      <c r="D44" s="108"/>
      <c r="E44" s="108"/>
      <c r="F44" s="108"/>
      <c r="G44" s="108"/>
      <c r="H44" s="108"/>
      <c r="I44" s="108"/>
      <c r="J44" s="108" t="s">
        <v>337</v>
      </c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>
        <f>SUM(L41:Z41)</f>
        <v>0</v>
      </c>
      <c r="AB44" s="108"/>
    </row>
    <row r="45" spans="1:28" ht="12.75" customHeight="1">
      <c r="A45" s="108"/>
      <c r="B45" s="49"/>
      <c r="C45" s="50"/>
      <c r="D45" s="108"/>
      <c r="E45" s="108"/>
      <c r="F45" s="108"/>
      <c r="G45" s="108"/>
      <c r="H45" s="108"/>
      <c r="I45" s="108"/>
      <c r="J45" s="108" t="s">
        <v>14</v>
      </c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>
        <f>SUM(L42:Z42)</f>
        <v>0</v>
      </c>
      <c r="AB45" s="108"/>
    </row>
    <row r="46" spans="1:28" ht="12.75" customHeight="1">
      <c r="A46" s="108"/>
      <c r="B46" s="49"/>
      <c r="C46" s="50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 t="s">
        <v>396</v>
      </c>
      <c r="Z46" s="108"/>
      <c r="AA46" s="108">
        <f>SUM(AA38:AA42)</f>
        <v>0</v>
      </c>
      <c r="AB46" s="108"/>
    </row>
    <row r="47" spans="1:28" ht="12.75" customHeight="1">
      <c r="A47" s="108"/>
      <c r="B47" s="49"/>
      <c r="C47" s="50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</row>
    <row r="48" spans="1:28" ht="13.5" customHeight="1">
      <c r="A48" s="108"/>
      <c r="B48" s="49"/>
      <c r="C48" s="50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</row>
    <row r="49" spans="1:28" ht="13.5" customHeight="1">
      <c r="A49" s="108"/>
      <c r="B49" s="49"/>
      <c r="C49" s="50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</row>
    <row r="50" spans="1:28" ht="13.5" customHeight="1">
      <c r="A50" s="108"/>
      <c r="B50" s="49"/>
      <c r="C50" s="50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</row>
    <row r="51" spans="1:28" ht="13.5" customHeight="1">
      <c r="A51" s="108"/>
      <c r="B51" s="49"/>
      <c r="C51" s="50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</row>
    <row r="52" spans="1:28" ht="13.5" customHeight="1">
      <c r="A52" s="108"/>
      <c r="B52" s="49"/>
      <c r="C52" s="50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</row>
    <row r="53" spans="1:28" ht="13.5" customHeight="1">
      <c r="A53" s="108"/>
      <c r="B53" s="49"/>
      <c r="C53" s="50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</row>
    <row r="54" spans="1:28" ht="13.5" customHeight="1">
      <c r="A54" s="108"/>
      <c r="B54" s="49"/>
      <c r="C54" s="50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</row>
    <row r="55" spans="1:28" ht="13.5" customHeight="1">
      <c r="A55" s="108"/>
      <c r="B55" s="49"/>
      <c r="C55" s="50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</row>
    <row r="56" spans="1:28" ht="13.5" customHeight="1">
      <c r="A56" s="108"/>
      <c r="B56" s="49"/>
      <c r="C56" s="50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</row>
    <row r="57" spans="1:28" ht="13.5" customHeight="1">
      <c r="A57" s="108"/>
      <c r="B57" s="49"/>
      <c r="C57" s="50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</row>
    <row r="58" spans="1:28" ht="13.5" customHeight="1">
      <c r="A58" s="108"/>
      <c r="B58" s="49"/>
      <c r="C58" s="50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</row>
    <row r="59" spans="1:28" ht="13.5" customHeight="1">
      <c r="A59" s="108"/>
      <c r="B59" s="49"/>
      <c r="C59" s="50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</row>
    <row r="60" spans="1:28" ht="13.5" customHeight="1">
      <c r="A60" s="108"/>
      <c r="B60" s="49"/>
      <c r="C60" s="50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</row>
    <row r="61" spans="1:28" ht="13.5" customHeight="1">
      <c r="A61" s="108"/>
      <c r="B61" s="49"/>
      <c r="C61" s="50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</row>
    <row r="62" spans="1:28" ht="13.5" customHeight="1">
      <c r="A62" s="108"/>
      <c r="B62" s="49"/>
      <c r="C62" s="50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</row>
    <row r="63" spans="1:28" ht="13.5" customHeight="1">
      <c r="A63" s="108"/>
      <c r="B63" s="49"/>
      <c r="C63" s="50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</row>
    <row r="64" spans="1:28" ht="13.5" customHeight="1">
      <c r="A64" s="108"/>
      <c r="B64" s="49"/>
      <c r="C64" s="50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</row>
    <row r="65" spans="1:28" ht="13.5" customHeight="1">
      <c r="A65" s="108"/>
      <c r="B65" s="49"/>
      <c r="C65" s="50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</row>
    <row r="66" spans="1:28" ht="13.5" customHeight="1">
      <c r="A66" s="108"/>
      <c r="B66" s="49"/>
      <c r="C66" s="50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</row>
    <row r="67" spans="1:28" ht="13.5" customHeight="1">
      <c r="A67" s="108"/>
      <c r="B67" s="49"/>
      <c r="C67" s="50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</row>
    <row r="68" spans="1:28" ht="13.5" customHeight="1">
      <c r="A68" s="108"/>
      <c r="B68" s="49"/>
      <c r="C68" s="50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</row>
    <row r="69" spans="1:28" ht="13.5" customHeight="1">
      <c r="A69" s="108"/>
      <c r="B69" s="49"/>
      <c r="C69" s="50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</row>
    <row r="70" spans="1:28" ht="13.5" customHeight="1">
      <c r="A70" s="108"/>
      <c r="B70" s="49"/>
      <c r="C70" s="50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</row>
    <row r="71" spans="1:28" ht="13.5" customHeight="1">
      <c r="A71" s="108"/>
      <c r="B71" s="49"/>
      <c r="C71" s="50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</row>
    <row r="72" spans="1:28" ht="13.5" customHeight="1">
      <c r="A72" s="108"/>
      <c r="B72" s="49"/>
      <c r="C72" s="50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</row>
    <row r="73" spans="1:28" ht="13.5" customHeight="1">
      <c r="A73" s="108"/>
      <c r="B73" s="49"/>
      <c r="C73" s="50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</row>
    <row r="74" spans="1:28" ht="13.5" customHeight="1">
      <c r="A74" s="108"/>
      <c r="B74" s="49"/>
      <c r="C74" s="50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</row>
    <row r="75" spans="1:28" ht="13.5" customHeight="1">
      <c r="A75" s="108"/>
      <c r="B75" s="49"/>
      <c r="C75" s="50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</row>
    <row r="76" spans="1:28" ht="13.5" customHeight="1">
      <c r="A76" s="108"/>
      <c r="B76" s="49"/>
      <c r="C76" s="50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</row>
    <row r="77" spans="1:28" ht="13.5" customHeight="1">
      <c r="A77" s="108"/>
      <c r="B77" s="49"/>
      <c r="C77" s="50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</row>
    <row r="78" spans="1:28" ht="13.5" customHeight="1">
      <c r="A78" s="108"/>
      <c r="B78" s="49"/>
      <c r="C78" s="50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</row>
    <row r="79" spans="1:28" ht="13.5" customHeight="1">
      <c r="A79" s="108"/>
      <c r="B79" s="49"/>
      <c r="C79" s="50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</row>
    <row r="80" spans="1:28" ht="13.5" customHeight="1">
      <c r="A80" s="108"/>
      <c r="B80" s="49"/>
      <c r="C80" s="50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</row>
    <row r="81" spans="1:28" ht="13.5" customHeight="1">
      <c r="A81" s="108"/>
      <c r="B81" s="49"/>
      <c r="C81" s="50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</row>
    <row r="82" spans="1:28" ht="13.5" customHeight="1">
      <c r="A82" s="108"/>
      <c r="B82" s="49"/>
      <c r="C82" s="50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</row>
    <row r="83" spans="1:28" ht="13.5" customHeight="1">
      <c r="A83" s="108"/>
      <c r="B83" s="49"/>
      <c r="C83" s="50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</row>
    <row r="84" spans="1:28" ht="13.5" customHeight="1">
      <c r="A84" s="108"/>
      <c r="B84" s="49"/>
      <c r="C84" s="50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</row>
    <row r="85" spans="1:28" ht="13.5" customHeight="1">
      <c r="A85" s="108"/>
      <c r="B85" s="49"/>
      <c r="C85" s="50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</row>
    <row r="86" spans="1:28" ht="13.5" customHeight="1">
      <c r="A86" s="108"/>
      <c r="B86" s="49"/>
      <c r="C86" s="50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</row>
    <row r="87" spans="1:28" ht="13.5" customHeight="1">
      <c r="A87" s="108"/>
      <c r="B87" s="49"/>
      <c r="C87" s="50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</row>
    <row r="88" spans="1:28" ht="13.5" customHeight="1">
      <c r="A88" s="108"/>
      <c r="B88" s="49"/>
      <c r="C88" s="50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</row>
    <row r="89" spans="1:28" ht="13.5" customHeight="1">
      <c r="A89" s="108"/>
      <c r="B89" s="49"/>
      <c r="C89" s="50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</row>
    <row r="90" spans="1:28" ht="13.5" customHeight="1">
      <c r="A90" s="108"/>
      <c r="B90" s="49"/>
      <c r="C90" s="50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</row>
    <row r="91" spans="1:28" ht="13.5" customHeight="1">
      <c r="A91" s="108"/>
      <c r="B91" s="49"/>
      <c r="C91" s="50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</row>
    <row r="92" spans="1:28" ht="13.5" customHeight="1">
      <c r="A92" s="108"/>
      <c r="B92" s="49"/>
      <c r="C92" s="50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</row>
    <row r="93" spans="1:28" ht="13.5" customHeight="1">
      <c r="A93" s="108"/>
      <c r="B93" s="49"/>
      <c r="C93" s="50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</row>
    <row r="94" spans="1:28" ht="13.5" customHeight="1">
      <c r="A94" s="108"/>
      <c r="B94" s="49"/>
      <c r="C94" s="50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</row>
    <row r="95" spans="1:28" ht="13.5" customHeight="1">
      <c r="A95" s="108"/>
      <c r="B95" s="49"/>
      <c r="C95" s="50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</row>
    <row r="96" spans="1:28" ht="13.5" customHeight="1">
      <c r="A96" s="108"/>
      <c r="B96" s="49"/>
      <c r="C96" s="50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</row>
    <row r="97" spans="1:28" ht="13.5" customHeight="1">
      <c r="A97" s="108"/>
      <c r="B97" s="49"/>
      <c r="C97" s="50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</row>
    <row r="98" spans="1:28" ht="13.5" customHeight="1">
      <c r="A98" s="108"/>
      <c r="B98" s="49"/>
      <c r="C98" s="50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</row>
    <row r="99" spans="1:28" ht="13.5" customHeight="1">
      <c r="A99" s="108"/>
      <c r="B99" s="49"/>
      <c r="C99" s="50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</row>
    <row r="100" spans="1:28" ht="13.5" customHeight="1">
      <c r="A100" s="108"/>
      <c r="B100" s="49"/>
      <c r="C100" s="50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</row>
    <row r="101" spans="1:28" ht="13.5" customHeight="1">
      <c r="A101" s="108"/>
      <c r="B101" s="49"/>
      <c r="C101" s="50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</row>
    <row r="102" spans="1:28" ht="13.5" customHeight="1">
      <c r="A102" s="108"/>
      <c r="B102" s="49"/>
      <c r="C102" s="50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</row>
    <row r="103" spans="1:28" ht="13.5" customHeight="1">
      <c r="A103" s="108"/>
      <c r="B103" s="49"/>
      <c r="C103" s="50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</row>
    <row r="104" spans="1:28" ht="13.5" customHeight="1">
      <c r="A104" s="108"/>
      <c r="B104" s="49"/>
      <c r="C104" s="50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</row>
    <row r="105" spans="1:28" ht="13.5" customHeight="1">
      <c r="A105" s="108"/>
      <c r="B105" s="49"/>
      <c r="C105" s="50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</row>
    <row r="106" spans="1:28" ht="13.5" customHeight="1">
      <c r="A106" s="108"/>
      <c r="B106" s="49"/>
      <c r="C106" s="50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</row>
    <row r="107" spans="1:28" ht="13.5" customHeight="1">
      <c r="A107" s="108"/>
      <c r="B107" s="49"/>
      <c r="C107" s="50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</row>
    <row r="108" spans="1:28" ht="13.5" customHeight="1">
      <c r="A108" s="108"/>
      <c r="B108" s="49"/>
      <c r="C108" s="50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</row>
    <row r="109" spans="1:28" ht="13.5" customHeight="1">
      <c r="A109" s="108"/>
      <c r="B109" s="49"/>
      <c r="C109" s="50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</row>
    <row r="110" spans="1:28" ht="13.5" customHeight="1">
      <c r="A110" s="108"/>
      <c r="B110" s="49"/>
      <c r="C110" s="50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</row>
    <row r="111" spans="1:28" ht="13.5" customHeight="1">
      <c r="A111" s="108"/>
      <c r="B111" s="49"/>
      <c r="C111" s="50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</row>
    <row r="112" spans="1:28" ht="13.5" customHeight="1">
      <c r="A112" s="108"/>
      <c r="B112" s="49"/>
      <c r="C112" s="50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</row>
    <row r="113" spans="1:28" ht="13.5" customHeight="1">
      <c r="A113" s="108"/>
      <c r="B113" s="49"/>
      <c r="C113" s="50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</row>
    <row r="114" spans="1:28" ht="13.5" customHeight="1">
      <c r="A114" s="108"/>
      <c r="B114" s="49"/>
      <c r="C114" s="50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</row>
    <row r="115" spans="1:28" ht="13.5" customHeight="1">
      <c r="A115" s="108"/>
      <c r="B115" s="49"/>
      <c r="C115" s="50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</row>
    <row r="116" spans="1:28" ht="13.5" customHeight="1">
      <c r="A116" s="108"/>
      <c r="B116" s="49"/>
      <c r="C116" s="50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</row>
    <row r="117" spans="1:28" ht="13.5" customHeight="1">
      <c r="A117" s="108"/>
      <c r="B117" s="49"/>
      <c r="C117" s="50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</row>
    <row r="118" spans="1:28" ht="13.5" customHeight="1">
      <c r="A118" s="108"/>
      <c r="B118" s="49"/>
      <c r="C118" s="50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</row>
    <row r="119" spans="1:28" ht="13.5" customHeight="1">
      <c r="A119" s="108"/>
      <c r="B119" s="49"/>
      <c r="C119" s="50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</row>
    <row r="120" spans="1:28" ht="13.5" customHeight="1">
      <c r="A120" s="108"/>
      <c r="B120" s="49"/>
      <c r="C120" s="50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</row>
    <row r="121" spans="1:28" ht="13.5" customHeight="1">
      <c r="A121" s="108"/>
      <c r="B121" s="49"/>
      <c r="C121" s="50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</row>
    <row r="122" spans="1:28" ht="13.5" customHeight="1">
      <c r="A122" s="108"/>
      <c r="B122" s="49"/>
      <c r="C122" s="50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</row>
    <row r="123" spans="1:28" ht="13.5" customHeight="1">
      <c r="A123" s="108"/>
      <c r="B123" s="49"/>
      <c r="C123" s="50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</row>
    <row r="124" spans="1:28" ht="13.5" customHeight="1">
      <c r="A124" s="108"/>
      <c r="B124" s="49"/>
      <c r="C124" s="50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</row>
    <row r="125" spans="1:28" ht="13.5" customHeight="1">
      <c r="A125" s="108"/>
      <c r="B125" s="49"/>
      <c r="C125" s="50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</row>
    <row r="126" spans="1:28" ht="13.5" customHeight="1">
      <c r="A126" s="108"/>
      <c r="B126" s="49"/>
      <c r="C126" s="50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</row>
    <row r="127" spans="1:28" ht="13.5" customHeight="1">
      <c r="A127" s="108"/>
      <c r="B127" s="49"/>
      <c r="C127" s="50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</row>
    <row r="128" spans="1:28" ht="13.5" customHeight="1">
      <c r="A128" s="108"/>
      <c r="B128" s="49"/>
      <c r="C128" s="50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</row>
    <row r="129" spans="1:28" ht="13.5" customHeight="1">
      <c r="A129" s="108"/>
      <c r="B129" s="49"/>
      <c r="C129" s="50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</row>
    <row r="130" spans="1:28" ht="13.5" customHeight="1">
      <c r="A130" s="108"/>
      <c r="B130" s="49"/>
      <c r="C130" s="50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</row>
    <row r="131" spans="1:28" ht="13.5" customHeight="1">
      <c r="A131" s="108"/>
      <c r="B131" s="49"/>
      <c r="C131" s="50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</row>
    <row r="132" spans="1:28" ht="13.5" customHeight="1">
      <c r="A132" s="108"/>
      <c r="B132" s="49"/>
      <c r="C132" s="50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</row>
    <row r="133" spans="1:28" ht="13.5" customHeight="1">
      <c r="A133" s="108"/>
      <c r="B133" s="49"/>
      <c r="C133" s="50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</row>
    <row r="134" spans="1:28" ht="13.5" customHeight="1">
      <c r="A134" s="108"/>
      <c r="B134" s="49"/>
      <c r="C134" s="50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</row>
    <row r="135" spans="1:28" ht="13.5" customHeight="1">
      <c r="A135" s="108"/>
      <c r="B135" s="49"/>
      <c r="C135" s="50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</row>
    <row r="136" spans="1:28" ht="13.5" customHeight="1">
      <c r="A136" s="108"/>
      <c r="B136" s="49"/>
      <c r="C136" s="50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</row>
    <row r="137" spans="1:28" ht="13.5" customHeight="1">
      <c r="A137" s="108"/>
      <c r="B137" s="49"/>
      <c r="C137" s="50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</row>
    <row r="138" spans="1:28" ht="13.5" customHeight="1">
      <c r="A138" s="108"/>
      <c r="B138" s="49"/>
      <c r="C138" s="50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</row>
    <row r="139" spans="1:28" ht="13.5" customHeight="1">
      <c r="A139" s="108"/>
      <c r="B139" s="49"/>
      <c r="C139" s="50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</row>
    <row r="140" spans="1:28" ht="13.5" customHeight="1">
      <c r="A140" s="108"/>
      <c r="B140" s="49"/>
      <c r="C140" s="50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</row>
    <row r="141" spans="1:28" ht="13.5" customHeight="1">
      <c r="A141" s="108"/>
      <c r="B141" s="49"/>
      <c r="C141" s="50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</row>
    <row r="142" spans="1:28" ht="13.5" customHeight="1">
      <c r="A142" s="108"/>
      <c r="B142" s="49"/>
      <c r="C142" s="50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</row>
    <row r="143" spans="1:28" ht="13.5" customHeight="1">
      <c r="A143" s="108"/>
      <c r="B143" s="49"/>
      <c r="C143" s="50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</row>
    <row r="144" spans="1:28" ht="13.5" customHeight="1">
      <c r="A144" s="108"/>
      <c r="B144" s="49"/>
      <c r="C144" s="50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</row>
    <row r="145" spans="1:28" ht="13.5" customHeight="1">
      <c r="A145" s="108"/>
      <c r="B145" s="49"/>
      <c r="C145" s="50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</row>
    <row r="146" spans="1:28" ht="13.5" customHeight="1">
      <c r="A146" s="108"/>
      <c r="B146" s="49"/>
      <c r="C146" s="50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</row>
    <row r="147" spans="1:28" ht="13.5" customHeight="1">
      <c r="A147" s="108"/>
      <c r="B147" s="49"/>
      <c r="C147" s="50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</row>
    <row r="148" spans="1:28" ht="13.5" customHeight="1">
      <c r="A148" s="108"/>
      <c r="B148" s="49"/>
      <c r="C148" s="50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</row>
    <row r="149" spans="1:28" ht="13.5" customHeight="1">
      <c r="A149" s="108"/>
      <c r="B149" s="49"/>
      <c r="C149" s="50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</row>
    <row r="150" spans="1:28" ht="13.5" customHeight="1">
      <c r="A150" s="108"/>
      <c r="B150" s="49"/>
      <c r="C150" s="50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</row>
    <row r="151" spans="1:28" ht="13.5" customHeight="1">
      <c r="A151" s="108"/>
      <c r="B151" s="49"/>
      <c r="C151" s="50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</row>
    <row r="152" spans="1:28" ht="13.5" customHeight="1">
      <c r="A152" s="108"/>
      <c r="B152" s="49"/>
      <c r="C152" s="50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</row>
    <row r="153" spans="1:28" ht="13.5" customHeight="1">
      <c r="A153" s="108"/>
      <c r="B153" s="49"/>
      <c r="C153" s="50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</row>
    <row r="154" spans="1:28" ht="13.5" customHeight="1">
      <c r="A154" s="108"/>
      <c r="B154" s="49"/>
      <c r="C154" s="50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</row>
    <row r="155" spans="1:28" ht="13.5" customHeight="1">
      <c r="A155" s="108"/>
      <c r="B155" s="49"/>
      <c r="C155" s="50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</row>
    <row r="156" spans="1:28" ht="13.5" customHeight="1">
      <c r="A156" s="108"/>
      <c r="B156" s="49"/>
      <c r="C156" s="50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</row>
    <row r="157" spans="1:28" ht="13.5" customHeight="1">
      <c r="A157" s="108"/>
      <c r="B157" s="49"/>
      <c r="C157" s="50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</row>
    <row r="158" spans="1:28" ht="13.5" customHeight="1">
      <c r="A158" s="108"/>
      <c r="B158" s="49"/>
      <c r="C158" s="50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</row>
    <row r="159" spans="1:28" ht="13.5" customHeight="1">
      <c r="A159" s="108"/>
      <c r="B159" s="49"/>
      <c r="C159" s="50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</row>
    <row r="160" spans="1:28" ht="13.5" customHeight="1">
      <c r="A160" s="108"/>
      <c r="B160" s="49"/>
      <c r="C160" s="50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</row>
    <row r="161" spans="1:28" ht="13.5" customHeight="1">
      <c r="A161" s="108"/>
      <c r="B161" s="49"/>
      <c r="C161" s="50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</row>
    <row r="162" spans="1:28" ht="13.5" customHeight="1">
      <c r="A162" s="108"/>
      <c r="B162" s="49"/>
      <c r="C162" s="50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</row>
    <row r="163" spans="1:28" ht="13.5" customHeight="1">
      <c r="A163" s="108"/>
      <c r="B163" s="49"/>
      <c r="C163" s="50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</row>
    <row r="164" spans="1:28" ht="13.5" customHeight="1">
      <c r="A164" s="108"/>
      <c r="B164" s="49"/>
      <c r="C164" s="50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</row>
    <row r="165" spans="1:28" ht="13.5" customHeight="1">
      <c r="A165" s="108"/>
      <c r="B165" s="49"/>
      <c r="C165" s="50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</row>
    <row r="166" spans="1:28" ht="13.5" customHeight="1">
      <c r="A166" s="108"/>
      <c r="B166" s="49"/>
      <c r="C166" s="50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</row>
    <row r="167" spans="1:28" ht="13.5" customHeight="1">
      <c r="A167" s="108"/>
      <c r="B167" s="49"/>
      <c r="C167" s="50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</row>
    <row r="168" spans="1:28" ht="13.5" customHeight="1">
      <c r="A168" s="108"/>
      <c r="B168" s="49"/>
      <c r="C168" s="50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</row>
    <row r="169" spans="1:28" ht="13.5" customHeight="1">
      <c r="A169" s="108"/>
      <c r="B169" s="49"/>
      <c r="C169" s="50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</row>
    <row r="170" spans="1:28" ht="13.5" customHeight="1">
      <c r="A170" s="108"/>
      <c r="B170" s="49"/>
      <c r="C170" s="50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</row>
    <row r="171" spans="1:28" ht="13.5" customHeight="1">
      <c r="A171" s="108"/>
      <c r="B171" s="49"/>
      <c r="C171" s="50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</row>
    <row r="172" spans="1:28" ht="13.5" customHeight="1">
      <c r="A172" s="108"/>
      <c r="B172" s="49"/>
      <c r="C172" s="50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</row>
    <row r="173" spans="1:28" ht="13.5" customHeight="1">
      <c r="A173" s="108"/>
      <c r="B173" s="49"/>
      <c r="C173" s="50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</row>
    <row r="174" spans="1:28" ht="13.5" customHeight="1">
      <c r="A174" s="108"/>
      <c r="B174" s="49"/>
      <c r="C174" s="50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</row>
    <row r="175" spans="1:28" ht="13.5" customHeight="1">
      <c r="A175" s="108"/>
      <c r="B175" s="49"/>
      <c r="C175" s="50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</row>
    <row r="176" spans="1:28" ht="13.5" customHeight="1">
      <c r="A176" s="108"/>
      <c r="B176" s="49"/>
      <c r="C176" s="50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</row>
    <row r="177" spans="1:28" ht="13.5" customHeight="1">
      <c r="A177" s="108"/>
      <c r="B177" s="49"/>
      <c r="C177" s="50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</row>
    <row r="178" spans="1:28" ht="13.5" customHeight="1">
      <c r="A178" s="108"/>
      <c r="B178" s="49"/>
      <c r="C178" s="50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</row>
    <row r="179" spans="1:28" ht="13.5" customHeight="1">
      <c r="A179" s="108"/>
      <c r="B179" s="49"/>
      <c r="C179" s="50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</row>
    <row r="180" spans="1:28" ht="13.5" customHeight="1">
      <c r="A180" s="108"/>
      <c r="B180" s="49"/>
      <c r="C180" s="50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</row>
    <row r="181" spans="1:28" ht="13.5" customHeight="1">
      <c r="A181" s="108"/>
      <c r="B181" s="49"/>
      <c r="C181" s="50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</row>
    <row r="182" spans="1:28" ht="13.5" customHeight="1">
      <c r="A182" s="108"/>
      <c r="B182" s="49"/>
      <c r="C182" s="50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</row>
    <row r="183" spans="1:28" ht="13.5" customHeight="1">
      <c r="A183" s="108"/>
      <c r="B183" s="49"/>
      <c r="C183" s="50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</row>
    <row r="184" spans="1:28" ht="13.5" customHeight="1">
      <c r="A184" s="108"/>
      <c r="B184" s="49"/>
      <c r="C184" s="50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</row>
    <row r="185" spans="1:28" ht="13.5" customHeight="1">
      <c r="A185" s="108"/>
      <c r="B185" s="49"/>
      <c r="C185" s="50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</row>
    <row r="186" spans="1:28" ht="13.5" customHeight="1">
      <c r="A186" s="108"/>
      <c r="B186" s="49"/>
      <c r="C186" s="50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</row>
    <row r="187" spans="1:28" ht="13.5" customHeight="1">
      <c r="A187" s="108"/>
      <c r="B187" s="49"/>
      <c r="C187" s="50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</row>
    <row r="188" spans="1:28" ht="13.5" customHeight="1">
      <c r="A188" s="108"/>
      <c r="B188" s="49"/>
      <c r="C188" s="50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</row>
    <row r="189" spans="1:28" ht="13.5" customHeight="1">
      <c r="A189" s="108"/>
      <c r="B189" s="49"/>
      <c r="C189" s="50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</row>
    <row r="190" spans="1:28" ht="13.5" customHeight="1">
      <c r="A190" s="108"/>
      <c r="B190" s="49"/>
      <c r="C190" s="50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</row>
    <row r="191" spans="1:28" ht="13.5" customHeight="1">
      <c r="A191" s="108"/>
      <c r="B191" s="49"/>
      <c r="C191" s="50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</row>
    <row r="192" spans="1:28" ht="13.5" customHeight="1">
      <c r="A192" s="108"/>
      <c r="B192" s="49"/>
      <c r="C192" s="50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</row>
    <row r="193" spans="1:28" ht="13.5" customHeight="1">
      <c r="A193" s="108"/>
      <c r="B193" s="49"/>
      <c r="C193" s="50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</row>
    <row r="194" spans="1:28" ht="13.5" customHeight="1">
      <c r="A194" s="108"/>
      <c r="B194" s="49"/>
      <c r="C194" s="50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</row>
    <row r="195" spans="1:28" ht="13.5" customHeight="1">
      <c r="A195" s="108"/>
      <c r="B195" s="49"/>
      <c r="C195" s="50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</row>
    <row r="196" spans="1:28" ht="13.5" customHeight="1">
      <c r="A196" s="108"/>
      <c r="B196" s="49"/>
      <c r="C196" s="50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</row>
    <row r="197" spans="1:28" ht="13.5" customHeight="1">
      <c r="A197" s="108"/>
      <c r="B197" s="49"/>
      <c r="C197" s="50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</row>
    <row r="198" spans="1:28" ht="13.5" customHeight="1">
      <c r="A198" s="108"/>
      <c r="B198" s="49"/>
      <c r="C198" s="50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</row>
    <row r="199" spans="1:28" ht="13.5" customHeight="1">
      <c r="A199" s="108"/>
      <c r="B199" s="49"/>
      <c r="C199" s="50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</row>
    <row r="200" spans="1:28" ht="13.5" customHeight="1">
      <c r="A200" s="108"/>
      <c r="B200" s="49"/>
      <c r="C200" s="50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</row>
    <row r="201" spans="1:28" ht="13.5" customHeight="1">
      <c r="A201" s="108"/>
      <c r="B201" s="49"/>
      <c r="C201" s="50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</row>
    <row r="202" spans="1:28" ht="13.5" customHeight="1">
      <c r="A202" s="108"/>
      <c r="B202" s="49"/>
      <c r="C202" s="50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</row>
    <row r="203" spans="1:28" ht="13.5" customHeight="1">
      <c r="A203" s="108"/>
      <c r="B203" s="49"/>
      <c r="C203" s="50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</row>
    <row r="204" spans="1:28" ht="13.5" customHeight="1">
      <c r="A204" s="108"/>
      <c r="B204" s="49"/>
      <c r="C204" s="50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</row>
    <row r="205" spans="1:28" ht="13.5" customHeight="1">
      <c r="A205" s="108"/>
      <c r="B205" s="49"/>
      <c r="C205" s="50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</row>
    <row r="206" spans="1:28" ht="13.5" customHeight="1">
      <c r="A206" s="108"/>
      <c r="B206" s="49"/>
      <c r="C206" s="50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</row>
    <row r="207" spans="1:28" ht="13.5" customHeight="1">
      <c r="A207" s="108"/>
      <c r="B207" s="49"/>
      <c r="C207" s="50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</row>
    <row r="208" spans="1:28" ht="13.5" customHeight="1">
      <c r="A208" s="108"/>
      <c r="B208" s="49"/>
      <c r="C208" s="50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</row>
    <row r="209" spans="1:28" ht="13.5" customHeight="1">
      <c r="A209" s="108"/>
      <c r="B209" s="49"/>
      <c r="C209" s="50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</row>
    <row r="210" spans="1:28" ht="13.5" customHeight="1">
      <c r="A210" s="108"/>
      <c r="B210" s="49"/>
      <c r="C210" s="50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</row>
    <row r="211" spans="1:28" ht="13.5" customHeight="1">
      <c r="A211" s="108"/>
      <c r="B211" s="49"/>
      <c r="C211" s="50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</row>
    <row r="212" spans="1:28" ht="13.5" customHeight="1">
      <c r="A212" s="108"/>
      <c r="B212" s="49"/>
      <c r="C212" s="50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</row>
    <row r="213" spans="1:28" ht="13.5" customHeight="1">
      <c r="A213" s="108"/>
      <c r="B213" s="49"/>
      <c r="C213" s="50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</row>
    <row r="214" spans="1:28" ht="13.5" customHeight="1">
      <c r="A214" s="108"/>
      <c r="B214" s="49"/>
      <c r="C214" s="50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</row>
    <row r="215" spans="1:28" ht="13.5" customHeight="1">
      <c r="A215" s="108"/>
      <c r="B215" s="49"/>
      <c r="C215" s="50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</row>
    <row r="216" spans="1:28" ht="13.5" customHeight="1">
      <c r="A216" s="108"/>
      <c r="B216" s="49"/>
      <c r="C216" s="50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</row>
    <row r="217" spans="1:28" ht="13.5" customHeight="1">
      <c r="A217" s="108"/>
      <c r="B217" s="49"/>
      <c r="C217" s="50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</row>
    <row r="218" spans="1:28" ht="13.5" customHeight="1">
      <c r="A218" s="108"/>
      <c r="B218" s="49"/>
      <c r="C218" s="50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</row>
    <row r="219" spans="1:28" ht="13.5" customHeight="1">
      <c r="A219" s="108"/>
      <c r="B219" s="49"/>
      <c r="C219" s="50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</row>
    <row r="220" spans="1:28" ht="13.5" customHeight="1">
      <c r="A220" s="108"/>
      <c r="B220" s="49"/>
      <c r="C220" s="50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</row>
    <row r="221" spans="1:28" ht="13.5" customHeight="1">
      <c r="A221" s="108"/>
      <c r="B221" s="49"/>
      <c r="C221" s="50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</row>
    <row r="222" spans="1:28" ht="13.5" customHeight="1">
      <c r="A222" s="108"/>
      <c r="B222" s="49"/>
      <c r="C222" s="50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  <c r="AA222" s="108"/>
      <c r="AB222" s="108"/>
    </row>
    <row r="223" spans="1:28" ht="13.5" customHeight="1">
      <c r="A223" s="108"/>
      <c r="B223" s="49"/>
      <c r="C223" s="50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  <c r="AA223" s="108"/>
      <c r="AB223" s="108"/>
    </row>
    <row r="224" spans="1:28" ht="13.5" customHeight="1">
      <c r="A224" s="108"/>
      <c r="B224" s="49"/>
      <c r="C224" s="50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  <c r="AA224" s="108"/>
      <c r="AB224" s="108"/>
    </row>
    <row r="225" spans="1:28" ht="13.5" customHeight="1">
      <c r="A225" s="108"/>
      <c r="B225" s="49"/>
      <c r="C225" s="50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  <c r="AA225" s="108"/>
      <c r="AB225" s="108"/>
    </row>
    <row r="226" spans="1:28" ht="13.5" customHeight="1">
      <c r="A226" s="108"/>
      <c r="B226" s="49"/>
      <c r="C226" s="50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  <c r="AA226" s="108"/>
      <c r="AB226" s="108"/>
    </row>
    <row r="227" spans="1:28" ht="13.5" customHeight="1">
      <c r="A227" s="108"/>
      <c r="B227" s="49"/>
      <c r="C227" s="50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  <c r="AA227" s="108"/>
      <c r="AB227" s="108"/>
    </row>
    <row r="228" spans="1:28" ht="13.5" customHeight="1">
      <c r="A228" s="108"/>
      <c r="B228" s="49"/>
      <c r="C228" s="50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  <c r="AA228" s="108"/>
      <c r="AB228" s="108"/>
    </row>
    <row r="229" spans="1:28" ht="13.5" customHeight="1">
      <c r="A229" s="108"/>
      <c r="B229" s="49"/>
      <c r="C229" s="50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  <c r="AA229" s="108"/>
      <c r="AB229" s="108"/>
    </row>
    <row r="230" spans="1:28" ht="13.5" customHeight="1">
      <c r="A230" s="108"/>
      <c r="B230" s="49"/>
      <c r="C230" s="50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  <c r="AA230" s="108"/>
      <c r="AB230" s="108"/>
    </row>
    <row r="231" spans="1:28" ht="13.5" customHeight="1">
      <c r="A231" s="108"/>
      <c r="B231" s="49"/>
      <c r="C231" s="50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  <c r="AA231" s="108"/>
      <c r="AB231" s="108"/>
    </row>
    <row r="232" spans="1:28" ht="13.5" customHeight="1">
      <c r="A232" s="108"/>
      <c r="B232" s="49"/>
      <c r="C232" s="50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  <c r="AA232" s="108"/>
      <c r="AB232" s="108"/>
    </row>
    <row r="233" spans="1:28" ht="13.5" customHeight="1">
      <c r="A233" s="108"/>
      <c r="B233" s="49"/>
      <c r="C233" s="50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  <c r="AA233" s="108"/>
      <c r="AB233" s="108"/>
    </row>
    <row r="234" spans="1:28" ht="13.5" customHeight="1">
      <c r="A234" s="108"/>
      <c r="B234" s="49"/>
      <c r="C234" s="50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  <c r="AA234" s="108"/>
      <c r="AB234" s="108"/>
    </row>
    <row r="235" spans="1:28" ht="13.5" customHeight="1">
      <c r="A235" s="108"/>
      <c r="B235" s="49"/>
      <c r="C235" s="50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  <c r="AA235" s="108"/>
      <c r="AB235" s="108"/>
    </row>
    <row r="236" spans="1:28" ht="13.5" customHeight="1">
      <c r="A236" s="108"/>
      <c r="B236" s="49"/>
      <c r="C236" s="50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  <c r="AA236" s="108"/>
      <c r="AB236" s="108"/>
    </row>
    <row r="237" spans="1:28" ht="13.5" customHeight="1">
      <c r="A237" s="108"/>
      <c r="B237" s="49"/>
      <c r="C237" s="50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  <c r="AA237" s="108"/>
      <c r="AB237" s="108"/>
    </row>
    <row r="238" spans="1:28" ht="13.5" customHeight="1">
      <c r="A238" s="108"/>
      <c r="B238" s="49"/>
      <c r="C238" s="50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</row>
    <row r="239" spans="1:28" ht="13.5" customHeight="1">
      <c r="A239" s="108"/>
      <c r="B239" s="49"/>
      <c r="C239" s="50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  <c r="AA239" s="108"/>
      <c r="AB239" s="108"/>
    </row>
    <row r="240" spans="1:28" ht="13.5" customHeight="1">
      <c r="A240" s="108"/>
      <c r="B240" s="49"/>
      <c r="C240" s="50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  <c r="AA240" s="108"/>
      <c r="AB240" s="108"/>
    </row>
    <row r="241" spans="1:28" ht="13.5" customHeight="1">
      <c r="A241" s="108"/>
      <c r="B241" s="49"/>
      <c r="C241" s="50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  <c r="AA241" s="108"/>
      <c r="AB241" s="108"/>
    </row>
    <row r="242" spans="1:28" ht="13.5" customHeight="1">
      <c r="A242" s="108"/>
      <c r="B242" s="49"/>
      <c r="C242" s="50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  <c r="AA242" s="108"/>
      <c r="AB242" s="108"/>
    </row>
    <row r="243" spans="1:28" ht="13.5" customHeight="1">
      <c r="A243" s="108"/>
      <c r="B243" s="49"/>
      <c r="C243" s="50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  <c r="AA243" s="108"/>
      <c r="AB243" s="108"/>
    </row>
    <row r="244" spans="1:28" ht="13.5" customHeight="1">
      <c r="A244" s="108"/>
      <c r="B244" s="49"/>
      <c r="C244" s="50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  <c r="AA244" s="108"/>
      <c r="AB244" s="108"/>
    </row>
    <row r="245" spans="1:28" ht="13.5" customHeight="1">
      <c r="A245" s="108"/>
      <c r="B245" s="49"/>
      <c r="C245" s="50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  <c r="AA245" s="108"/>
      <c r="AB245" s="108"/>
    </row>
    <row r="246" spans="1:28" ht="13.5" customHeight="1">
      <c r="A246" s="108"/>
      <c r="B246" s="49"/>
      <c r="C246" s="50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  <c r="AA246" s="108"/>
      <c r="AB246" s="108"/>
    </row>
    <row r="247" spans="1:28" ht="13.5" customHeight="1">
      <c r="A247" s="108"/>
      <c r="B247" s="49"/>
      <c r="C247" s="50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  <c r="AA247" s="108"/>
      <c r="AB247" s="108"/>
    </row>
    <row r="248" spans="1:28" ht="13.5" customHeight="1">
      <c r="A248" s="108"/>
      <c r="B248" s="49"/>
      <c r="C248" s="50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  <c r="AA248" s="108"/>
      <c r="AB248" s="108"/>
    </row>
    <row r="249" spans="1:28" ht="13.5" customHeight="1">
      <c r="A249" s="108"/>
      <c r="B249" s="49"/>
      <c r="C249" s="50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  <c r="AA249" s="108"/>
      <c r="AB249" s="108"/>
    </row>
    <row r="250" spans="1:28" ht="13.5" customHeight="1">
      <c r="A250" s="108"/>
      <c r="B250" s="49"/>
      <c r="C250" s="50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</row>
    <row r="251" spans="1:28" ht="13.5" customHeight="1">
      <c r="A251" s="108"/>
      <c r="B251" s="49"/>
      <c r="C251" s="50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  <c r="AA251" s="108"/>
      <c r="AB251" s="108"/>
    </row>
    <row r="252" spans="1:28" ht="13.5" customHeight="1">
      <c r="A252" s="108"/>
      <c r="B252" s="49"/>
      <c r="C252" s="50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  <c r="AA252" s="108"/>
      <c r="AB252" s="108"/>
    </row>
    <row r="253" spans="1:28" ht="13.5" customHeight="1">
      <c r="A253" s="108"/>
      <c r="B253" s="49"/>
      <c r="C253" s="50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  <c r="AA253" s="108"/>
      <c r="AB253" s="108"/>
    </row>
    <row r="254" spans="1:28" ht="13.5" customHeight="1">
      <c r="A254" s="108"/>
      <c r="B254" s="49"/>
      <c r="C254" s="50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  <c r="AA254" s="108"/>
      <c r="AB254" s="108"/>
    </row>
    <row r="255" spans="1:28" ht="13.5" customHeight="1">
      <c r="A255" s="108"/>
      <c r="B255" s="49"/>
      <c r="C255" s="50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  <c r="AA255" s="108"/>
      <c r="AB255" s="108"/>
    </row>
    <row r="256" spans="1:28" ht="13.5" customHeight="1">
      <c r="A256" s="108"/>
      <c r="B256" s="49"/>
      <c r="C256" s="50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  <c r="AA256" s="108"/>
      <c r="AB256" s="108"/>
    </row>
    <row r="257" spans="1:28" ht="13.5" customHeight="1">
      <c r="A257" s="108"/>
      <c r="B257" s="49"/>
      <c r="C257" s="50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  <c r="AA257" s="108"/>
      <c r="AB257" s="108"/>
    </row>
    <row r="258" spans="1:28" ht="13.5" customHeight="1">
      <c r="A258" s="108"/>
      <c r="B258" s="49"/>
      <c r="C258" s="50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</row>
    <row r="259" spans="1:28" ht="13.5" customHeight="1">
      <c r="A259" s="108"/>
      <c r="B259" s="49"/>
      <c r="C259" s="50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  <c r="AA259" s="108"/>
      <c r="AB259" s="108"/>
    </row>
    <row r="260" spans="1:28" ht="13.5" customHeight="1">
      <c r="A260" s="108"/>
      <c r="B260" s="49"/>
      <c r="C260" s="50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  <c r="AA260" s="108"/>
      <c r="AB260" s="108"/>
    </row>
    <row r="261" spans="1:28" ht="13.5" customHeight="1">
      <c r="A261" s="108"/>
      <c r="B261" s="49"/>
      <c r="C261" s="50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  <c r="AA261" s="108"/>
      <c r="AB261" s="108"/>
    </row>
    <row r="262" spans="1:28" ht="13.5" customHeight="1">
      <c r="A262" s="108"/>
      <c r="B262" s="49"/>
      <c r="C262" s="50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  <c r="AA262" s="108"/>
      <c r="AB262" s="108"/>
    </row>
    <row r="263" spans="1:28" ht="13.5" customHeight="1">
      <c r="A263" s="108"/>
      <c r="B263" s="49"/>
      <c r="C263" s="50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  <c r="AA263" s="108"/>
      <c r="AB263" s="108"/>
    </row>
    <row r="264" spans="1:28" ht="13.5" customHeight="1">
      <c r="A264" s="108"/>
      <c r="B264" s="49"/>
      <c r="C264" s="50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  <c r="AB264" s="108"/>
    </row>
    <row r="265" spans="1:28" ht="13.5" customHeight="1">
      <c r="A265" s="108"/>
      <c r="B265" s="49"/>
      <c r="C265" s="50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  <c r="AA265" s="108"/>
      <c r="AB265" s="108"/>
    </row>
    <row r="266" spans="1:28" ht="13.5" customHeight="1">
      <c r="A266" s="108"/>
      <c r="B266" s="49"/>
      <c r="C266" s="50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108"/>
      <c r="AB266" s="108"/>
    </row>
    <row r="267" spans="1:28" ht="13.5" customHeight="1">
      <c r="A267" s="108"/>
      <c r="B267" s="49"/>
      <c r="C267" s="50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  <c r="AA267" s="108"/>
      <c r="AB267" s="108"/>
    </row>
    <row r="268" spans="1:28" ht="13.5" customHeight="1">
      <c r="A268" s="108"/>
      <c r="B268" s="49"/>
      <c r="C268" s="50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</row>
    <row r="269" spans="1:28" ht="13.5" customHeight="1">
      <c r="A269" s="108"/>
      <c r="B269" s="49"/>
      <c r="C269" s="50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</row>
    <row r="270" spans="1:28" ht="13.5" customHeight="1">
      <c r="A270" s="108"/>
      <c r="B270" s="49"/>
      <c r="C270" s="50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</row>
    <row r="271" spans="1:28" ht="13.5" customHeight="1">
      <c r="A271" s="108"/>
      <c r="B271" s="49"/>
      <c r="C271" s="50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</row>
    <row r="272" spans="1:28" ht="13.5" customHeight="1">
      <c r="A272" s="108"/>
      <c r="B272" s="49"/>
      <c r="C272" s="50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</row>
    <row r="273" spans="1:28" ht="13.5" customHeight="1">
      <c r="A273" s="108"/>
      <c r="B273" s="49"/>
      <c r="C273" s="50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  <c r="AA273" s="108"/>
      <c r="AB273" s="108"/>
    </row>
    <row r="274" spans="1:28" ht="13.5" customHeight="1">
      <c r="A274" s="108"/>
      <c r="B274" s="49"/>
      <c r="C274" s="50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  <c r="AA274" s="108"/>
      <c r="AB274" s="108"/>
    </row>
    <row r="275" spans="1:28" ht="13.5" customHeight="1">
      <c r="A275" s="108"/>
      <c r="B275" s="49"/>
      <c r="C275" s="50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  <c r="AA275" s="108"/>
      <c r="AB275" s="108"/>
    </row>
    <row r="276" spans="1:28" ht="13.5" customHeight="1">
      <c r="A276" s="108"/>
      <c r="B276" s="49"/>
      <c r="C276" s="50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  <c r="AA276" s="108"/>
      <c r="AB276" s="108"/>
    </row>
    <row r="277" spans="1:28" ht="13.5" customHeight="1">
      <c r="A277" s="108"/>
      <c r="B277" s="49"/>
      <c r="C277" s="50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  <c r="AA277" s="108"/>
      <c r="AB277" s="108"/>
    </row>
    <row r="278" spans="1:28" ht="13.5" customHeight="1">
      <c r="A278" s="108"/>
      <c r="B278" s="49"/>
      <c r="C278" s="50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  <c r="AA278" s="108"/>
      <c r="AB278" s="108"/>
    </row>
    <row r="279" spans="1:28" ht="13.5" customHeight="1">
      <c r="A279" s="108"/>
      <c r="B279" s="49"/>
      <c r="C279" s="50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  <c r="AA279" s="108"/>
      <c r="AB279" s="108"/>
    </row>
    <row r="280" spans="1:28" ht="13.5" customHeight="1">
      <c r="A280" s="108"/>
      <c r="B280" s="49"/>
      <c r="C280" s="50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  <c r="AA280" s="108"/>
      <c r="AB280" s="108"/>
    </row>
    <row r="281" spans="1:28" ht="13.5" customHeight="1">
      <c r="A281" s="108"/>
      <c r="B281" s="49"/>
      <c r="C281" s="50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  <c r="AA281" s="108"/>
      <c r="AB281" s="108"/>
    </row>
    <row r="282" spans="1:28" ht="13.5" customHeight="1">
      <c r="A282" s="108"/>
      <c r="B282" s="49"/>
      <c r="C282" s="50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  <c r="AA282" s="108"/>
      <c r="AB282" s="108"/>
    </row>
    <row r="283" spans="1:28" ht="13.5" customHeight="1">
      <c r="A283" s="108"/>
      <c r="B283" s="49"/>
      <c r="C283" s="50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  <c r="AA283" s="108"/>
      <c r="AB283" s="108"/>
    </row>
    <row r="284" spans="1:28" ht="13.5" customHeight="1">
      <c r="A284" s="108"/>
      <c r="B284" s="49"/>
      <c r="C284" s="50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  <c r="AA284" s="108"/>
      <c r="AB284" s="108"/>
    </row>
    <row r="285" spans="1:28" ht="13.5" customHeight="1">
      <c r="A285" s="108"/>
      <c r="B285" s="49"/>
      <c r="C285" s="50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  <c r="AA285" s="108"/>
      <c r="AB285" s="108"/>
    </row>
    <row r="286" spans="1:28" ht="13.5" customHeight="1">
      <c r="A286" s="108"/>
      <c r="B286" s="49"/>
      <c r="C286" s="50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  <c r="AA286" s="108"/>
      <c r="AB286" s="108"/>
    </row>
    <row r="287" spans="1:28" ht="13.5" customHeight="1">
      <c r="A287" s="108"/>
      <c r="B287" s="49"/>
      <c r="C287" s="50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  <c r="AA287" s="108"/>
      <c r="AB287" s="108"/>
    </row>
    <row r="288" spans="1:28" ht="13.5" customHeight="1">
      <c r="A288" s="108"/>
      <c r="B288" s="49"/>
      <c r="C288" s="50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  <c r="AA288" s="108"/>
      <c r="AB288" s="108"/>
    </row>
    <row r="289" spans="1:28" ht="13.5" customHeight="1">
      <c r="A289" s="108"/>
      <c r="B289" s="49"/>
      <c r="C289" s="50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  <c r="AA289" s="108"/>
      <c r="AB289" s="108"/>
    </row>
    <row r="290" spans="1:28" ht="13.5" customHeight="1">
      <c r="A290" s="108"/>
      <c r="B290" s="49"/>
      <c r="C290" s="50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  <c r="AA290" s="108"/>
      <c r="AB290" s="108"/>
    </row>
    <row r="291" spans="1:28" ht="13.5" customHeight="1">
      <c r="A291" s="108"/>
      <c r="B291" s="49"/>
      <c r="C291" s="50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  <c r="AA291" s="108"/>
      <c r="AB291" s="108"/>
    </row>
    <row r="292" spans="1:28" ht="13.5" customHeight="1">
      <c r="A292" s="108"/>
      <c r="B292" s="49"/>
      <c r="C292" s="50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  <c r="AA292" s="108"/>
      <c r="AB292" s="108"/>
    </row>
    <row r="293" spans="1:28" ht="13.5" customHeight="1">
      <c r="A293" s="108"/>
      <c r="B293" s="49"/>
      <c r="C293" s="50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  <c r="AA293" s="108"/>
      <c r="AB293" s="108"/>
    </row>
    <row r="294" spans="1:28" ht="13.5" customHeight="1">
      <c r="A294" s="108"/>
      <c r="B294" s="49"/>
      <c r="C294" s="50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  <c r="AA294" s="108"/>
      <c r="AB294" s="108"/>
    </row>
    <row r="295" spans="1:28" ht="13.5" customHeight="1">
      <c r="A295" s="108"/>
      <c r="B295" s="49"/>
      <c r="C295" s="50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  <c r="AA295" s="108"/>
      <c r="AB295" s="108"/>
    </row>
    <row r="296" spans="1:28" ht="13.5" customHeight="1">
      <c r="A296" s="108"/>
      <c r="B296" s="49"/>
      <c r="C296" s="50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  <c r="AA296" s="108"/>
      <c r="AB296" s="108"/>
    </row>
    <row r="297" spans="1:28" ht="13.5" customHeight="1">
      <c r="A297" s="108"/>
      <c r="B297" s="49"/>
      <c r="C297" s="50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  <c r="AA297" s="108"/>
      <c r="AB297" s="108"/>
    </row>
    <row r="298" spans="1:28" ht="13.5" customHeight="1">
      <c r="A298" s="108"/>
      <c r="B298" s="49"/>
      <c r="C298" s="50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  <c r="AA298" s="108"/>
      <c r="AB298" s="108"/>
    </row>
    <row r="299" spans="1:28" ht="13.5" customHeight="1">
      <c r="A299" s="108"/>
      <c r="B299" s="49"/>
      <c r="C299" s="50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  <c r="AA299" s="108"/>
      <c r="AB299" s="108"/>
    </row>
    <row r="300" spans="1:28" ht="13.5" customHeight="1">
      <c r="A300" s="108"/>
      <c r="B300" s="49"/>
      <c r="C300" s="50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  <c r="AA300" s="108"/>
      <c r="AB300" s="108"/>
    </row>
    <row r="301" spans="1:28" ht="13.5" customHeight="1">
      <c r="A301" s="108"/>
      <c r="B301" s="49"/>
      <c r="C301" s="50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  <c r="AA301" s="108"/>
      <c r="AB301" s="108"/>
    </row>
    <row r="302" spans="1:28" ht="13.5" customHeight="1">
      <c r="A302" s="108"/>
      <c r="B302" s="49"/>
      <c r="C302" s="50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  <c r="AA302" s="108"/>
      <c r="AB302" s="108"/>
    </row>
    <row r="303" spans="1:28" ht="13.5" customHeight="1">
      <c r="A303" s="108"/>
      <c r="B303" s="49"/>
      <c r="C303" s="50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  <c r="AA303" s="108"/>
      <c r="AB303" s="108"/>
    </row>
    <row r="304" spans="1:28" ht="13.5" customHeight="1">
      <c r="A304" s="108"/>
      <c r="B304" s="49"/>
      <c r="C304" s="50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  <c r="AA304" s="108"/>
      <c r="AB304" s="108"/>
    </row>
    <row r="305" spans="1:28" ht="13.5" customHeight="1">
      <c r="A305" s="108"/>
      <c r="B305" s="49"/>
      <c r="C305" s="50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  <c r="AA305" s="108"/>
      <c r="AB305" s="108"/>
    </row>
    <row r="306" spans="1:28" ht="13.5" customHeight="1">
      <c r="A306" s="108"/>
      <c r="B306" s="49"/>
      <c r="C306" s="50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  <c r="AA306" s="108"/>
      <c r="AB306" s="108"/>
    </row>
    <row r="307" spans="1:28" ht="13.5" customHeight="1">
      <c r="A307" s="108"/>
      <c r="B307" s="49"/>
      <c r="C307" s="50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  <c r="AA307" s="108"/>
      <c r="AB307" s="108"/>
    </row>
    <row r="308" spans="1:28" ht="13.5" customHeight="1">
      <c r="A308" s="108"/>
      <c r="B308" s="49"/>
      <c r="C308" s="50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  <c r="AA308" s="108"/>
      <c r="AB308" s="108"/>
    </row>
    <row r="309" spans="1:28" ht="13.5" customHeight="1">
      <c r="A309" s="108"/>
      <c r="B309" s="49"/>
      <c r="C309" s="50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  <c r="AA309" s="108"/>
      <c r="AB309" s="108"/>
    </row>
    <row r="310" spans="1:28" ht="13.5" customHeight="1">
      <c r="A310" s="108"/>
      <c r="B310" s="49"/>
      <c r="C310" s="50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  <c r="AA310" s="108"/>
      <c r="AB310" s="108"/>
    </row>
    <row r="311" spans="1:28" ht="13.5" customHeight="1">
      <c r="A311" s="108"/>
      <c r="B311" s="49"/>
      <c r="C311" s="50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  <c r="AA311" s="108"/>
      <c r="AB311" s="108"/>
    </row>
    <row r="312" spans="1:28" ht="13.5" customHeight="1">
      <c r="A312" s="108"/>
      <c r="B312" s="49"/>
      <c r="C312" s="50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  <c r="AA312" s="108"/>
      <c r="AB312" s="108"/>
    </row>
    <row r="313" spans="1:28" ht="13.5" customHeight="1">
      <c r="A313" s="108"/>
      <c r="B313" s="49"/>
      <c r="C313" s="50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  <c r="AA313" s="108"/>
      <c r="AB313" s="108"/>
    </row>
    <row r="314" spans="1:28" ht="13.5" customHeight="1">
      <c r="A314" s="108"/>
      <c r="B314" s="49"/>
      <c r="C314" s="50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  <c r="AA314" s="108"/>
      <c r="AB314" s="108"/>
    </row>
    <row r="315" spans="1:28" ht="13.5" customHeight="1">
      <c r="A315" s="108"/>
      <c r="B315" s="49"/>
      <c r="C315" s="50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  <c r="AA315" s="108"/>
      <c r="AB315" s="108"/>
    </row>
    <row r="316" spans="1:28" ht="13.5" customHeight="1">
      <c r="A316" s="108"/>
      <c r="B316" s="49"/>
      <c r="C316" s="50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  <c r="AA316" s="108"/>
      <c r="AB316" s="108"/>
    </row>
    <row r="317" spans="1:28" ht="13.5" customHeight="1">
      <c r="A317" s="108"/>
      <c r="B317" s="49"/>
      <c r="C317" s="50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  <c r="AA317" s="108"/>
      <c r="AB317" s="108"/>
    </row>
    <row r="318" spans="1:28" ht="13.5" customHeight="1">
      <c r="A318" s="108"/>
      <c r="B318" s="49"/>
      <c r="C318" s="50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  <c r="AA318" s="108"/>
      <c r="AB318" s="108"/>
    </row>
    <row r="319" spans="1:28" ht="13.5" customHeight="1">
      <c r="A319" s="108"/>
      <c r="B319" s="49"/>
      <c r="C319" s="50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  <c r="AA319" s="108"/>
      <c r="AB319" s="108"/>
    </row>
    <row r="320" spans="1:28" ht="13.5" customHeight="1">
      <c r="A320" s="108"/>
      <c r="B320" s="49"/>
      <c r="C320" s="50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  <c r="AA320" s="108"/>
      <c r="AB320" s="108"/>
    </row>
    <row r="321" spans="1:28" ht="13.5" customHeight="1">
      <c r="A321" s="108"/>
      <c r="B321" s="49"/>
      <c r="C321" s="50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  <c r="AA321" s="108"/>
      <c r="AB321" s="108"/>
    </row>
    <row r="322" spans="1:28" ht="13.5" customHeight="1">
      <c r="A322" s="108"/>
      <c r="B322" s="49"/>
      <c r="C322" s="50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  <c r="AA322" s="108"/>
      <c r="AB322" s="108"/>
    </row>
    <row r="323" spans="1:28" ht="13.5" customHeight="1">
      <c r="A323" s="108"/>
      <c r="B323" s="49"/>
      <c r="C323" s="50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  <c r="AA323" s="108"/>
      <c r="AB323" s="108"/>
    </row>
    <row r="324" spans="1:28" ht="13.5" customHeight="1">
      <c r="A324" s="108"/>
      <c r="B324" s="49"/>
      <c r="C324" s="50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  <c r="AA324" s="108"/>
      <c r="AB324" s="108"/>
    </row>
    <row r="325" spans="1:28" ht="13.5" customHeight="1">
      <c r="A325" s="108"/>
      <c r="B325" s="49"/>
      <c r="C325" s="50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  <c r="AB325" s="108"/>
    </row>
    <row r="326" spans="1:28" ht="13.5" customHeight="1">
      <c r="A326" s="108"/>
      <c r="B326" s="49"/>
      <c r="C326" s="50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  <c r="AA326" s="108"/>
      <c r="AB326" s="108"/>
    </row>
    <row r="327" spans="1:28" ht="13.5" customHeight="1">
      <c r="A327" s="108"/>
      <c r="B327" s="49"/>
      <c r="C327" s="50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  <c r="AA327" s="108"/>
      <c r="AB327" s="108"/>
    </row>
    <row r="328" spans="1:28" ht="13.5" customHeight="1">
      <c r="A328" s="108"/>
      <c r="B328" s="49"/>
      <c r="C328" s="50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  <c r="AA328" s="108"/>
      <c r="AB328" s="108"/>
    </row>
    <row r="329" spans="1:28" ht="13.5" customHeight="1">
      <c r="A329" s="108"/>
      <c r="B329" s="49"/>
      <c r="C329" s="50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  <c r="AA329" s="108"/>
      <c r="AB329" s="108"/>
    </row>
    <row r="330" spans="1:28" ht="13.5" customHeight="1">
      <c r="A330" s="108"/>
      <c r="B330" s="49"/>
      <c r="C330" s="50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  <c r="AA330" s="108"/>
      <c r="AB330" s="108"/>
    </row>
    <row r="331" spans="1:28" ht="13.5" customHeight="1">
      <c r="A331" s="108"/>
      <c r="B331" s="49"/>
      <c r="C331" s="50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  <c r="AA331" s="108"/>
      <c r="AB331" s="108"/>
    </row>
    <row r="332" spans="1:28" ht="13.5" customHeight="1">
      <c r="A332" s="108"/>
      <c r="B332" s="49"/>
      <c r="C332" s="50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  <c r="AA332" s="108"/>
      <c r="AB332" s="108"/>
    </row>
    <row r="333" spans="1:28" ht="13.5" customHeight="1">
      <c r="A333" s="108"/>
      <c r="B333" s="49"/>
      <c r="C333" s="50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  <c r="AA333" s="108"/>
      <c r="AB333" s="108"/>
    </row>
    <row r="334" spans="1:28" ht="13.5" customHeight="1">
      <c r="A334" s="108"/>
      <c r="B334" s="49"/>
      <c r="C334" s="50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  <c r="AA334" s="108"/>
      <c r="AB334" s="108"/>
    </row>
    <row r="335" spans="1:28" ht="13.5" customHeight="1">
      <c r="A335" s="108"/>
      <c r="B335" s="49"/>
      <c r="C335" s="50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  <c r="AA335" s="108"/>
      <c r="AB335" s="108"/>
    </row>
    <row r="336" spans="1:28" ht="13.5" customHeight="1">
      <c r="A336" s="108"/>
      <c r="B336" s="49"/>
      <c r="C336" s="50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  <c r="AA336" s="108"/>
      <c r="AB336" s="108"/>
    </row>
    <row r="337" spans="1:28" ht="13.5" customHeight="1">
      <c r="A337" s="108"/>
      <c r="B337" s="49"/>
      <c r="C337" s="50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  <c r="AA337" s="108"/>
      <c r="AB337" s="108"/>
    </row>
    <row r="338" spans="1:28" ht="13.5" customHeight="1">
      <c r="A338" s="108"/>
      <c r="B338" s="49"/>
      <c r="C338" s="50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</row>
    <row r="339" spans="1:28" ht="13.5" customHeight="1">
      <c r="A339" s="108"/>
      <c r="B339" s="49"/>
      <c r="C339" s="50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  <c r="AA339" s="108"/>
      <c r="AB339" s="108"/>
    </row>
    <row r="340" spans="1:28" ht="13.5" customHeight="1">
      <c r="A340" s="108"/>
      <c r="B340" s="49"/>
      <c r="C340" s="50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  <c r="AA340" s="108"/>
      <c r="AB340" s="108"/>
    </row>
    <row r="341" spans="1:28" ht="13.5" customHeight="1">
      <c r="A341" s="108"/>
      <c r="B341" s="49"/>
      <c r="C341" s="50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  <c r="AA341" s="108"/>
      <c r="AB341" s="108"/>
    </row>
    <row r="342" spans="1:28" ht="13.5" customHeight="1">
      <c r="A342" s="108"/>
      <c r="B342" s="49"/>
      <c r="C342" s="50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  <c r="AA342" s="108"/>
      <c r="AB342" s="108"/>
    </row>
    <row r="343" spans="1:28" ht="13.5" customHeight="1">
      <c r="A343" s="108"/>
      <c r="B343" s="49"/>
      <c r="C343" s="50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  <c r="AA343" s="108"/>
      <c r="AB343" s="108"/>
    </row>
    <row r="344" spans="1:28" ht="13.5" customHeight="1">
      <c r="A344" s="108"/>
      <c r="B344" s="49"/>
      <c r="C344" s="50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  <c r="AB344" s="108"/>
    </row>
    <row r="345" spans="1:28" ht="13.5" customHeight="1">
      <c r="A345" s="108"/>
      <c r="B345" s="49"/>
      <c r="C345" s="50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  <c r="AA345" s="108"/>
      <c r="AB345" s="108"/>
    </row>
    <row r="346" spans="1:28" ht="13.5" customHeight="1">
      <c r="A346" s="108"/>
      <c r="B346" s="49"/>
      <c r="C346" s="50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  <c r="AA346" s="108"/>
      <c r="AB346" s="108"/>
    </row>
    <row r="347" spans="1:28" ht="13.5" customHeight="1">
      <c r="A347" s="108"/>
      <c r="B347" s="49"/>
      <c r="C347" s="50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  <c r="AA347" s="108"/>
      <c r="AB347" s="108"/>
    </row>
    <row r="348" spans="1:28" ht="13.5" customHeight="1">
      <c r="A348" s="108"/>
      <c r="B348" s="49"/>
      <c r="C348" s="50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</row>
    <row r="349" spans="1:28" ht="13.5" customHeight="1">
      <c r="A349" s="108"/>
      <c r="B349" s="49"/>
      <c r="C349" s="50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</row>
    <row r="350" spans="1:28" ht="13.5" customHeight="1">
      <c r="A350" s="108"/>
      <c r="B350" s="49"/>
      <c r="C350" s="50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</row>
    <row r="351" spans="1:28" ht="13.5" customHeight="1">
      <c r="A351" s="108"/>
      <c r="B351" s="49"/>
      <c r="C351" s="50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</row>
    <row r="352" spans="1:28" ht="13.5" customHeight="1">
      <c r="A352" s="108"/>
      <c r="B352" s="49"/>
      <c r="C352" s="50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</row>
    <row r="353" spans="1:28" ht="13.5" customHeight="1">
      <c r="A353" s="108"/>
      <c r="B353" s="49"/>
      <c r="C353" s="50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  <c r="AA353" s="108"/>
      <c r="AB353" s="108"/>
    </row>
    <row r="354" spans="1:28" ht="13.5" customHeight="1">
      <c r="A354" s="108"/>
      <c r="B354" s="49"/>
      <c r="C354" s="50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  <c r="AA354" s="108"/>
      <c r="AB354" s="108"/>
    </row>
    <row r="355" spans="1:28" ht="13.5" customHeight="1">
      <c r="A355" s="108"/>
      <c r="B355" s="49"/>
      <c r="C355" s="50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  <c r="AA355" s="108"/>
      <c r="AB355" s="108"/>
    </row>
    <row r="356" spans="1:28" ht="13.5" customHeight="1">
      <c r="A356" s="108"/>
      <c r="B356" s="49"/>
      <c r="C356" s="50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  <c r="AB356" s="108"/>
    </row>
    <row r="357" spans="1:28" ht="13.5" customHeight="1">
      <c r="A357" s="108"/>
      <c r="B357" s="49"/>
      <c r="C357" s="50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  <c r="AA357" s="108"/>
      <c r="AB357" s="108"/>
    </row>
    <row r="358" spans="1:28" ht="13.5" customHeight="1">
      <c r="A358" s="108"/>
      <c r="B358" s="49"/>
      <c r="C358" s="50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  <c r="AA358" s="108"/>
      <c r="AB358" s="108"/>
    </row>
    <row r="359" spans="1:28" ht="13.5" customHeight="1">
      <c r="A359" s="108"/>
      <c r="B359" s="49"/>
      <c r="C359" s="50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  <c r="AA359" s="108"/>
      <c r="AB359" s="108"/>
    </row>
    <row r="360" spans="1:28" ht="13.5" customHeight="1">
      <c r="A360" s="108"/>
      <c r="B360" s="49"/>
      <c r="C360" s="50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  <c r="AA360" s="108"/>
      <c r="AB360" s="108"/>
    </row>
    <row r="361" spans="1:28" ht="13.5" customHeight="1">
      <c r="A361" s="108"/>
      <c r="B361" s="49"/>
      <c r="C361" s="50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  <c r="AA361" s="108"/>
      <c r="AB361" s="108"/>
    </row>
    <row r="362" spans="1:28" ht="13.5" customHeight="1">
      <c r="A362" s="108"/>
      <c r="B362" s="49"/>
      <c r="C362" s="50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  <c r="AA362" s="108"/>
      <c r="AB362" s="108"/>
    </row>
    <row r="363" spans="1:28" ht="13.5" customHeight="1">
      <c r="A363" s="108"/>
      <c r="B363" s="49"/>
      <c r="C363" s="50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  <c r="AA363" s="108"/>
      <c r="AB363" s="108"/>
    </row>
    <row r="364" spans="1:28" ht="13.5" customHeight="1">
      <c r="A364" s="108"/>
      <c r="B364" s="49"/>
      <c r="C364" s="50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  <c r="AA364" s="108"/>
      <c r="AB364" s="108"/>
    </row>
    <row r="365" spans="1:28" ht="13.5" customHeight="1">
      <c r="A365" s="108"/>
      <c r="B365" s="49"/>
      <c r="C365" s="50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  <c r="AA365" s="108"/>
      <c r="AB365" s="108"/>
    </row>
    <row r="366" spans="1:28" ht="13.5" customHeight="1">
      <c r="A366" s="108"/>
      <c r="B366" s="49"/>
      <c r="C366" s="50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  <c r="AA366" s="108"/>
      <c r="AB366" s="108"/>
    </row>
    <row r="367" spans="1:28" ht="13.5" customHeight="1">
      <c r="A367" s="108"/>
      <c r="B367" s="49"/>
      <c r="C367" s="50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  <c r="AA367" s="108"/>
      <c r="AB367" s="108"/>
    </row>
    <row r="368" spans="1:28" ht="13.5" customHeight="1">
      <c r="A368" s="108"/>
      <c r="B368" s="49"/>
      <c r="C368" s="50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  <c r="AA368" s="108"/>
      <c r="AB368" s="108"/>
    </row>
    <row r="369" spans="1:28" ht="13.5" customHeight="1">
      <c r="A369" s="108"/>
      <c r="B369" s="49"/>
      <c r="C369" s="50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  <c r="AA369" s="108"/>
      <c r="AB369" s="108"/>
    </row>
    <row r="370" spans="1:28" ht="13.5" customHeight="1">
      <c r="A370" s="108"/>
      <c r="B370" s="49"/>
      <c r="C370" s="50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  <c r="AA370" s="108"/>
      <c r="AB370" s="108"/>
    </row>
    <row r="371" spans="1:28" ht="13.5" customHeight="1">
      <c r="A371" s="108"/>
      <c r="B371" s="49"/>
      <c r="C371" s="50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  <c r="AB371" s="108"/>
    </row>
    <row r="372" spans="1:28" ht="13.5" customHeight="1">
      <c r="A372" s="108"/>
      <c r="B372" s="49"/>
      <c r="C372" s="50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  <c r="AA372" s="108"/>
      <c r="AB372" s="108"/>
    </row>
    <row r="373" spans="1:28" ht="13.5" customHeight="1">
      <c r="A373" s="108"/>
      <c r="B373" s="49"/>
      <c r="C373" s="50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  <c r="AA373" s="108"/>
      <c r="AB373" s="108"/>
    </row>
    <row r="374" spans="1:28" ht="13.5" customHeight="1">
      <c r="A374" s="108"/>
      <c r="B374" s="49"/>
      <c r="C374" s="50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  <c r="AA374" s="108"/>
      <c r="AB374" s="108"/>
    </row>
    <row r="375" spans="1:28" ht="13.5" customHeight="1">
      <c r="A375" s="108"/>
      <c r="B375" s="49"/>
      <c r="C375" s="50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  <c r="AA375" s="108"/>
      <c r="AB375" s="108"/>
    </row>
    <row r="376" spans="1:28" ht="13.5" customHeight="1">
      <c r="A376" s="108"/>
      <c r="B376" s="49"/>
      <c r="C376" s="50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  <c r="AA376" s="108"/>
      <c r="AB376" s="108"/>
    </row>
    <row r="377" spans="1:28" ht="13.5" customHeight="1">
      <c r="A377" s="108"/>
      <c r="B377" s="49"/>
      <c r="C377" s="50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  <c r="AB377" s="108"/>
    </row>
    <row r="378" spans="1:28" ht="13.5" customHeight="1">
      <c r="A378" s="108"/>
      <c r="B378" s="49"/>
      <c r="C378" s="50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  <c r="AA378" s="108"/>
      <c r="AB378" s="108"/>
    </row>
    <row r="379" spans="1:28" ht="13.5" customHeight="1">
      <c r="A379" s="108"/>
      <c r="B379" s="49"/>
      <c r="C379" s="50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  <c r="AA379" s="108"/>
      <c r="AB379" s="108"/>
    </row>
    <row r="380" spans="1:28" ht="13.5" customHeight="1">
      <c r="A380" s="108"/>
      <c r="B380" s="49"/>
      <c r="C380" s="50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  <c r="AA380" s="108"/>
      <c r="AB380" s="108"/>
    </row>
    <row r="381" spans="1:28" ht="13.5" customHeight="1">
      <c r="A381" s="108"/>
      <c r="B381" s="49"/>
      <c r="C381" s="50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  <c r="AA381" s="108"/>
      <c r="AB381" s="108"/>
    </row>
    <row r="382" spans="1:28" ht="13.5" customHeight="1">
      <c r="A382" s="108"/>
      <c r="B382" s="49"/>
      <c r="C382" s="50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  <c r="AA382" s="108"/>
      <c r="AB382" s="108"/>
    </row>
    <row r="383" spans="1:28" ht="13.5" customHeight="1">
      <c r="A383" s="108"/>
      <c r="B383" s="49"/>
      <c r="C383" s="50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  <c r="AA383" s="108"/>
      <c r="AB383" s="108"/>
    </row>
    <row r="384" spans="1:28" ht="13.5" customHeight="1">
      <c r="A384" s="108"/>
      <c r="B384" s="49"/>
      <c r="C384" s="50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  <c r="AA384" s="108"/>
      <c r="AB384" s="108"/>
    </row>
    <row r="385" spans="1:28" ht="13.5" customHeight="1">
      <c r="A385" s="108"/>
      <c r="B385" s="49"/>
      <c r="C385" s="50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  <c r="AA385" s="108"/>
      <c r="AB385" s="108"/>
    </row>
    <row r="386" spans="1:28" ht="13.5" customHeight="1">
      <c r="A386" s="108"/>
      <c r="B386" s="49"/>
      <c r="C386" s="50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  <c r="AA386" s="108"/>
      <c r="AB386" s="108"/>
    </row>
    <row r="387" spans="1:28" ht="13.5" customHeight="1">
      <c r="A387" s="108"/>
      <c r="B387" s="49"/>
      <c r="C387" s="50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  <c r="AA387" s="108"/>
      <c r="AB387" s="108"/>
    </row>
    <row r="388" spans="1:28" ht="13.5" customHeight="1">
      <c r="A388" s="108"/>
      <c r="B388" s="49"/>
      <c r="C388" s="50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  <c r="AA388" s="108"/>
      <c r="AB388" s="108"/>
    </row>
    <row r="389" spans="1:28" ht="13.5" customHeight="1">
      <c r="A389" s="108"/>
      <c r="B389" s="49"/>
      <c r="C389" s="50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  <c r="AA389" s="108"/>
      <c r="AB389" s="108"/>
    </row>
    <row r="390" spans="1:28" ht="13.5" customHeight="1">
      <c r="A390" s="108"/>
      <c r="B390" s="49"/>
      <c r="C390" s="50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  <c r="AA390" s="108"/>
      <c r="AB390" s="108"/>
    </row>
    <row r="391" spans="1:28" ht="13.5" customHeight="1">
      <c r="A391" s="108"/>
      <c r="B391" s="49"/>
      <c r="C391" s="50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  <c r="AA391" s="108"/>
      <c r="AB391" s="108"/>
    </row>
    <row r="392" spans="1:28" ht="13.5" customHeight="1">
      <c r="A392" s="108"/>
      <c r="B392" s="49"/>
      <c r="C392" s="50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  <c r="AA392" s="108"/>
      <c r="AB392" s="108"/>
    </row>
    <row r="393" spans="1:28" ht="13.5" customHeight="1">
      <c r="A393" s="108"/>
      <c r="B393" s="49"/>
      <c r="C393" s="50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  <c r="AA393" s="108"/>
      <c r="AB393" s="108"/>
    </row>
    <row r="394" spans="1:28" ht="13.5" customHeight="1">
      <c r="A394" s="108"/>
      <c r="B394" s="49"/>
      <c r="C394" s="50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  <c r="AA394" s="108"/>
      <c r="AB394" s="108"/>
    </row>
    <row r="395" spans="1:28" ht="13.5" customHeight="1">
      <c r="A395" s="108"/>
      <c r="B395" s="49"/>
      <c r="C395" s="50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  <c r="AA395" s="108"/>
      <c r="AB395" s="108"/>
    </row>
    <row r="396" spans="1:28" ht="13.5" customHeight="1">
      <c r="A396" s="108"/>
      <c r="B396" s="49"/>
      <c r="C396" s="50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  <c r="AA396" s="108"/>
      <c r="AB396" s="108"/>
    </row>
    <row r="397" spans="1:28" ht="13.5" customHeight="1">
      <c r="A397" s="108"/>
      <c r="B397" s="49"/>
      <c r="C397" s="50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  <c r="AA397" s="108"/>
      <c r="AB397" s="108"/>
    </row>
    <row r="398" spans="1:28" ht="13.5" customHeight="1">
      <c r="A398" s="108"/>
      <c r="B398" s="49"/>
      <c r="C398" s="50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  <c r="AA398" s="108"/>
      <c r="AB398" s="108"/>
    </row>
    <row r="399" spans="1:28" ht="13.5" customHeight="1">
      <c r="A399" s="108"/>
      <c r="B399" s="49"/>
      <c r="C399" s="50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  <c r="AA399" s="108"/>
      <c r="AB399" s="108"/>
    </row>
    <row r="400" spans="1:28" ht="13.5" customHeight="1">
      <c r="A400" s="108"/>
      <c r="B400" s="49"/>
      <c r="C400" s="50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  <c r="AA400" s="108"/>
      <c r="AB400" s="108"/>
    </row>
    <row r="401" spans="1:28" ht="13.5" customHeight="1">
      <c r="A401" s="108"/>
      <c r="B401" s="49"/>
      <c r="C401" s="50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  <c r="AA401" s="108"/>
      <c r="AB401" s="108"/>
    </row>
    <row r="402" spans="1:28" ht="13.5" customHeight="1">
      <c r="A402" s="108"/>
      <c r="B402" s="49"/>
      <c r="C402" s="50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  <c r="AA402" s="108"/>
      <c r="AB402" s="108"/>
    </row>
    <row r="403" spans="1:28" ht="13.5" customHeight="1">
      <c r="A403" s="108"/>
      <c r="B403" s="49"/>
      <c r="C403" s="50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  <c r="AA403" s="108"/>
      <c r="AB403" s="108"/>
    </row>
    <row r="404" spans="1:28" ht="13.5" customHeight="1">
      <c r="A404" s="108"/>
      <c r="B404" s="49"/>
      <c r="C404" s="50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  <c r="AA404" s="108"/>
      <c r="AB404" s="108"/>
    </row>
    <row r="405" spans="1:28" ht="13.5" customHeight="1">
      <c r="A405" s="108"/>
      <c r="B405" s="49"/>
      <c r="C405" s="50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  <c r="AA405" s="108"/>
      <c r="AB405" s="108"/>
    </row>
    <row r="406" spans="1:28" ht="13.5" customHeight="1">
      <c r="A406" s="108"/>
      <c r="B406" s="49"/>
      <c r="C406" s="50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  <c r="AA406" s="108"/>
      <c r="AB406" s="108"/>
    </row>
    <row r="407" spans="1:28" ht="13.5" customHeight="1">
      <c r="A407" s="108"/>
      <c r="B407" s="49"/>
      <c r="C407" s="50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  <c r="AA407" s="108"/>
      <c r="AB407" s="108"/>
    </row>
    <row r="408" spans="1:28" ht="13.5" customHeight="1">
      <c r="A408" s="108"/>
      <c r="B408" s="49"/>
      <c r="C408" s="50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  <c r="AA408" s="108"/>
      <c r="AB408" s="108"/>
    </row>
    <row r="409" spans="1:28" ht="13.5" customHeight="1">
      <c r="A409" s="108"/>
      <c r="B409" s="49"/>
      <c r="C409" s="50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  <c r="AA409" s="108"/>
      <c r="AB409" s="108"/>
    </row>
    <row r="410" spans="1:28" ht="13.5" customHeight="1">
      <c r="A410" s="108"/>
      <c r="B410" s="49"/>
      <c r="C410" s="50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  <c r="AA410" s="108"/>
      <c r="AB410" s="108"/>
    </row>
    <row r="411" spans="1:28" ht="13.5" customHeight="1">
      <c r="A411" s="108"/>
      <c r="B411" s="49"/>
      <c r="C411" s="50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  <c r="AA411" s="108"/>
      <c r="AB411" s="108"/>
    </row>
    <row r="412" spans="1:28" ht="13.5" customHeight="1">
      <c r="A412" s="108"/>
      <c r="B412" s="49"/>
      <c r="C412" s="50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  <c r="AA412" s="108"/>
      <c r="AB412" s="108"/>
    </row>
    <row r="413" spans="1:28" ht="13.5" customHeight="1">
      <c r="A413" s="108"/>
      <c r="B413" s="49"/>
      <c r="C413" s="50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  <c r="AA413" s="108"/>
      <c r="AB413" s="108"/>
    </row>
    <row r="414" spans="1:28" ht="13.5" customHeight="1">
      <c r="A414" s="108"/>
      <c r="B414" s="49"/>
      <c r="C414" s="50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  <c r="AA414" s="108"/>
      <c r="AB414" s="108"/>
    </row>
    <row r="415" spans="1:28" ht="13.5" customHeight="1">
      <c r="A415" s="108"/>
      <c r="B415" s="49"/>
      <c r="C415" s="50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  <c r="AA415" s="108"/>
      <c r="AB415" s="108"/>
    </row>
    <row r="416" spans="1:28" ht="13.5" customHeight="1">
      <c r="A416" s="108"/>
      <c r="B416" s="49"/>
      <c r="C416" s="50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  <c r="AA416" s="108"/>
      <c r="AB416" s="108"/>
    </row>
    <row r="417" spans="1:28" ht="13.5" customHeight="1">
      <c r="A417" s="108"/>
      <c r="B417" s="49"/>
      <c r="C417" s="50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  <c r="AA417" s="108"/>
      <c r="AB417" s="108"/>
    </row>
    <row r="418" spans="1:28" ht="13.5" customHeight="1">
      <c r="A418" s="108"/>
      <c r="B418" s="49"/>
      <c r="C418" s="50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  <c r="AA418" s="108"/>
      <c r="AB418" s="108"/>
    </row>
    <row r="419" spans="1:28" ht="13.5" customHeight="1">
      <c r="A419" s="108"/>
      <c r="B419" s="49"/>
      <c r="C419" s="50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  <c r="AA419" s="108"/>
      <c r="AB419" s="108"/>
    </row>
    <row r="420" spans="1:28" ht="13.5" customHeight="1">
      <c r="A420" s="108"/>
      <c r="B420" s="49"/>
      <c r="C420" s="50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  <c r="AA420" s="108"/>
      <c r="AB420" s="108"/>
    </row>
    <row r="421" spans="1:28" ht="13.5" customHeight="1">
      <c r="A421" s="108"/>
      <c r="B421" s="49"/>
      <c r="C421" s="50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  <c r="AA421" s="108"/>
      <c r="AB421" s="108"/>
    </row>
    <row r="422" spans="1:28" ht="13.5" customHeight="1">
      <c r="A422" s="108"/>
      <c r="B422" s="49"/>
      <c r="C422" s="50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  <c r="AA422" s="108"/>
      <c r="AB422" s="108"/>
    </row>
    <row r="423" spans="1:28" ht="13.5" customHeight="1">
      <c r="A423" s="108"/>
      <c r="B423" s="49"/>
      <c r="C423" s="50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  <c r="AA423" s="108"/>
      <c r="AB423" s="108"/>
    </row>
    <row r="424" spans="1:28" ht="13.5" customHeight="1">
      <c r="A424" s="108"/>
      <c r="B424" s="49"/>
      <c r="C424" s="50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  <c r="AA424" s="108"/>
      <c r="AB424" s="108"/>
    </row>
    <row r="425" spans="1:28" ht="13.5" customHeight="1">
      <c r="A425" s="108"/>
      <c r="B425" s="49"/>
      <c r="C425" s="50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  <c r="AA425" s="108"/>
      <c r="AB425" s="108"/>
    </row>
    <row r="426" spans="1:28" ht="13.5" customHeight="1">
      <c r="A426" s="108"/>
      <c r="B426" s="49"/>
      <c r="C426" s="50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  <c r="AA426" s="108"/>
      <c r="AB426" s="108"/>
    </row>
    <row r="427" spans="1:28" ht="13.5" customHeight="1">
      <c r="A427" s="108"/>
      <c r="B427" s="49"/>
      <c r="C427" s="50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  <c r="AA427" s="108"/>
      <c r="AB427" s="108"/>
    </row>
    <row r="428" spans="1:28" ht="13.5" customHeight="1">
      <c r="A428" s="108"/>
      <c r="B428" s="49"/>
      <c r="C428" s="50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  <c r="AA428" s="108"/>
      <c r="AB428" s="108"/>
    </row>
    <row r="429" spans="1:28" ht="13.5" customHeight="1">
      <c r="A429" s="108"/>
      <c r="B429" s="49"/>
      <c r="C429" s="50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  <c r="AB429" s="108"/>
    </row>
    <row r="430" spans="1:28" ht="13.5" customHeight="1">
      <c r="A430" s="108"/>
      <c r="B430" s="49"/>
      <c r="C430" s="50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  <c r="AA430" s="108"/>
      <c r="AB430" s="108"/>
    </row>
    <row r="431" spans="1:28" ht="13.5" customHeight="1">
      <c r="A431" s="108"/>
      <c r="B431" s="49"/>
      <c r="C431" s="50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  <c r="AA431" s="108"/>
      <c r="AB431" s="108"/>
    </row>
    <row r="432" spans="1:28" ht="13.5" customHeight="1">
      <c r="A432" s="108"/>
      <c r="B432" s="49"/>
      <c r="C432" s="50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  <c r="AA432" s="108"/>
      <c r="AB432" s="108"/>
    </row>
    <row r="433" spans="1:28" ht="13.5" customHeight="1">
      <c r="A433" s="108"/>
      <c r="B433" s="49"/>
      <c r="C433" s="50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  <c r="AB433" s="108"/>
    </row>
    <row r="434" spans="1:28" ht="13.5" customHeight="1">
      <c r="A434" s="108"/>
      <c r="B434" s="49"/>
      <c r="C434" s="50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  <c r="AA434" s="108"/>
      <c r="AB434" s="108"/>
    </row>
    <row r="435" spans="1:28" ht="13.5" customHeight="1">
      <c r="A435" s="108"/>
      <c r="B435" s="49"/>
      <c r="C435" s="50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  <c r="AA435" s="108"/>
      <c r="AB435" s="108"/>
    </row>
    <row r="436" spans="1:28" ht="13.5" customHeight="1">
      <c r="A436" s="108"/>
      <c r="B436" s="49"/>
      <c r="C436" s="50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  <c r="AA436" s="108"/>
      <c r="AB436" s="108"/>
    </row>
    <row r="437" spans="1:28" ht="13.5" customHeight="1">
      <c r="A437" s="108"/>
      <c r="B437" s="49"/>
      <c r="C437" s="50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  <c r="AA437" s="108"/>
      <c r="AB437" s="108"/>
    </row>
    <row r="438" spans="1:28" ht="13.5" customHeight="1">
      <c r="A438" s="108"/>
      <c r="B438" s="49"/>
      <c r="C438" s="50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  <c r="AA438" s="108"/>
      <c r="AB438" s="108"/>
    </row>
    <row r="439" spans="1:28" ht="13.5" customHeight="1">
      <c r="A439" s="108"/>
      <c r="B439" s="49"/>
      <c r="C439" s="50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  <c r="AA439" s="108"/>
      <c r="AB439" s="108"/>
    </row>
    <row r="440" spans="1:28" ht="13.5" customHeight="1">
      <c r="A440" s="108"/>
      <c r="B440" s="49"/>
      <c r="C440" s="50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  <c r="AA440" s="108"/>
      <c r="AB440" s="108"/>
    </row>
    <row r="441" spans="1:28" ht="13.5" customHeight="1">
      <c r="A441" s="108"/>
      <c r="B441" s="49"/>
      <c r="C441" s="50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  <c r="AA441" s="108"/>
      <c r="AB441" s="108"/>
    </row>
    <row r="442" spans="1:28" ht="13.5" customHeight="1">
      <c r="A442" s="108"/>
      <c r="B442" s="49"/>
      <c r="C442" s="50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  <c r="AA442" s="108"/>
      <c r="AB442" s="108"/>
    </row>
    <row r="443" spans="1:28" ht="13.5" customHeight="1">
      <c r="A443" s="108"/>
      <c r="B443" s="49"/>
      <c r="C443" s="50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  <c r="AA443" s="108"/>
      <c r="AB443" s="108"/>
    </row>
    <row r="444" spans="1:28" ht="13.5" customHeight="1">
      <c r="A444" s="108"/>
      <c r="B444" s="49"/>
      <c r="C444" s="50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  <c r="AA444" s="108"/>
      <c r="AB444" s="108"/>
    </row>
    <row r="445" spans="1:28" ht="13.5" customHeight="1">
      <c r="A445" s="108"/>
      <c r="B445" s="49"/>
      <c r="C445" s="50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  <c r="AA445" s="108"/>
      <c r="AB445" s="108"/>
    </row>
    <row r="446" spans="1:28" ht="13.5" customHeight="1">
      <c r="A446" s="108"/>
      <c r="B446" s="49"/>
      <c r="C446" s="50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  <c r="AA446" s="108"/>
      <c r="AB446" s="108"/>
    </row>
    <row r="447" spans="1:28" ht="13.5" customHeight="1">
      <c r="A447" s="108"/>
      <c r="B447" s="49"/>
      <c r="C447" s="50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  <c r="AA447" s="108"/>
      <c r="AB447" s="108"/>
    </row>
    <row r="448" spans="1:28" ht="13.5" customHeight="1">
      <c r="A448" s="108"/>
      <c r="B448" s="49"/>
      <c r="C448" s="50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  <c r="AB448" s="108"/>
    </row>
    <row r="449" spans="1:28" ht="13.5" customHeight="1">
      <c r="A449" s="108"/>
      <c r="B449" s="49"/>
      <c r="C449" s="50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</row>
    <row r="450" spans="1:28" ht="13.5" customHeight="1">
      <c r="A450" s="108"/>
      <c r="B450" s="49"/>
      <c r="C450" s="50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  <c r="AA450" s="108"/>
      <c r="AB450" s="108"/>
    </row>
    <row r="451" spans="1:28" ht="13.5" customHeight="1">
      <c r="A451" s="108"/>
      <c r="B451" s="49"/>
      <c r="C451" s="50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</row>
    <row r="452" spans="1:28" ht="13.5" customHeight="1">
      <c r="A452" s="108"/>
      <c r="B452" s="49"/>
      <c r="C452" s="50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  <c r="AA452" s="108"/>
      <c r="AB452" s="108"/>
    </row>
    <row r="453" spans="1:28" ht="13.5" customHeight="1">
      <c r="A453" s="108"/>
      <c r="B453" s="49"/>
      <c r="C453" s="50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  <c r="AA453" s="108"/>
      <c r="AB453" s="108"/>
    </row>
    <row r="454" spans="1:28" ht="13.5" customHeight="1">
      <c r="A454" s="108"/>
      <c r="B454" s="49"/>
      <c r="C454" s="50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  <c r="AA454" s="108"/>
      <c r="AB454" s="108"/>
    </row>
    <row r="455" spans="1:28" ht="13.5" customHeight="1">
      <c r="A455" s="108"/>
      <c r="B455" s="49"/>
      <c r="C455" s="50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  <c r="AA455" s="108"/>
      <c r="AB455" s="108"/>
    </row>
    <row r="456" spans="1:28" ht="13.5" customHeight="1">
      <c r="A456" s="108"/>
      <c r="B456" s="49"/>
      <c r="C456" s="50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  <c r="AA456" s="108"/>
      <c r="AB456" s="108"/>
    </row>
    <row r="457" spans="1:28" ht="13.5" customHeight="1">
      <c r="A457" s="108"/>
      <c r="B457" s="49"/>
      <c r="C457" s="50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  <c r="AA457" s="108"/>
      <c r="AB457" s="108"/>
    </row>
    <row r="458" spans="1:28" ht="13.5" customHeight="1">
      <c r="A458" s="108"/>
      <c r="B458" s="49"/>
      <c r="C458" s="50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  <c r="AA458" s="108"/>
      <c r="AB458" s="108"/>
    </row>
    <row r="459" spans="1:28" ht="13.5" customHeight="1">
      <c r="A459" s="108"/>
      <c r="B459" s="49"/>
      <c r="C459" s="50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  <c r="AA459" s="108"/>
      <c r="AB459" s="108"/>
    </row>
    <row r="460" spans="1:28" ht="13.5" customHeight="1">
      <c r="A460" s="108"/>
      <c r="B460" s="49"/>
      <c r="C460" s="50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</row>
    <row r="461" spans="1:28" ht="13.5" customHeight="1">
      <c r="A461" s="108"/>
      <c r="B461" s="49"/>
      <c r="C461" s="50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</row>
    <row r="462" spans="1:28" ht="13.5" customHeight="1">
      <c r="A462" s="108"/>
      <c r="B462" s="49"/>
      <c r="C462" s="50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</row>
    <row r="463" spans="1:28" ht="13.5" customHeight="1">
      <c r="A463" s="108"/>
      <c r="B463" s="49"/>
      <c r="C463" s="50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</row>
    <row r="464" spans="1:28" ht="13.5" customHeight="1">
      <c r="A464" s="108"/>
      <c r="B464" s="49"/>
      <c r="C464" s="50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</row>
    <row r="465" spans="1:28" ht="13.5" customHeight="1">
      <c r="A465" s="108"/>
      <c r="B465" s="49"/>
      <c r="C465" s="50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  <c r="AA465" s="108"/>
      <c r="AB465" s="108"/>
    </row>
    <row r="466" spans="1:28" ht="13.5" customHeight="1">
      <c r="A466" s="108"/>
      <c r="B466" s="49"/>
      <c r="C466" s="50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  <c r="AA466" s="108"/>
      <c r="AB466" s="108"/>
    </row>
    <row r="467" spans="1:28" ht="13.5" customHeight="1">
      <c r="A467" s="108"/>
      <c r="B467" s="49"/>
      <c r="C467" s="50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  <c r="AA467" s="108"/>
      <c r="AB467" s="108"/>
    </row>
    <row r="468" spans="1:28" ht="13.5" customHeight="1">
      <c r="A468" s="108"/>
      <c r="B468" s="49"/>
      <c r="C468" s="50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  <c r="AA468" s="108"/>
      <c r="AB468" s="108"/>
    </row>
    <row r="469" spans="1:28" ht="13.5" customHeight="1">
      <c r="A469" s="108"/>
      <c r="B469" s="49"/>
      <c r="C469" s="50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  <c r="AA469" s="108"/>
      <c r="AB469" s="108"/>
    </row>
    <row r="470" spans="1:28" ht="13.5" customHeight="1">
      <c r="A470" s="108"/>
      <c r="B470" s="49"/>
      <c r="C470" s="50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  <c r="AA470" s="108"/>
      <c r="AB470" s="108"/>
    </row>
    <row r="471" spans="1:28" ht="13.5" customHeight="1">
      <c r="A471" s="108"/>
      <c r="B471" s="49"/>
      <c r="C471" s="50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  <c r="AA471" s="108"/>
      <c r="AB471" s="108"/>
    </row>
    <row r="472" spans="1:28" ht="13.5" customHeight="1">
      <c r="A472" s="108"/>
      <c r="B472" s="49"/>
      <c r="C472" s="50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  <c r="AA472" s="108"/>
      <c r="AB472" s="108"/>
    </row>
    <row r="473" spans="1:28" ht="13.5" customHeight="1">
      <c r="A473" s="108"/>
      <c r="B473" s="49"/>
      <c r="C473" s="50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  <c r="AA473" s="108"/>
      <c r="AB473" s="108"/>
    </row>
    <row r="474" spans="1:28" ht="13.5" customHeight="1">
      <c r="A474" s="108"/>
      <c r="B474" s="49"/>
      <c r="C474" s="50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  <c r="AA474" s="108"/>
      <c r="AB474" s="108"/>
    </row>
    <row r="475" spans="1:28" ht="13.5" customHeight="1">
      <c r="A475" s="108"/>
      <c r="B475" s="49"/>
      <c r="C475" s="50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  <c r="AA475" s="108"/>
      <c r="AB475" s="108"/>
    </row>
    <row r="476" spans="1:28" ht="13.5" customHeight="1">
      <c r="A476" s="108"/>
      <c r="B476" s="49"/>
      <c r="C476" s="50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  <c r="AA476" s="108"/>
      <c r="AB476" s="108"/>
    </row>
    <row r="477" spans="1:28" ht="13.5" customHeight="1">
      <c r="A477" s="108"/>
      <c r="B477" s="49"/>
      <c r="C477" s="50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  <c r="AA477" s="108"/>
      <c r="AB477" s="108"/>
    </row>
    <row r="478" spans="1:28" ht="13.5" customHeight="1">
      <c r="A478" s="108"/>
      <c r="B478" s="49"/>
      <c r="C478" s="50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  <c r="AA478" s="108"/>
      <c r="AB478" s="108"/>
    </row>
    <row r="479" spans="1:28" ht="13.5" customHeight="1">
      <c r="A479" s="108"/>
      <c r="B479" s="49"/>
      <c r="C479" s="50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  <c r="AA479" s="108"/>
      <c r="AB479" s="108"/>
    </row>
    <row r="480" spans="1:28" ht="13.5" customHeight="1">
      <c r="A480" s="108"/>
      <c r="B480" s="49"/>
      <c r="C480" s="50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  <c r="AA480" s="108"/>
      <c r="AB480" s="108"/>
    </row>
    <row r="481" spans="1:28" ht="13.5" customHeight="1">
      <c r="A481" s="108"/>
      <c r="B481" s="49"/>
      <c r="C481" s="50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  <c r="AB481" s="108"/>
    </row>
    <row r="482" spans="1:28" ht="13.5" customHeight="1">
      <c r="A482" s="108"/>
      <c r="B482" s="49"/>
      <c r="C482" s="50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  <c r="AA482" s="108"/>
      <c r="AB482" s="108"/>
    </row>
    <row r="483" spans="1:28" ht="13.5" customHeight="1">
      <c r="A483" s="108"/>
      <c r="B483" s="49"/>
      <c r="C483" s="50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  <c r="AA483" s="108"/>
      <c r="AB483" s="108"/>
    </row>
    <row r="484" spans="1:28" ht="13.5" customHeight="1">
      <c r="A484" s="108"/>
      <c r="B484" s="49"/>
      <c r="C484" s="50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  <c r="AA484" s="108"/>
      <c r="AB484" s="108"/>
    </row>
    <row r="485" spans="1:28" ht="13.5" customHeight="1">
      <c r="A485" s="108"/>
      <c r="B485" s="49"/>
      <c r="C485" s="50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  <c r="AA485" s="108"/>
      <c r="AB485" s="108"/>
    </row>
    <row r="486" spans="1:28" ht="13.5" customHeight="1">
      <c r="A486" s="108"/>
      <c r="B486" s="49"/>
      <c r="C486" s="50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  <c r="AA486" s="108"/>
      <c r="AB486" s="108"/>
    </row>
    <row r="487" spans="1:28" ht="13.5" customHeight="1">
      <c r="A487" s="108"/>
      <c r="B487" s="49"/>
      <c r="C487" s="50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  <c r="AA487" s="108"/>
      <c r="AB487" s="108"/>
    </row>
    <row r="488" spans="1:28" ht="13.5" customHeight="1">
      <c r="A488" s="108"/>
      <c r="B488" s="49"/>
      <c r="C488" s="50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  <c r="AA488" s="108"/>
      <c r="AB488" s="108"/>
    </row>
    <row r="489" spans="1:28" ht="13.5" customHeight="1">
      <c r="A489" s="108"/>
      <c r="B489" s="49"/>
      <c r="C489" s="50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  <c r="AA489" s="108"/>
      <c r="AB489" s="108"/>
    </row>
    <row r="490" spans="1:28" ht="13.5" customHeight="1">
      <c r="A490" s="108"/>
      <c r="B490" s="49"/>
      <c r="C490" s="50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  <c r="AA490" s="108"/>
      <c r="AB490" s="108"/>
    </row>
    <row r="491" spans="1:28" ht="13.5" customHeight="1">
      <c r="A491" s="108"/>
      <c r="B491" s="49"/>
      <c r="C491" s="50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  <c r="AA491" s="108"/>
      <c r="AB491" s="108"/>
    </row>
    <row r="492" spans="1:28" ht="13.5" customHeight="1">
      <c r="A492" s="108"/>
      <c r="B492" s="49"/>
      <c r="C492" s="50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  <c r="AA492" s="108"/>
      <c r="AB492" s="108"/>
    </row>
    <row r="493" spans="1:28" ht="13.5" customHeight="1">
      <c r="A493" s="108"/>
      <c r="B493" s="49"/>
      <c r="C493" s="50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  <c r="AA493" s="108"/>
      <c r="AB493" s="108"/>
    </row>
    <row r="494" spans="1:28" ht="13.5" customHeight="1">
      <c r="A494" s="108"/>
      <c r="B494" s="49"/>
      <c r="C494" s="50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  <c r="AB494" s="108"/>
    </row>
    <row r="495" spans="1:28" ht="13.5" customHeight="1">
      <c r="A495" s="108"/>
      <c r="B495" s="49"/>
      <c r="C495" s="50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  <c r="AA495" s="108"/>
      <c r="AB495" s="108"/>
    </row>
    <row r="496" spans="1:28" ht="13.5" customHeight="1">
      <c r="A496" s="108"/>
      <c r="B496" s="49"/>
      <c r="C496" s="50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  <c r="AA496" s="108"/>
      <c r="AB496" s="108"/>
    </row>
    <row r="497" spans="1:28" ht="13.5" customHeight="1">
      <c r="A497" s="108"/>
      <c r="B497" s="49"/>
      <c r="C497" s="50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  <c r="AA497" s="108"/>
      <c r="AB497" s="108"/>
    </row>
    <row r="498" spans="1:28" ht="13.5" customHeight="1">
      <c r="A498" s="108"/>
      <c r="B498" s="49"/>
      <c r="C498" s="50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  <c r="AA498" s="108"/>
      <c r="AB498" s="108"/>
    </row>
    <row r="499" spans="1:28" ht="13.5" customHeight="1">
      <c r="A499" s="108"/>
      <c r="B499" s="49"/>
      <c r="C499" s="50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  <c r="AA499" s="108"/>
      <c r="AB499" s="108"/>
    </row>
    <row r="500" spans="1:28" ht="13.5" customHeight="1">
      <c r="A500" s="108"/>
      <c r="B500" s="49"/>
      <c r="C500" s="50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  <c r="AA500" s="108"/>
      <c r="AB500" s="108"/>
    </row>
    <row r="501" spans="1:28" ht="13.5" customHeight="1">
      <c r="A501" s="108"/>
      <c r="B501" s="49"/>
      <c r="C501" s="50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  <c r="AA501" s="108"/>
      <c r="AB501" s="108"/>
    </row>
    <row r="502" spans="1:28" ht="13.5" customHeight="1">
      <c r="A502" s="108"/>
      <c r="B502" s="49"/>
      <c r="C502" s="50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  <c r="AA502" s="108"/>
      <c r="AB502" s="108"/>
    </row>
    <row r="503" spans="1:28" ht="13.5" customHeight="1">
      <c r="A503" s="108"/>
      <c r="B503" s="49"/>
      <c r="C503" s="50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  <c r="AB503" s="108"/>
    </row>
    <row r="504" spans="1:28" ht="13.5" customHeight="1">
      <c r="A504" s="108"/>
      <c r="B504" s="49"/>
      <c r="C504" s="50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  <c r="AA504" s="108"/>
      <c r="AB504" s="108"/>
    </row>
    <row r="505" spans="1:28" ht="13.5" customHeight="1">
      <c r="A505" s="108"/>
      <c r="B505" s="49"/>
      <c r="C505" s="50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  <c r="AA505" s="108"/>
      <c r="AB505" s="108"/>
    </row>
    <row r="506" spans="1:28" ht="13.5" customHeight="1">
      <c r="A506" s="108"/>
      <c r="B506" s="49"/>
      <c r="C506" s="50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  <c r="AA506" s="108"/>
      <c r="AB506" s="108"/>
    </row>
    <row r="507" spans="1:28" ht="13.5" customHeight="1">
      <c r="A507" s="108"/>
      <c r="B507" s="49"/>
      <c r="C507" s="50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  <c r="AA507" s="108"/>
      <c r="AB507" s="108"/>
    </row>
    <row r="508" spans="1:28" ht="13.5" customHeight="1">
      <c r="A508" s="108"/>
      <c r="B508" s="49"/>
      <c r="C508" s="50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  <c r="AA508" s="108"/>
      <c r="AB508" s="108"/>
    </row>
    <row r="509" spans="1:28" ht="13.5" customHeight="1">
      <c r="A509" s="108"/>
      <c r="B509" s="49"/>
      <c r="C509" s="50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  <c r="AA509" s="108"/>
      <c r="AB509" s="108"/>
    </row>
    <row r="510" spans="1:28" ht="13.5" customHeight="1">
      <c r="A510" s="108"/>
      <c r="B510" s="49"/>
      <c r="C510" s="50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  <c r="AA510" s="108"/>
      <c r="AB510" s="108"/>
    </row>
    <row r="511" spans="1:28" ht="13.5" customHeight="1">
      <c r="A511" s="108"/>
      <c r="B511" s="49"/>
      <c r="C511" s="50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  <c r="AA511" s="108"/>
      <c r="AB511" s="108"/>
    </row>
    <row r="512" spans="1:28" ht="13.5" customHeight="1">
      <c r="A512" s="108"/>
      <c r="B512" s="49"/>
      <c r="C512" s="50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  <c r="AA512" s="108"/>
      <c r="AB512" s="108"/>
    </row>
    <row r="513" spans="1:28" ht="13.5" customHeight="1">
      <c r="A513" s="108"/>
      <c r="B513" s="49"/>
      <c r="C513" s="50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  <c r="AA513" s="108"/>
      <c r="AB513" s="108"/>
    </row>
    <row r="514" spans="1:28" ht="13.5" customHeight="1">
      <c r="A514" s="108"/>
      <c r="B514" s="49"/>
      <c r="C514" s="50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  <c r="AA514" s="108"/>
      <c r="AB514" s="108"/>
    </row>
    <row r="515" spans="1:28" ht="13.5" customHeight="1">
      <c r="A515" s="108"/>
      <c r="B515" s="49"/>
      <c r="C515" s="50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  <c r="AA515" s="108"/>
      <c r="AB515" s="108"/>
    </row>
    <row r="516" spans="1:28" ht="13.5" customHeight="1">
      <c r="A516" s="108"/>
      <c r="B516" s="49"/>
      <c r="C516" s="50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  <c r="AA516" s="108"/>
      <c r="AB516" s="108"/>
    </row>
    <row r="517" spans="1:28" ht="13.5" customHeight="1">
      <c r="A517" s="108"/>
      <c r="B517" s="49"/>
      <c r="C517" s="50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  <c r="AA517" s="108"/>
      <c r="AB517" s="108"/>
    </row>
    <row r="518" spans="1:28" ht="13.5" customHeight="1">
      <c r="A518" s="108"/>
      <c r="B518" s="49"/>
      <c r="C518" s="50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  <c r="AA518" s="108"/>
      <c r="AB518" s="108"/>
    </row>
    <row r="519" spans="1:28" ht="13.5" customHeight="1">
      <c r="A519" s="108"/>
      <c r="B519" s="49"/>
      <c r="C519" s="50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  <c r="AA519" s="108"/>
      <c r="AB519" s="108"/>
    </row>
    <row r="520" spans="1:28" ht="13.5" customHeight="1">
      <c r="A520" s="108"/>
      <c r="B520" s="49"/>
      <c r="C520" s="50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  <c r="AA520" s="108"/>
      <c r="AB520" s="108"/>
    </row>
    <row r="521" spans="1:28" ht="13.5" customHeight="1">
      <c r="A521" s="108"/>
      <c r="B521" s="49"/>
      <c r="C521" s="50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  <c r="AA521" s="108"/>
      <c r="AB521" s="108"/>
    </row>
    <row r="522" spans="1:28" ht="13.5" customHeight="1">
      <c r="A522" s="108"/>
      <c r="B522" s="49"/>
      <c r="C522" s="50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  <c r="AA522" s="108"/>
      <c r="AB522" s="108"/>
    </row>
    <row r="523" spans="1:28" ht="13.5" customHeight="1">
      <c r="A523" s="108"/>
      <c r="B523" s="49"/>
      <c r="C523" s="50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  <c r="AA523" s="108"/>
      <c r="AB523" s="108"/>
    </row>
    <row r="524" spans="1:28" ht="13.5" customHeight="1">
      <c r="A524" s="108"/>
      <c r="B524" s="49"/>
      <c r="C524" s="50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  <c r="AA524" s="108"/>
      <c r="AB524" s="108"/>
    </row>
    <row r="525" spans="1:28" ht="13.5" customHeight="1">
      <c r="A525" s="108"/>
      <c r="B525" s="49"/>
      <c r="C525" s="50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  <c r="AA525" s="108"/>
      <c r="AB525" s="108"/>
    </row>
    <row r="526" spans="1:28" ht="13.5" customHeight="1">
      <c r="A526" s="108"/>
      <c r="B526" s="49"/>
      <c r="C526" s="50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  <c r="AA526" s="108"/>
      <c r="AB526" s="108"/>
    </row>
    <row r="527" spans="1:28" ht="13.5" customHeight="1">
      <c r="A527" s="108"/>
      <c r="B527" s="49"/>
      <c r="C527" s="50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  <c r="AA527" s="108"/>
      <c r="AB527" s="108"/>
    </row>
    <row r="528" spans="1:28" ht="13.5" customHeight="1">
      <c r="A528" s="108"/>
      <c r="B528" s="49"/>
      <c r="C528" s="50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  <c r="AA528" s="108"/>
      <c r="AB528" s="108"/>
    </row>
    <row r="529" spans="1:28" ht="13.5" customHeight="1">
      <c r="A529" s="108"/>
      <c r="B529" s="49"/>
      <c r="C529" s="50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  <c r="AA529" s="108"/>
      <c r="AB529" s="108"/>
    </row>
    <row r="530" spans="1:28" ht="13.5" customHeight="1">
      <c r="A530" s="108"/>
      <c r="B530" s="49"/>
      <c r="C530" s="50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  <c r="AA530" s="108"/>
      <c r="AB530" s="108"/>
    </row>
    <row r="531" spans="1:28" ht="13.5" customHeight="1">
      <c r="A531" s="108"/>
      <c r="B531" s="49"/>
      <c r="C531" s="50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  <c r="AA531" s="108"/>
      <c r="AB531" s="108"/>
    </row>
    <row r="532" spans="1:28" ht="13.5" customHeight="1">
      <c r="A532" s="108"/>
      <c r="B532" s="49"/>
      <c r="C532" s="50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  <c r="AA532" s="108"/>
      <c r="AB532" s="108"/>
    </row>
    <row r="533" spans="1:28" ht="13.5" customHeight="1">
      <c r="A533" s="108"/>
      <c r="B533" s="49"/>
      <c r="C533" s="50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  <c r="AA533" s="108"/>
      <c r="AB533" s="108"/>
    </row>
    <row r="534" spans="1:28" ht="13.5" customHeight="1">
      <c r="A534" s="108"/>
      <c r="B534" s="49"/>
      <c r="C534" s="50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  <c r="AB534" s="108"/>
    </row>
    <row r="535" spans="1:28" ht="13.5" customHeight="1">
      <c r="A535" s="108"/>
      <c r="B535" s="49"/>
      <c r="C535" s="50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  <c r="AA535" s="108"/>
      <c r="AB535" s="108"/>
    </row>
    <row r="536" spans="1:28" ht="13.5" customHeight="1">
      <c r="A536" s="108"/>
      <c r="B536" s="49"/>
      <c r="C536" s="50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  <c r="AA536" s="108"/>
      <c r="AB536" s="108"/>
    </row>
    <row r="537" spans="1:28" ht="13.5" customHeight="1">
      <c r="A537" s="108"/>
      <c r="B537" s="49"/>
      <c r="C537" s="50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  <c r="AA537" s="108"/>
      <c r="AB537" s="108"/>
    </row>
    <row r="538" spans="1:28" ht="13.5" customHeight="1">
      <c r="A538" s="108"/>
      <c r="B538" s="49"/>
      <c r="C538" s="50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  <c r="AA538" s="108"/>
      <c r="AB538" s="108"/>
    </row>
    <row r="539" spans="1:28" ht="13.5" customHeight="1">
      <c r="A539" s="108"/>
      <c r="B539" s="49"/>
      <c r="C539" s="50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  <c r="AA539" s="108"/>
      <c r="AB539" s="108"/>
    </row>
    <row r="540" spans="1:28" ht="13.5" customHeight="1">
      <c r="A540" s="108"/>
      <c r="B540" s="49"/>
      <c r="C540" s="50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  <c r="AA540" s="108"/>
      <c r="AB540" s="108"/>
    </row>
    <row r="541" spans="1:28" ht="13.5" customHeight="1">
      <c r="A541" s="108"/>
      <c r="B541" s="49"/>
      <c r="C541" s="50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  <c r="AA541" s="108"/>
      <c r="AB541" s="108"/>
    </row>
    <row r="542" spans="1:28" ht="13.5" customHeight="1">
      <c r="A542" s="108"/>
      <c r="B542" s="49"/>
      <c r="C542" s="50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  <c r="AA542" s="108"/>
      <c r="AB542" s="108"/>
    </row>
    <row r="543" spans="1:28" ht="13.5" customHeight="1">
      <c r="A543" s="108"/>
      <c r="B543" s="49"/>
      <c r="C543" s="50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  <c r="AA543" s="108"/>
      <c r="AB543" s="108"/>
    </row>
    <row r="544" spans="1:28" ht="13.5" customHeight="1">
      <c r="A544" s="108"/>
      <c r="B544" s="49"/>
      <c r="C544" s="50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  <c r="AA544" s="108"/>
      <c r="AB544" s="108"/>
    </row>
    <row r="545" spans="1:28" ht="13.5" customHeight="1">
      <c r="A545" s="108"/>
      <c r="B545" s="49"/>
      <c r="C545" s="50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  <c r="AA545" s="108"/>
      <c r="AB545" s="108"/>
    </row>
    <row r="546" spans="1:28" ht="13.5" customHeight="1">
      <c r="A546" s="108"/>
      <c r="B546" s="49"/>
      <c r="C546" s="50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  <c r="AA546" s="108"/>
      <c r="AB546" s="108"/>
    </row>
    <row r="547" spans="1:28" ht="13.5" customHeight="1">
      <c r="A547" s="108"/>
      <c r="B547" s="49"/>
      <c r="C547" s="50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  <c r="AA547" s="108"/>
      <c r="AB547" s="108"/>
    </row>
    <row r="548" spans="1:28" ht="13.5" customHeight="1">
      <c r="A548" s="108"/>
      <c r="B548" s="49"/>
      <c r="C548" s="50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  <c r="AA548" s="108"/>
      <c r="AB548" s="108"/>
    </row>
    <row r="549" spans="1:28" ht="13.5" customHeight="1">
      <c r="A549" s="108"/>
      <c r="B549" s="49"/>
      <c r="C549" s="50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  <c r="AA549" s="108"/>
      <c r="AB549" s="108"/>
    </row>
    <row r="550" spans="1:28" ht="13.5" customHeight="1">
      <c r="A550" s="108"/>
      <c r="B550" s="49"/>
      <c r="C550" s="50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  <c r="AA550" s="108"/>
      <c r="AB550" s="108"/>
    </row>
    <row r="551" spans="1:28" ht="13.5" customHeight="1">
      <c r="A551" s="108"/>
      <c r="B551" s="49"/>
      <c r="C551" s="50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  <c r="AA551" s="108"/>
      <c r="AB551" s="108"/>
    </row>
    <row r="552" spans="1:28" ht="13.5" customHeight="1">
      <c r="A552" s="108"/>
      <c r="B552" s="49"/>
      <c r="C552" s="50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  <c r="AA552" s="108"/>
      <c r="AB552" s="108"/>
    </row>
    <row r="553" spans="1:28" ht="13.5" customHeight="1">
      <c r="A553" s="108"/>
      <c r="B553" s="49"/>
      <c r="C553" s="50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  <c r="AB553" s="108"/>
    </row>
    <row r="554" spans="1:28" ht="13.5" customHeight="1">
      <c r="A554" s="108"/>
      <c r="B554" s="49"/>
      <c r="C554" s="50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  <c r="AA554" s="108"/>
      <c r="AB554" s="108"/>
    </row>
    <row r="555" spans="1:28" ht="13.5" customHeight="1">
      <c r="A555" s="108"/>
      <c r="B555" s="49"/>
      <c r="C555" s="50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</row>
    <row r="556" spans="1:28" ht="13.5" customHeight="1">
      <c r="A556" s="108"/>
      <c r="B556" s="49"/>
      <c r="C556" s="50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  <c r="AA556" s="108"/>
      <c r="AB556" s="108"/>
    </row>
    <row r="557" spans="1:28" ht="13.5" customHeight="1">
      <c r="A557" s="108"/>
      <c r="B557" s="49"/>
      <c r="C557" s="50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  <c r="AA557" s="108"/>
      <c r="AB557" s="108"/>
    </row>
    <row r="558" spans="1:28" ht="13.5" customHeight="1">
      <c r="A558" s="108"/>
      <c r="B558" s="49"/>
      <c r="C558" s="50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  <c r="AA558" s="108"/>
      <c r="AB558" s="108"/>
    </row>
    <row r="559" spans="1:28" ht="13.5" customHeight="1">
      <c r="A559" s="108"/>
      <c r="B559" s="49"/>
      <c r="C559" s="50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  <c r="AA559" s="108"/>
      <c r="AB559" s="108"/>
    </row>
    <row r="560" spans="1:28" ht="13.5" customHeight="1">
      <c r="A560" s="108"/>
      <c r="B560" s="49"/>
      <c r="C560" s="50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  <c r="AA560" s="108"/>
      <c r="AB560" s="108"/>
    </row>
    <row r="561" spans="1:28" ht="13.5" customHeight="1">
      <c r="A561" s="108"/>
      <c r="B561" s="49"/>
      <c r="C561" s="50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  <c r="AA561" s="108"/>
      <c r="AB561" s="108"/>
    </row>
    <row r="562" spans="1:28" ht="13.5" customHeight="1">
      <c r="A562" s="108"/>
      <c r="B562" s="49"/>
      <c r="C562" s="50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  <c r="AA562" s="108"/>
      <c r="AB562" s="108"/>
    </row>
    <row r="563" spans="1:28" ht="13.5" customHeight="1">
      <c r="A563" s="108"/>
      <c r="B563" s="49"/>
      <c r="C563" s="50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  <c r="AA563" s="108"/>
      <c r="AB563" s="108"/>
    </row>
    <row r="564" spans="1:28" ht="13.5" customHeight="1">
      <c r="A564" s="108"/>
      <c r="B564" s="49"/>
      <c r="C564" s="50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</row>
    <row r="565" spans="1:28" ht="13.5" customHeight="1">
      <c r="A565" s="108"/>
      <c r="B565" s="49"/>
      <c r="C565" s="50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  <c r="AB565" s="108"/>
    </row>
    <row r="566" spans="1:28" ht="13.5" customHeight="1">
      <c r="A566" s="108"/>
      <c r="B566" s="49"/>
      <c r="C566" s="50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  <c r="AA566" s="108"/>
      <c r="AB566" s="108"/>
    </row>
    <row r="567" spans="1:28" ht="13.5" customHeight="1">
      <c r="A567" s="108"/>
      <c r="B567" s="49"/>
      <c r="C567" s="50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  <c r="AA567" s="108"/>
      <c r="AB567" s="108"/>
    </row>
    <row r="568" spans="1:28" ht="13.5" customHeight="1">
      <c r="A568" s="108"/>
      <c r="B568" s="49"/>
      <c r="C568" s="50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  <c r="AA568" s="108"/>
      <c r="AB568" s="108"/>
    </row>
    <row r="569" spans="1:28" ht="13.5" customHeight="1">
      <c r="A569" s="108"/>
      <c r="B569" s="49"/>
      <c r="C569" s="50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  <c r="AA569" s="108"/>
      <c r="AB569" s="108"/>
    </row>
    <row r="570" spans="1:28" ht="13.5" customHeight="1">
      <c r="A570" s="108"/>
      <c r="B570" s="49"/>
      <c r="C570" s="50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  <c r="AA570" s="108"/>
      <c r="AB570" s="108"/>
    </row>
    <row r="571" spans="1:28" ht="13.5" customHeight="1">
      <c r="A571" s="108"/>
      <c r="B571" s="49"/>
      <c r="C571" s="50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</row>
    <row r="572" spans="1:28" ht="13.5" customHeight="1">
      <c r="A572" s="108"/>
      <c r="B572" s="49"/>
      <c r="C572" s="50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</row>
    <row r="573" spans="1:28" ht="13.5" customHeight="1">
      <c r="A573" s="108"/>
      <c r="B573" s="49"/>
      <c r="C573" s="50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</row>
    <row r="574" spans="1:28" ht="13.5" customHeight="1">
      <c r="A574" s="108"/>
      <c r="B574" s="49"/>
      <c r="C574" s="50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</row>
    <row r="575" spans="1:28" ht="13.5" customHeight="1">
      <c r="A575" s="108"/>
      <c r="B575" s="49"/>
      <c r="C575" s="50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</row>
    <row r="576" spans="1:28" ht="13.5" customHeight="1">
      <c r="A576" s="108"/>
      <c r="B576" s="49"/>
      <c r="C576" s="50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</row>
    <row r="577" spans="1:28" ht="13.5" customHeight="1">
      <c r="A577" s="108"/>
      <c r="B577" s="49"/>
      <c r="C577" s="50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  <c r="AA577" s="108"/>
      <c r="AB577" s="108"/>
    </row>
    <row r="578" spans="1:28" ht="13.5" customHeight="1">
      <c r="A578" s="108"/>
      <c r="B578" s="49"/>
      <c r="C578" s="50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  <c r="AA578" s="108"/>
      <c r="AB578" s="108"/>
    </row>
    <row r="579" spans="1:28" ht="13.5" customHeight="1">
      <c r="A579" s="108"/>
      <c r="B579" s="49"/>
      <c r="C579" s="50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  <c r="AA579" s="108"/>
      <c r="AB579" s="108"/>
    </row>
    <row r="580" spans="1:28" ht="13.5" customHeight="1">
      <c r="A580" s="108"/>
      <c r="B580" s="49"/>
      <c r="C580" s="50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  <c r="AA580" s="108"/>
      <c r="AB580" s="108"/>
    </row>
    <row r="581" spans="1:28" ht="13.5" customHeight="1">
      <c r="A581" s="108"/>
      <c r="B581" s="49"/>
      <c r="C581" s="50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  <c r="AA581" s="108"/>
      <c r="AB581" s="108"/>
    </row>
    <row r="582" spans="1:28" ht="13.5" customHeight="1">
      <c r="A582" s="108"/>
      <c r="B582" s="49"/>
      <c r="C582" s="50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  <c r="AA582" s="108"/>
      <c r="AB582" s="108"/>
    </row>
    <row r="583" spans="1:28" ht="13.5" customHeight="1">
      <c r="A583" s="108"/>
      <c r="B583" s="49"/>
      <c r="C583" s="50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  <c r="AA583" s="108"/>
      <c r="AB583" s="108"/>
    </row>
    <row r="584" spans="1:28" ht="13.5" customHeight="1">
      <c r="A584" s="108"/>
      <c r="B584" s="49"/>
      <c r="C584" s="50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  <c r="AA584" s="108"/>
      <c r="AB584" s="108"/>
    </row>
    <row r="585" spans="1:28" ht="13.5" customHeight="1">
      <c r="A585" s="108"/>
      <c r="B585" s="49"/>
      <c r="C585" s="50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  <c r="AA585" s="108"/>
      <c r="AB585" s="108"/>
    </row>
    <row r="586" spans="1:28" ht="13.5" customHeight="1">
      <c r="A586" s="108"/>
      <c r="B586" s="49"/>
      <c r="C586" s="50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  <c r="AB586" s="108"/>
    </row>
    <row r="587" spans="1:28" ht="13.5" customHeight="1">
      <c r="A587" s="108"/>
      <c r="B587" s="49"/>
      <c r="C587" s="50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  <c r="AA587" s="108"/>
      <c r="AB587" s="108"/>
    </row>
    <row r="588" spans="1:28" ht="13.5" customHeight="1">
      <c r="A588" s="108"/>
      <c r="B588" s="49"/>
      <c r="C588" s="50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</row>
    <row r="589" spans="1:28" ht="13.5" customHeight="1">
      <c r="A589" s="108"/>
      <c r="B589" s="49"/>
      <c r="C589" s="50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  <c r="AA589" s="108"/>
      <c r="AB589" s="108"/>
    </row>
    <row r="590" spans="1:28" ht="13.5" customHeight="1">
      <c r="A590" s="108"/>
      <c r="B590" s="49"/>
      <c r="C590" s="50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  <c r="AA590" s="108"/>
      <c r="AB590" s="108"/>
    </row>
    <row r="591" spans="1:28" ht="13.5" customHeight="1">
      <c r="A591" s="108"/>
      <c r="B591" s="49"/>
      <c r="C591" s="50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  <c r="AA591" s="108"/>
      <c r="AB591" s="108"/>
    </row>
    <row r="592" spans="1:28" ht="13.5" customHeight="1">
      <c r="A592" s="108"/>
      <c r="B592" s="49"/>
      <c r="C592" s="50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  <c r="AA592" s="108"/>
      <c r="AB592" s="108"/>
    </row>
    <row r="593" spans="1:28" ht="13.5" customHeight="1">
      <c r="A593" s="108"/>
      <c r="B593" s="49"/>
      <c r="C593" s="50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  <c r="AA593" s="108"/>
      <c r="AB593" s="108"/>
    </row>
    <row r="594" spans="1:28" ht="13.5" customHeight="1">
      <c r="A594" s="108"/>
      <c r="B594" s="49"/>
      <c r="C594" s="50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  <c r="AA594" s="108"/>
      <c r="AB594" s="108"/>
    </row>
    <row r="595" spans="1:28" ht="13.5" customHeight="1">
      <c r="A595" s="108"/>
      <c r="B595" s="49"/>
      <c r="C595" s="50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  <c r="AA595" s="108"/>
      <c r="AB595" s="108"/>
    </row>
    <row r="596" spans="1:28" ht="13.5" customHeight="1">
      <c r="A596" s="108"/>
      <c r="B596" s="49"/>
      <c r="C596" s="50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  <c r="AA596" s="108"/>
      <c r="AB596" s="108"/>
    </row>
    <row r="597" spans="1:28" ht="13.5" customHeight="1">
      <c r="A597" s="108"/>
      <c r="B597" s="49"/>
      <c r="C597" s="50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  <c r="AA597" s="108"/>
      <c r="AB597" s="108"/>
    </row>
    <row r="598" spans="1:28" ht="13.5" customHeight="1">
      <c r="A598" s="108"/>
      <c r="B598" s="49"/>
      <c r="C598" s="50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  <c r="AA598" s="108"/>
      <c r="AB598" s="108"/>
    </row>
    <row r="599" spans="1:28" ht="13.5" customHeight="1">
      <c r="A599" s="108"/>
      <c r="B599" s="49"/>
      <c r="C599" s="50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  <c r="AA599" s="108"/>
      <c r="AB599" s="108"/>
    </row>
    <row r="600" spans="1:28" ht="13.5" customHeight="1">
      <c r="A600" s="108"/>
      <c r="B600" s="49"/>
      <c r="C600" s="50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  <c r="AA600" s="108"/>
      <c r="AB600" s="108"/>
    </row>
    <row r="601" spans="1:28" ht="13.5" customHeight="1">
      <c r="A601" s="108"/>
      <c r="B601" s="49"/>
      <c r="C601" s="50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  <c r="AA601" s="108"/>
      <c r="AB601" s="108"/>
    </row>
    <row r="602" spans="1:28" ht="13.5" customHeight="1">
      <c r="A602" s="108"/>
      <c r="B602" s="49"/>
      <c r="C602" s="50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  <c r="AA602" s="108"/>
      <c r="AB602" s="108"/>
    </row>
    <row r="603" spans="1:28" ht="13.5" customHeight="1">
      <c r="A603" s="108"/>
      <c r="B603" s="49"/>
      <c r="C603" s="50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  <c r="AA603" s="108"/>
      <c r="AB603" s="108"/>
    </row>
    <row r="604" spans="1:28" ht="13.5" customHeight="1">
      <c r="A604" s="108"/>
      <c r="B604" s="49"/>
      <c r="C604" s="50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  <c r="AA604" s="108"/>
      <c r="AB604" s="108"/>
    </row>
    <row r="605" spans="1:28" ht="13.5" customHeight="1">
      <c r="A605" s="108"/>
      <c r="B605" s="49"/>
      <c r="C605" s="50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  <c r="AA605" s="108"/>
      <c r="AB605" s="108"/>
    </row>
    <row r="606" spans="1:28" ht="13.5" customHeight="1">
      <c r="A606" s="108"/>
      <c r="B606" s="49"/>
      <c r="C606" s="50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  <c r="AA606" s="108"/>
      <c r="AB606" s="108"/>
    </row>
    <row r="607" spans="1:28" ht="13.5" customHeight="1">
      <c r="A607" s="108"/>
      <c r="B607" s="49"/>
      <c r="C607" s="50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  <c r="AA607" s="108"/>
      <c r="AB607" s="108"/>
    </row>
    <row r="608" spans="1:28" ht="13.5" customHeight="1">
      <c r="A608" s="108"/>
      <c r="B608" s="49"/>
      <c r="C608" s="50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  <c r="AA608" s="108"/>
      <c r="AB608" s="108"/>
    </row>
    <row r="609" spans="1:28" ht="13.5" customHeight="1">
      <c r="A609" s="108"/>
      <c r="B609" s="49"/>
      <c r="C609" s="50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  <c r="AA609" s="108"/>
      <c r="AB609" s="108"/>
    </row>
    <row r="610" spans="1:28" ht="13.5" customHeight="1">
      <c r="A610" s="108"/>
      <c r="B610" s="49"/>
      <c r="C610" s="50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  <c r="AA610" s="108"/>
      <c r="AB610" s="108"/>
    </row>
    <row r="611" spans="1:28" ht="13.5" customHeight="1">
      <c r="A611" s="108"/>
      <c r="B611" s="49"/>
      <c r="C611" s="50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  <c r="AA611" s="108"/>
      <c r="AB611" s="108"/>
    </row>
    <row r="612" spans="1:28" ht="13.5" customHeight="1">
      <c r="A612" s="108"/>
      <c r="B612" s="49"/>
      <c r="C612" s="50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  <c r="AA612" s="108"/>
      <c r="AB612" s="108"/>
    </row>
    <row r="613" spans="1:28" ht="13.5" customHeight="1">
      <c r="A613" s="108"/>
      <c r="B613" s="49"/>
      <c r="C613" s="50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  <c r="AA613" s="108"/>
      <c r="AB613" s="108"/>
    </row>
    <row r="614" spans="1:28" ht="13.5" customHeight="1">
      <c r="A614" s="108"/>
      <c r="B614" s="49"/>
      <c r="C614" s="50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  <c r="AA614" s="108"/>
      <c r="AB614" s="108"/>
    </row>
    <row r="615" spans="1:28" ht="13.5" customHeight="1">
      <c r="A615" s="108"/>
      <c r="B615" s="49"/>
      <c r="C615" s="50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  <c r="AA615" s="108"/>
      <c r="AB615" s="108"/>
    </row>
    <row r="616" spans="1:28" ht="13.5" customHeight="1">
      <c r="A616" s="108"/>
      <c r="B616" s="49"/>
      <c r="C616" s="50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  <c r="AB616" s="108"/>
    </row>
    <row r="617" spans="1:28" ht="13.5" customHeight="1">
      <c r="A617" s="108"/>
      <c r="B617" s="49"/>
      <c r="C617" s="50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  <c r="AA617" s="108"/>
      <c r="AB617" s="108"/>
    </row>
    <row r="618" spans="1:28" ht="13.5" customHeight="1">
      <c r="A618" s="108"/>
      <c r="B618" s="49"/>
      <c r="C618" s="50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  <c r="AA618" s="108"/>
      <c r="AB618" s="108"/>
    </row>
    <row r="619" spans="1:28" ht="13.5" customHeight="1">
      <c r="A619" s="108"/>
      <c r="B619" s="49"/>
      <c r="C619" s="50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  <c r="AA619" s="108"/>
      <c r="AB619" s="108"/>
    </row>
    <row r="620" spans="1:28" ht="13.5" customHeight="1">
      <c r="A620" s="108"/>
      <c r="B620" s="49"/>
      <c r="C620" s="50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  <c r="AA620" s="108"/>
      <c r="AB620" s="108"/>
    </row>
    <row r="621" spans="1:28" ht="13.5" customHeight="1">
      <c r="A621" s="108"/>
      <c r="B621" s="49"/>
      <c r="C621" s="50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  <c r="AA621" s="108"/>
      <c r="AB621" s="108"/>
    </row>
    <row r="622" spans="1:28" ht="13.5" customHeight="1">
      <c r="A622" s="108"/>
      <c r="B622" s="49"/>
      <c r="C622" s="50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  <c r="AA622" s="108"/>
      <c r="AB622" s="108"/>
    </row>
    <row r="623" spans="1:28" ht="13.5" customHeight="1">
      <c r="A623" s="108"/>
      <c r="B623" s="49"/>
      <c r="C623" s="50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  <c r="AA623" s="108"/>
      <c r="AB623" s="108"/>
    </row>
    <row r="624" spans="1:28" ht="13.5" customHeight="1">
      <c r="A624" s="108"/>
      <c r="B624" s="49"/>
      <c r="C624" s="50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  <c r="AA624" s="108"/>
      <c r="AB624" s="108"/>
    </row>
    <row r="625" spans="1:28" ht="13.5" customHeight="1">
      <c r="A625" s="108"/>
      <c r="B625" s="49"/>
      <c r="C625" s="50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  <c r="AA625" s="108"/>
      <c r="AB625" s="108"/>
    </row>
    <row r="626" spans="1:28" ht="13.5" customHeight="1">
      <c r="A626" s="108"/>
      <c r="B626" s="49"/>
      <c r="C626" s="50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  <c r="AA626" s="108"/>
      <c r="AB626" s="108"/>
    </row>
    <row r="627" spans="1:28" ht="13.5" customHeight="1">
      <c r="A627" s="108"/>
      <c r="B627" s="49"/>
      <c r="C627" s="50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  <c r="AA627" s="108"/>
      <c r="AB627" s="108"/>
    </row>
    <row r="628" spans="1:28" ht="13.5" customHeight="1">
      <c r="A628" s="108"/>
      <c r="B628" s="49"/>
      <c r="C628" s="50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  <c r="AA628" s="108"/>
      <c r="AB628" s="108"/>
    </row>
    <row r="629" spans="1:28" ht="13.5" customHeight="1">
      <c r="A629" s="108"/>
      <c r="B629" s="49"/>
      <c r="C629" s="50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  <c r="AA629" s="108"/>
      <c r="AB629" s="108"/>
    </row>
    <row r="630" spans="1:28" ht="13.5" customHeight="1">
      <c r="A630" s="108"/>
      <c r="B630" s="49"/>
      <c r="C630" s="50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  <c r="AA630" s="108"/>
      <c r="AB630" s="108"/>
    </row>
    <row r="631" spans="1:28" ht="13.5" customHeight="1">
      <c r="A631" s="108"/>
      <c r="B631" s="49"/>
      <c r="C631" s="50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  <c r="AA631" s="108"/>
      <c r="AB631" s="108"/>
    </row>
    <row r="632" spans="1:28" ht="13.5" customHeight="1">
      <c r="A632" s="108"/>
      <c r="B632" s="49"/>
      <c r="C632" s="50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  <c r="AA632" s="108"/>
      <c r="AB632" s="108"/>
    </row>
    <row r="633" spans="1:28" ht="13.5" customHeight="1">
      <c r="A633" s="108"/>
      <c r="B633" s="49"/>
      <c r="C633" s="50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  <c r="AA633" s="108"/>
      <c r="AB633" s="108"/>
    </row>
    <row r="634" spans="1:28" ht="13.5" customHeight="1">
      <c r="A634" s="108"/>
      <c r="B634" s="49"/>
      <c r="C634" s="50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  <c r="AA634" s="108"/>
      <c r="AB634" s="108"/>
    </row>
    <row r="635" spans="1:28" ht="13.5" customHeight="1">
      <c r="A635" s="108"/>
      <c r="B635" s="49"/>
      <c r="C635" s="50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  <c r="AA635" s="108"/>
      <c r="AB635" s="108"/>
    </row>
    <row r="636" spans="1:28" ht="13.5" customHeight="1">
      <c r="A636" s="108"/>
      <c r="B636" s="49"/>
      <c r="C636" s="50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  <c r="AA636" s="108"/>
      <c r="AB636" s="108"/>
    </row>
    <row r="637" spans="1:28" ht="13.5" customHeight="1">
      <c r="A637" s="108"/>
      <c r="B637" s="49"/>
      <c r="C637" s="50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  <c r="AB637" s="108"/>
    </row>
    <row r="638" spans="1:28" ht="13.5" customHeight="1">
      <c r="A638" s="108"/>
      <c r="B638" s="49"/>
      <c r="C638" s="50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  <c r="AA638" s="108"/>
      <c r="AB638" s="108"/>
    </row>
    <row r="639" spans="1:28" ht="13.5" customHeight="1">
      <c r="A639" s="108"/>
      <c r="B639" s="49"/>
      <c r="C639" s="50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  <c r="AA639" s="108"/>
      <c r="AB639" s="108"/>
    </row>
    <row r="640" spans="1:28" ht="13.5" customHeight="1">
      <c r="A640" s="108"/>
      <c r="B640" s="49"/>
      <c r="C640" s="50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  <c r="AA640" s="108"/>
      <c r="AB640" s="108"/>
    </row>
    <row r="641" spans="1:28" ht="13.5" customHeight="1">
      <c r="A641" s="108"/>
      <c r="B641" s="49"/>
      <c r="C641" s="50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  <c r="AA641" s="108"/>
      <c r="AB641" s="108"/>
    </row>
    <row r="642" spans="1:28" ht="13.5" customHeight="1">
      <c r="A642" s="108"/>
      <c r="B642" s="49"/>
      <c r="C642" s="50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  <c r="AA642" s="108"/>
      <c r="AB642" s="108"/>
    </row>
    <row r="643" spans="1:28" ht="13.5" customHeight="1">
      <c r="A643" s="108"/>
      <c r="B643" s="49"/>
      <c r="C643" s="50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  <c r="AA643" s="108"/>
      <c r="AB643" s="108"/>
    </row>
    <row r="644" spans="1:28" ht="13.5" customHeight="1">
      <c r="A644" s="108"/>
      <c r="B644" s="49"/>
      <c r="C644" s="50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  <c r="AA644" s="108"/>
      <c r="AB644" s="108"/>
    </row>
    <row r="645" spans="1:28" ht="13.5" customHeight="1">
      <c r="A645" s="108"/>
      <c r="B645" s="49"/>
      <c r="C645" s="50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  <c r="AA645" s="108"/>
      <c r="AB645" s="108"/>
    </row>
    <row r="646" spans="1:28" ht="13.5" customHeight="1">
      <c r="A646" s="108"/>
      <c r="B646" s="49"/>
      <c r="C646" s="50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  <c r="AA646" s="108"/>
      <c r="AB646" s="108"/>
    </row>
    <row r="647" spans="1:28" ht="13.5" customHeight="1">
      <c r="A647" s="108"/>
      <c r="B647" s="49"/>
      <c r="C647" s="50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  <c r="AA647" s="108"/>
      <c r="AB647" s="108"/>
    </row>
    <row r="648" spans="1:28" ht="13.5" customHeight="1">
      <c r="A648" s="108"/>
      <c r="B648" s="49"/>
      <c r="C648" s="50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  <c r="AA648" s="108"/>
      <c r="AB648" s="108"/>
    </row>
    <row r="649" spans="1:28" ht="13.5" customHeight="1">
      <c r="A649" s="108"/>
      <c r="B649" s="49"/>
      <c r="C649" s="50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  <c r="AA649" s="108"/>
      <c r="AB649" s="108"/>
    </row>
    <row r="650" spans="1:28" ht="13.5" customHeight="1">
      <c r="A650" s="108"/>
      <c r="B650" s="49"/>
      <c r="C650" s="50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  <c r="AA650" s="108"/>
      <c r="AB650" s="108"/>
    </row>
    <row r="651" spans="1:28" ht="13.5" customHeight="1">
      <c r="A651" s="108"/>
      <c r="B651" s="49"/>
      <c r="C651" s="50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  <c r="AA651" s="108"/>
      <c r="AB651" s="108"/>
    </row>
    <row r="652" spans="1:28" ht="13.5" customHeight="1">
      <c r="A652" s="108"/>
      <c r="B652" s="49"/>
      <c r="C652" s="50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  <c r="AA652" s="108"/>
      <c r="AB652" s="108"/>
    </row>
    <row r="653" spans="1:28" ht="13.5" customHeight="1">
      <c r="A653" s="108"/>
      <c r="B653" s="49"/>
      <c r="C653" s="50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  <c r="AA653" s="108"/>
      <c r="AB653" s="108"/>
    </row>
    <row r="654" spans="1:28" ht="13.5" customHeight="1">
      <c r="A654" s="108"/>
      <c r="B654" s="49"/>
      <c r="C654" s="50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  <c r="AA654" s="108"/>
      <c r="AB654" s="108"/>
    </row>
    <row r="655" spans="1:28" ht="13.5" customHeight="1">
      <c r="A655" s="108"/>
      <c r="B655" s="49"/>
      <c r="C655" s="50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  <c r="AA655" s="108"/>
      <c r="AB655" s="108"/>
    </row>
    <row r="656" spans="1:28" ht="13.5" customHeight="1">
      <c r="A656" s="108"/>
      <c r="B656" s="49"/>
      <c r="C656" s="50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  <c r="AB656" s="108"/>
    </row>
    <row r="657" spans="1:28" ht="13.5" customHeight="1">
      <c r="A657" s="108"/>
      <c r="B657" s="49"/>
      <c r="C657" s="50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</row>
    <row r="658" spans="1:28" ht="13.5" customHeight="1">
      <c r="A658" s="108"/>
      <c r="B658" s="49"/>
      <c r="C658" s="50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</row>
    <row r="659" spans="1:28" ht="13.5" customHeight="1">
      <c r="A659" s="108"/>
      <c r="B659" s="49"/>
      <c r="C659" s="50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  <c r="AA659" s="108"/>
      <c r="AB659" s="108"/>
    </row>
    <row r="660" spans="1:28" ht="13.5" customHeight="1">
      <c r="A660" s="108"/>
      <c r="B660" s="49"/>
      <c r="C660" s="50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</row>
    <row r="661" spans="1:28" ht="13.5" customHeight="1">
      <c r="A661" s="108"/>
      <c r="B661" s="49"/>
      <c r="C661" s="50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  <c r="AA661" s="108"/>
      <c r="AB661" s="108"/>
    </row>
    <row r="662" spans="1:28" ht="13.5" customHeight="1">
      <c r="A662" s="108"/>
      <c r="B662" s="49"/>
      <c r="C662" s="50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</row>
    <row r="663" spans="1:28" ht="13.5" customHeight="1">
      <c r="A663" s="108"/>
      <c r="B663" s="49"/>
      <c r="C663" s="50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  <c r="AA663" s="108"/>
      <c r="AB663" s="108"/>
    </row>
    <row r="664" spans="1:28" ht="13.5" customHeight="1">
      <c r="A664" s="108"/>
      <c r="B664" s="49"/>
      <c r="C664" s="50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  <c r="AA664" s="108"/>
      <c r="AB664" s="108"/>
    </row>
    <row r="665" spans="1:28" ht="13.5" customHeight="1">
      <c r="A665" s="108"/>
      <c r="B665" s="49"/>
      <c r="C665" s="50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  <c r="AA665" s="108"/>
      <c r="AB665" s="108"/>
    </row>
    <row r="666" spans="1:28" ht="13.5" customHeight="1">
      <c r="A666" s="108"/>
      <c r="B666" s="49"/>
      <c r="C666" s="50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  <c r="AA666" s="108"/>
      <c r="AB666" s="108"/>
    </row>
    <row r="667" spans="1:28" ht="13.5" customHeight="1">
      <c r="A667" s="108"/>
      <c r="B667" s="49"/>
      <c r="C667" s="50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  <c r="AA667" s="108"/>
      <c r="AB667" s="108"/>
    </row>
    <row r="668" spans="1:28" ht="13.5" customHeight="1">
      <c r="A668" s="108"/>
      <c r="B668" s="49"/>
      <c r="C668" s="50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  <c r="AB668" s="108"/>
    </row>
    <row r="669" spans="1:28" ht="13.5" customHeight="1">
      <c r="A669" s="108"/>
      <c r="B669" s="49"/>
      <c r="C669" s="50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</row>
    <row r="670" spans="1:28" ht="13.5" customHeight="1">
      <c r="A670" s="108"/>
      <c r="B670" s="49"/>
      <c r="C670" s="50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</row>
    <row r="671" spans="1:28" ht="13.5" customHeight="1">
      <c r="A671" s="108"/>
      <c r="B671" s="49"/>
      <c r="C671" s="50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</row>
    <row r="672" spans="1:28" ht="13.5" customHeight="1">
      <c r="A672" s="108"/>
      <c r="B672" s="49"/>
      <c r="C672" s="50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</row>
    <row r="673" spans="1:28" ht="13.5" customHeight="1">
      <c r="A673" s="108"/>
      <c r="B673" s="49"/>
      <c r="C673" s="50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  <c r="AA673" s="108"/>
      <c r="AB673" s="108"/>
    </row>
    <row r="674" spans="1:28" ht="13.5" customHeight="1">
      <c r="A674" s="108"/>
      <c r="B674" s="49"/>
      <c r="C674" s="50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  <c r="AA674" s="108"/>
      <c r="AB674" s="108"/>
    </row>
    <row r="675" spans="1:28" ht="13.5" customHeight="1">
      <c r="A675" s="108"/>
      <c r="B675" s="49"/>
      <c r="C675" s="50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  <c r="AA675" s="108"/>
      <c r="AB675" s="108"/>
    </row>
    <row r="676" spans="1:28" ht="13.5" customHeight="1">
      <c r="A676" s="108"/>
      <c r="B676" s="49"/>
      <c r="C676" s="50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  <c r="AA676" s="108"/>
      <c r="AB676" s="108"/>
    </row>
    <row r="677" spans="1:28" ht="13.5" customHeight="1">
      <c r="A677" s="108"/>
      <c r="B677" s="49"/>
      <c r="C677" s="50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  <c r="AB677" s="108"/>
    </row>
    <row r="678" spans="1:28" ht="13.5" customHeight="1">
      <c r="A678" s="108"/>
      <c r="B678" s="49"/>
      <c r="C678" s="50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  <c r="AA678" s="108"/>
      <c r="AB678" s="108"/>
    </row>
    <row r="679" spans="1:28" ht="13.5" customHeight="1">
      <c r="A679" s="108"/>
      <c r="B679" s="49"/>
      <c r="C679" s="50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  <c r="AA679" s="108"/>
      <c r="AB679" s="108"/>
    </row>
    <row r="680" spans="1:28" ht="13.5" customHeight="1">
      <c r="A680" s="108"/>
      <c r="B680" s="49"/>
      <c r="C680" s="50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  <c r="AA680" s="108"/>
      <c r="AB680" s="108"/>
    </row>
    <row r="681" spans="1:28" ht="13.5" customHeight="1">
      <c r="A681" s="108"/>
      <c r="B681" s="49"/>
      <c r="C681" s="50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  <c r="AA681" s="108"/>
      <c r="AB681" s="108"/>
    </row>
    <row r="682" spans="1:28" ht="13.5" customHeight="1">
      <c r="A682" s="108"/>
      <c r="B682" s="49"/>
      <c r="C682" s="50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  <c r="AA682" s="108"/>
      <c r="AB682" s="108"/>
    </row>
    <row r="683" spans="1:28" ht="13.5" customHeight="1">
      <c r="A683" s="108"/>
      <c r="B683" s="49"/>
      <c r="C683" s="50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  <c r="AA683" s="108"/>
      <c r="AB683" s="108"/>
    </row>
    <row r="684" spans="1:28" ht="13.5" customHeight="1">
      <c r="A684" s="108"/>
      <c r="B684" s="49"/>
      <c r="C684" s="50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  <c r="AA684" s="108"/>
      <c r="AB684" s="108"/>
    </row>
    <row r="685" spans="1:28" ht="13.5" customHeight="1">
      <c r="A685" s="108"/>
      <c r="B685" s="49"/>
      <c r="C685" s="50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  <c r="AA685" s="108"/>
      <c r="AB685" s="108"/>
    </row>
    <row r="686" spans="1:28" ht="13.5" customHeight="1">
      <c r="A686" s="108"/>
      <c r="B686" s="49"/>
      <c r="C686" s="50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  <c r="AA686" s="108"/>
      <c r="AB686" s="108"/>
    </row>
    <row r="687" spans="1:28" ht="13.5" customHeight="1">
      <c r="A687" s="108"/>
      <c r="B687" s="49"/>
      <c r="C687" s="50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  <c r="AA687" s="108"/>
      <c r="AB687" s="108"/>
    </row>
    <row r="688" spans="1:28" ht="13.5" customHeight="1">
      <c r="A688" s="108"/>
      <c r="B688" s="49"/>
      <c r="C688" s="50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  <c r="AA688" s="108"/>
      <c r="AB688" s="108"/>
    </row>
    <row r="689" spans="1:28" ht="13.5" customHeight="1">
      <c r="A689" s="108"/>
      <c r="B689" s="49"/>
      <c r="C689" s="50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  <c r="AB689" s="108"/>
    </row>
    <row r="690" spans="1:28" ht="13.5" customHeight="1">
      <c r="A690" s="108"/>
      <c r="B690" s="49"/>
      <c r="C690" s="50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  <c r="AA690" s="108"/>
      <c r="AB690" s="108"/>
    </row>
    <row r="691" spans="1:28" ht="13.5" customHeight="1">
      <c r="A691" s="108"/>
      <c r="B691" s="49"/>
      <c r="C691" s="50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  <c r="AA691" s="108"/>
      <c r="AB691" s="108"/>
    </row>
    <row r="692" spans="1:28" ht="13.5" customHeight="1">
      <c r="A692" s="108"/>
      <c r="B692" s="49"/>
      <c r="C692" s="50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</row>
    <row r="693" spans="1:28" ht="13.5" customHeight="1">
      <c r="A693" s="108"/>
      <c r="B693" s="49"/>
      <c r="C693" s="50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  <c r="AA693" s="108"/>
      <c r="AB693" s="108"/>
    </row>
    <row r="694" spans="1:28" ht="13.5" customHeight="1">
      <c r="A694" s="108"/>
      <c r="B694" s="49"/>
      <c r="C694" s="50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  <c r="AA694" s="108"/>
      <c r="AB694" s="108"/>
    </row>
    <row r="695" spans="1:28" ht="13.5" customHeight="1">
      <c r="A695" s="108"/>
      <c r="B695" s="49"/>
      <c r="C695" s="50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  <c r="AA695" s="108"/>
      <c r="AB695" s="108"/>
    </row>
    <row r="696" spans="1:28" ht="13.5" customHeight="1">
      <c r="A696" s="108"/>
      <c r="B696" s="49"/>
      <c r="C696" s="50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  <c r="AA696" s="108"/>
      <c r="AB696" s="108"/>
    </row>
    <row r="697" spans="1:28" ht="13.5" customHeight="1">
      <c r="A697" s="108"/>
      <c r="B697" s="49"/>
      <c r="C697" s="50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  <c r="AA697" s="108"/>
      <c r="AB697" s="108"/>
    </row>
    <row r="698" spans="1:28" ht="13.5" customHeight="1">
      <c r="A698" s="108"/>
      <c r="B698" s="49"/>
      <c r="C698" s="50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  <c r="AA698" s="108"/>
      <c r="AB698" s="108"/>
    </row>
    <row r="699" spans="1:28" ht="13.5" customHeight="1">
      <c r="A699" s="108"/>
      <c r="B699" s="49"/>
      <c r="C699" s="50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  <c r="AA699" s="108"/>
      <c r="AB699" s="108"/>
    </row>
    <row r="700" spans="1:28" ht="13.5" customHeight="1">
      <c r="A700" s="108"/>
      <c r="B700" s="49"/>
      <c r="C700" s="50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  <c r="AA700" s="108"/>
      <c r="AB700" s="108"/>
    </row>
    <row r="701" spans="1:28" ht="13.5" customHeight="1">
      <c r="A701" s="108"/>
      <c r="B701" s="49"/>
      <c r="C701" s="50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  <c r="AA701" s="108"/>
      <c r="AB701" s="108"/>
    </row>
    <row r="702" spans="1:28" ht="13.5" customHeight="1">
      <c r="A702" s="108"/>
      <c r="B702" s="49"/>
      <c r="C702" s="50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  <c r="AA702" s="108"/>
      <c r="AB702" s="108"/>
    </row>
    <row r="703" spans="1:28" ht="13.5" customHeight="1">
      <c r="A703" s="108"/>
      <c r="B703" s="49"/>
      <c r="C703" s="50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  <c r="AA703" s="108"/>
      <c r="AB703" s="108"/>
    </row>
    <row r="704" spans="1:28" ht="13.5" customHeight="1">
      <c r="A704" s="108"/>
      <c r="B704" s="49"/>
      <c r="C704" s="50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  <c r="AA704" s="108"/>
      <c r="AB704" s="108"/>
    </row>
    <row r="705" spans="1:28" ht="13.5" customHeight="1">
      <c r="A705" s="108"/>
      <c r="B705" s="49"/>
      <c r="C705" s="50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  <c r="AA705" s="108"/>
      <c r="AB705" s="108"/>
    </row>
    <row r="706" spans="1:28" ht="13.5" customHeight="1">
      <c r="A706" s="108"/>
      <c r="B706" s="49"/>
      <c r="C706" s="50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  <c r="AA706" s="108"/>
      <c r="AB706" s="108"/>
    </row>
    <row r="707" spans="1:28" ht="13.5" customHeight="1">
      <c r="A707" s="108"/>
      <c r="B707" s="49"/>
      <c r="C707" s="50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  <c r="AA707" s="108"/>
      <c r="AB707" s="108"/>
    </row>
    <row r="708" spans="1:28" ht="13.5" customHeight="1">
      <c r="A708" s="108"/>
      <c r="B708" s="49"/>
      <c r="C708" s="50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  <c r="AA708" s="108"/>
      <c r="AB708" s="108"/>
    </row>
    <row r="709" spans="1:28" ht="13.5" customHeight="1">
      <c r="A709" s="108"/>
      <c r="B709" s="49"/>
      <c r="C709" s="50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  <c r="AA709" s="108"/>
      <c r="AB709" s="108"/>
    </row>
    <row r="710" spans="1:28" ht="13.5" customHeight="1">
      <c r="A710" s="108"/>
      <c r="B710" s="49"/>
      <c r="C710" s="50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  <c r="AA710" s="108"/>
      <c r="AB710" s="108"/>
    </row>
    <row r="711" spans="1:28" ht="13.5" customHeight="1">
      <c r="A711" s="108"/>
      <c r="B711" s="49"/>
      <c r="C711" s="50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  <c r="AA711" s="108"/>
      <c r="AB711" s="108"/>
    </row>
    <row r="712" spans="1:28" ht="13.5" customHeight="1">
      <c r="A712" s="108"/>
      <c r="B712" s="49"/>
      <c r="C712" s="50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  <c r="AA712" s="108"/>
      <c r="AB712" s="108"/>
    </row>
    <row r="713" spans="1:28" ht="13.5" customHeight="1">
      <c r="A713" s="108"/>
      <c r="B713" s="49"/>
      <c r="C713" s="50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  <c r="AA713" s="108"/>
      <c r="AB713" s="108"/>
    </row>
    <row r="714" spans="1:28" ht="13.5" customHeight="1">
      <c r="A714" s="108"/>
      <c r="B714" s="49"/>
      <c r="C714" s="50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  <c r="AA714" s="108"/>
      <c r="AB714" s="108"/>
    </row>
    <row r="715" spans="1:28" ht="13.5" customHeight="1">
      <c r="A715" s="108"/>
      <c r="B715" s="49"/>
      <c r="C715" s="50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  <c r="AA715" s="108"/>
      <c r="AB715" s="108"/>
    </row>
    <row r="716" spans="1:28" ht="13.5" customHeight="1">
      <c r="A716" s="108"/>
      <c r="B716" s="49"/>
      <c r="C716" s="50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  <c r="AA716" s="108"/>
      <c r="AB716" s="108"/>
    </row>
    <row r="717" spans="1:28" ht="13.5" customHeight="1">
      <c r="A717" s="108"/>
      <c r="B717" s="49"/>
      <c r="C717" s="50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  <c r="AA717" s="108"/>
      <c r="AB717" s="108"/>
    </row>
    <row r="718" spans="1:28" ht="13.5" customHeight="1">
      <c r="A718" s="108"/>
      <c r="B718" s="49"/>
      <c r="C718" s="50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  <c r="AA718" s="108"/>
      <c r="AB718" s="108"/>
    </row>
    <row r="719" spans="1:28" ht="13.5" customHeight="1">
      <c r="A719" s="108"/>
      <c r="B719" s="49"/>
      <c r="C719" s="50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  <c r="AA719" s="108"/>
      <c r="AB719" s="108"/>
    </row>
    <row r="720" spans="1:28" ht="13.5" customHeight="1">
      <c r="A720" s="108"/>
      <c r="B720" s="49"/>
      <c r="C720" s="50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  <c r="AA720" s="108"/>
      <c r="AB720" s="108"/>
    </row>
    <row r="721" spans="1:28" ht="13.5" customHeight="1">
      <c r="A721" s="108"/>
      <c r="B721" s="49"/>
      <c r="C721" s="50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  <c r="AA721" s="108"/>
      <c r="AB721" s="108"/>
    </row>
    <row r="722" spans="1:28" ht="13.5" customHeight="1">
      <c r="A722" s="108"/>
      <c r="B722" s="49"/>
      <c r="C722" s="50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  <c r="AA722" s="108"/>
      <c r="AB722" s="108"/>
    </row>
    <row r="723" spans="1:28" ht="13.5" customHeight="1">
      <c r="A723" s="108"/>
      <c r="B723" s="49"/>
      <c r="C723" s="50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</row>
    <row r="724" spans="1:28" ht="13.5" customHeight="1">
      <c r="A724" s="108"/>
      <c r="B724" s="49"/>
      <c r="C724" s="50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  <c r="AA724" s="108"/>
      <c r="AB724" s="108"/>
    </row>
    <row r="725" spans="1:28" ht="13.5" customHeight="1">
      <c r="A725" s="108"/>
      <c r="B725" s="49"/>
      <c r="C725" s="50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  <c r="AA725" s="108"/>
      <c r="AB725" s="108"/>
    </row>
    <row r="726" spans="1:28" ht="13.5" customHeight="1">
      <c r="A726" s="108"/>
      <c r="B726" s="49"/>
      <c r="C726" s="50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  <c r="AA726" s="108"/>
      <c r="AB726" s="108"/>
    </row>
    <row r="727" spans="1:28" ht="13.5" customHeight="1">
      <c r="A727" s="108"/>
      <c r="B727" s="49"/>
      <c r="C727" s="50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  <c r="AA727" s="108"/>
      <c r="AB727" s="108"/>
    </row>
    <row r="728" spans="1:28" ht="13.5" customHeight="1">
      <c r="A728" s="108"/>
      <c r="B728" s="49"/>
      <c r="C728" s="50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</row>
    <row r="729" spans="1:28" ht="13.5" customHeight="1">
      <c r="A729" s="108"/>
      <c r="B729" s="49"/>
      <c r="C729" s="50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  <c r="AA729" s="108"/>
      <c r="AB729" s="108"/>
    </row>
    <row r="730" spans="1:28" ht="13.5" customHeight="1">
      <c r="A730" s="108"/>
      <c r="B730" s="49"/>
      <c r="C730" s="50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  <c r="AA730" s="108"/>
      <c r="AB730" s="108"/>
    </row>
    <row r="731" spans="1:28" ht="13.5" customHeight="1">
      <c r="A731" s="108"/>
      <c r="B731" s="49"/>
      <c r="C731" s="50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  <c r="AA731" s="108"/>
      <c r="AB731" s="108"/>
    </row>
    <row r="732" spans="1:28" ht="13.5" customHeight="1">
      <c r="A732" s="108"/>
      <c r="B732" s="49"/>
      <c r="C732" s="50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  <c r="AA732" s="108"/>
      <c r="AB732" s="108"/>
    </row>
    <row r="733" spans="1:28" ht="13.5" customHeight="1">
      <c r="A733" s="108"/>
      <c r="B733" s="49"/>
      <c r="C733" s="50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  <c r="AA733" s="108"/>
      <c r="AB733" s="108"/>
    </row>
    <row r="734" spans="1:28" ht="13.5" customHeight="1">
      <c r="A734" s="108"/>
      <c r="B734" s="49"/>
      <c r="C734" s="50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</row>
    <row r="735" spans="1:28" ht="13.5" customHeight="1">
      <c r="A735" s="108"/>
      <c r="B735" s="49"/>
      <c r="C735" s="50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  <c r="AA735" s="108"/>
      <c r="AB735" s="108"/>
    </row>
    <row r="736" spans="1:28" ht="13.5" customHeight="1">
      <c r="A736" s="108"/>
      <c r="B736" s="49"/>
      <c r="C736" s="50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  <c r="AA736" s="108"/>
      <c r="AB736" s="108"/>
    </row>
    <row r="737" spans="1:28" ht="13.5" customHeight="1">
      <c r="A737" s="108"/>
      <c r="B737" s="49"/>
      <c r="C737" s="50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  <c r="AA737" s="108"/>
      <c r="AB737" s="108"/>
    </row>
    <row r="738" spans="1:28" ht="13.5" customHeight="1">
      <c r="A738" s="108"/>
      <c r="B738" s="49"/>
      <c r="C738" s="50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  <c r="AA738" s="108"/>
      <c r="AB738" s="108"/>
    </row>
    <row r="739" spans="1:28" ht="13.5" customHeight="1">
      <c r="A739" s="108"/>
      <c r="B739" s="49"/>
      <c r="C739" s="50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  <c r="AB739" s="108"/>
    </row>
    <row r="740" spans="1:28" ht="13.5" customHeight="1">
      <c r="A740" s="108"/>
      <c r="B740" s="49"/>
      <c r="C740" s="50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  <c r="AA740" s="108"/>
      <c r="AB740" s="108"/>
    </row>
    <row r="741" spans="1:28" ht="13.5" customHeight="1">
      <c r="A741" s="108"/>
      <c r="B741" s="49"/>
      <c r="C741" s="50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  <c r="AA741" s="108"/>
      <c r="AB741" s="108"/>
    </row>
    <row r="742" spans="1:28" ht="13.5" customHeight="1">
      <c r="A742" s="108"/>
      <c r="B742" s="49"/>
      <c r="C742" s="50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  <c r="AA742" s="108"/>
      <c r="AB742" s="108"/>
    </row>
    <row r="743" spans="1:28" ht="13.5" customHeight="1">
      <c r="A743" s="108"/>
      <c r="B743" s="49"/>
      <c r="C743" s="50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  <c r="AA743" s="108"/>
      <c r="AB743" s="108"/>
    </row>
    <row r="744" spans="1:28" ht="13.5" customHeight="1">
      <c r="A744" s="108"/>
      <c r="B744" s="49"/>
      <c r="C744" s="50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  <c r="AA744" s="108"/>
      <c r="AB744" s="108"/>
    </row>
    <row r="745" spans="1:28" ht="13.5" customHeight="1">
      <c r="A745" s="108"/>
      <c r="B745" s="49"/>
      <c r="C745" s="50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  <c r="AA745" s="108"/>
      <c r="AB745" s="108"/>
    </row>
    <row r="746" spans="1:28" ht="13.5" customHeight="1">
      <c r="A746" s="108"/>
      <c r="B746" s="49"/>
      <c r="C746" s="50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  <c r="AA746" s="108"/>
      <c r="AB746" s="108"/>
    </row>
    <row r="747" spans="1:28" ht="13.5" customHeight="1">
      <c r="A747" s="108"/>
      <c r="B747" s="49"/>
      <c r="C747" s="50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  <c r="AA747" s="108"/>
      <c r="AB747" s="108"/>
    </row>
    <row r="748" spans="1:28" ht="13.5" customHeight="1">
      <c r="A748" s="108"/>
      <c r="B748" s="49"/>
      <c r="C748" s="50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  <c r="AA748" s="108"/>
      <c r="AB748" s="108"/>
    </row>
    <row r="749" spans="1:28" ht="13.5" customHeight="1">
      <c r="A749" s="108"/>
      <c r="B749" s="49"/>
      <c r="C749" s="50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  <c r="AA749" s="108"/>
      <c r="AB749" s="108"/>
    </row>
    <row r="750" spans="1:28" ht="13.5" customHeight="1">
      <c r="A750" s="108"/>
      <c r="B750" s="49"/>
      <c r="C750" s="50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  <c r="AA750" s="108"/>
      <c r="AB750" s="108"/>
    </row>
    <row r="751" spans="1:28" ht="13.5" customHeight="1">
      <c r="A751" s="108"/>
      <c r="B751" s="49"/>
      <c r="C751" s="50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  <c r="AA751" s="108"/>
      <c r="AB751" s="108"/>
    </row>
    <row r="752" spans="1:28" ht="13.5" customHeight="1">
      <c r="A752" s="108"/>
      <c r="B752" s="49"/>
      <c r="C752" s="50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  <c r="AA752" s="108"/>
      <c r="AB752" s="108"/>
    </row>
    <row r="753" spans="1:28" ht="13.5" customHeight="1">
      <c r="A753" s="108"/>
      <c r="B753" s="49"/>
      <c r="C753" s="50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  <c r="AB753" s="108"/>
    </row>
    <row r="754" spans="1:28" ht="13.5" customHeight="1">
      <c r="A754" s="108"/>
      <c r="B754" s="49"/>
      <c r="C754" s="50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  <c r="AA754" s="108"/>
      <c r="AB754" s="108"/>
    </row>
    <row r="755" spans="1:28" ht="13.5" customHeight="1">
      <c r="A755" s="108"/>
      <c r="B755" s="49"/>
      <c r="C755" s="50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  <c r="AA755" s="108"/>
      <c r="AB755" s="108"/>
    </row>
    <row r="756" spans="1:28" ht="13.5" customHeight="1">
      <c r="A756" s="108"/>
      <c r="B756" s="49"/>
      <c r="C756" s="50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  <c r="AA756" s="108"/>
      <c r="AB756" s="108"/>
    </row>
    <row r="757" spans="1:28" ht="13.5" customHeight="1">
      <c r="A757" s="108"/>
      <c r="B757" s="49"/>
      <c r="C757" s="50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  <c r="AA757" s="108"/>
      <c r="AB757" s="108"/>
    </row>
    <row r="758" spans="1:28" ht="13.5" customHeight="1">
      <c r="A758" s="108"/>
      <c r="B758" s="49"/>
      <c r="C758" s="50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  <c r="AA758" s="108"/>
      <c r="AB758" s="108"/>
    </row>
    <row r="759" spans="1:28" ht="13.5" customHeight="1">
      <c r="A759" s="108"/>
      <c r="B759" s="49"/>
      <c r="C759" s="50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  <c r="AA759" s="108"/>
      <c r="AB759" s="108"/>
    </row>
    <row r="760" spans="1:28" ht="13.5" customHeight="1">
      <c r="A760" s="108"/>
      <c r="B760" s="49"/>
      <c r="C760" s="50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  <c r="AA760" s="108"/>
      <c r="AB760" s="108"/>
    </row>
    <row r="761" spans="1:28" ht="13.5" customHeight="1">
      <c r="A761" s="108"/>
      <c r="B761" s="49"/>
      <c r="C761" s="50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  <c r="AA761" s="108"/>
      <c r="AB761" s="108"/>
    </row>
    <row r="762" spans="1:28" ht="13.5" customHeight="1">
      <c r="A762" s="108"/>
      <c r="B762" s="49"/>
      <c r="C762" s="50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  <c r="AA762" s="108"/>
      <c r="AB762" s="108"/>
    </row>
    <row r="763" spans="1:28" ht="13.5" customHeight="1">
      <c r="A763" s="108"/>
      <c r="B763" s="49"/>
      <c r="C763" s="50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  <c r="AA763" s="108"/>
      <c r="AB763" s="108"/>
    </row>
    <row r="764" spans="1:28" ht="13.5" customHeight="1">
      <c r="A764" s="108"/>
      <c r="B764" s="49"/>
      <c r="C764" s="50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  <c r="AA764" s="108"/>
      <c r="AB764" s="108"/>
    </row>
    <row r="765" spans="1:28" ht="13.5" customHeight="1">
      <c r="A765" s="108"/>
      <c r="B765" s="49"/>
      <c r="C765" s="50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  <c r="AB765" s="108"/>
    </row>
    <row r="766" spans="1:28" ht="13.5" customHeight="1">
      <c r="A766" s="108"/>
      <c r="B766" s="49"/>
      <c r="C766" s="50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  <c r="AA766" s="108"/>
      <c r="AB766" s="108"/>
    </row>
    <row r="767" spans="1:28" ht="13.5" customHeight="1">
      <c r="A767" s="108"/>
      <c r="B767" s="49"/>
      <c r="C767" s="50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  <c r="AA767" s="108"/>
      <c r="AB767" s="108"/>
    </row>
    <row r="768" spans="1:28" ht="13.5" customHeight="1">
      <c r="A768" s="108"/>
      <c r="B768" s="49"/>
      <c r="C768" s="50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  <c r="AA768" s="108"/>
      <c r="AB768" s="108"/>
    </row>
    <row r="769" spans="1:28" ht="13.5" customHeight="1">
      <c r="A769" s="108"/>
      <c r="B769" s="49"/>
      <c r="C769" s="50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  <c r="AA769" s="108"/>
      <c r="AB769" s="108"/>
    </row>
    <row r="770" spans="1:28" ht="13.5" customHeight="1">
      <c r="A770" s="108"/>
      <c r="B770" s="49"/>
      <c r="C770" s="50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  <c r="AA770" s="108"/>
      <c r="AB770" s="108"/>
    </row>
    <row r="771" spans="1:28" ht="13.5" customHeight="1">
      <c r="A771" s="108"/>
      <c r="B771" s="49"/>
      <c r="C771" s="50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  <c r="AA771" s="108"/>
      <c r="AB771" s="108"/>
    </row>
    <row r="772" spans="1:28" ht="13.5" customHeight="1">
      <c r="A772" s="108"/>
      <c r="B772" s="49"/>
      <c r="C772" s="50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  <c r="AA772" s="108"/>
      <c r="AB772" s="108"/>
    </row>
    <row r="773" spans="1:28" ht="13.5" customHeight="1">
      <c r="A773" s="108"/>
      <c r="B773" s="49"/>
      <c r="C773" s="50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  <c r="AA773" s="108"/>
      <c r="AB773" s="108"/>
    </row>
    <row r="774" spans="1:28" ht="13.5" customHeight="1">
      <c r="A774" s="108"/>
      <c r="B774" s="49"/>
      <c r="C774" s="50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  <c r="AA774" s="108"/>
      <c r="AB774" s="108"/>
    </row>
    <row r="775" spans="1:28" ht="13.5" customHeight="1">
      <c r="A775" s="108"/>
      <c r="B775" s="49"/>
      <c r="C775" s="50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  <c r="AA775" s="108"/>
      <c r="AB775" s="108"/>
    </row>
    <row r="776" spans="1:28" ht="13.5" customHeight="1">
      <c r="A776" s="108"/>
      <c r="B776" s="49"/>
      <c r="C776" s="50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  <c r="AA776" s="108"/>
      <c r="AB776" s="108"/>
    </row>
    <row r="777" spans="1:28" ht="13.5" customHeight="1">
      <c r="A777" s="108"/>
      <c r="B777" s="49"/>
      <c r="C777" s="50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  <c r="AA777" s="108"/>
      <c r="AB777" s="108"/>
    </row>
    <row r="778" spans="1:28" ht="13.5" customHeight="1">
      <c r="A778" s="108"/>
      <c r="B778" s="49"/>
      <c r="C778" s="50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  <c r="AA778" s="108"/>
      <c r="AB778" s="108"/>
    </row>
    <row r="779" spans="1:28" ht="13.5" customHeight="1">
      <c r="A779" s="108"/>
      <c r="B779" s="49"/>
      <c r="C779" s="50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  <c r="AA779" s="108"/>
      <c r="AB779" s="108"/>
    </row>
    <row r="780" spans="1:28" ht="13.5" customHeight="1">
      <c r="A780" s="108"/>
      <c r="B780" s="49"/>
      <c r="C780" s="50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  <c r="AA780" s="108"/>
      <c r="AB780" s="108"/>
    </row>
    <row r="781" spans="1:28" ht="13.5" customHeight="1">
      <c r="A781" s="108"/>
      <c r="B781" s="49"/>
      <c r="C781" s="50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  <c r="AA781" s="108"/>
      <c r="AB781" s="108"/>
    </row>
    <row r="782" spans="1:28" ht="13.5" customHeight="1">
      <c r="A782" s="108"/>
      <c r="B782" s="49"/>
      <c r="C782" s="50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  <c r="AA782" s="108"/>
      <c r="AB782" s="108"/>
    </row>
    <row r="783" spans="1:28" ht="13.5" customHeight="1">
      <c r="A783" s="108"/>
      <c r="B783" s="49"/>
      <c r="C783" s="50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  <c r="AA783" s="108"/>
      <c r="AB783" s="108"/>
    </row>
    <row r="784" spans="1:28" ht="13.5" customHeight="1">
      <c r="A784" s="108"/>
      <c r="B784" s="49"/>
      <c r="C784" s="50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  <c r="AA784" s="108"/>
      <c r="AB784" s="108"/>
    </row>
    <row r="785" spans="1:28" ht="13.5" customHeight="1">
      <c r="A785" s="108"/>
      <c r="B785" s="49"/>
      <c r="C785" s="50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  <c r="AA785" s="108"/>
      <c r="AB785" s="108"/>
    </row>
    <row r="786" spans="1:28" ht="13.5" customHeight="1">
      <c r="A786" s="108"/>
      <c r="B786" s="49"/>
      <c r="C786" s="50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  <c r="AB786" s="108"/>
    </row>
    <row r="787" spans="1:28" ht="13.5" customHeight="1">
      <c r="A787" s="108"/>
      <c r="B787" s="49"/>
      <c r="C787" s="50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  <c r="AA787" s="108"/>
      <c r="AB787" s="108"/>
    </row>
    <row r="788" spans="1:28" ht="13.5" customHeight="1">
      <c r="A788" s="108"/>
      <c r="B788" s="49"/>
      <c r="C788" s="50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  <c r="AA788" s="108"/>
      <c r="AB788" s="108"/>
    </row>
    <row r="789" spans="1:28" ht="13.5" customHeight="1">
      <c r="A789" s="108"/>
      <c r="B789" s="49"/>
      <c r="C789" s="50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  <c r="AA789" s="108"/>
      <c r="AB789" s="108"/>
    </row>
    <row r="790" spans="1:28" ht="13.5" customHeight="1">
      <c r="A790" s="108"/>
      <c r="B790" s="49"/>
      <c r="C790" s="50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  <c r="AA790" s="108"/>
      <c r="AB790" s="108"/>
    </row>
    <row r="791" spans="1:28" ht="13.5" customHeight="1">
      <c r="A791" s="108"/>
      <c r="B791" s="49"/>
      <c r="C791" s="50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  <c r="AA791" s="108"/>
      <c r="AB791" s="108"/>
    </row>
    <row r="792" spans="1:28" ht="13.5" customHeight="1">
      <c r="A792" s="108"/>
      <c r="B792" s="49"/>
      <c r="C792" s="50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  <c r="AA792" s="108"/>
      <c r="AB792" s="108"/>
    </row>
    <row r="793" spans="1:28" ht="13.5" customHeight="1">
      <c r="A793" s="108"/>
      <c r="B793" s="49"/>
      <c r="C793" s="50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  <c r="AA793" s="108"/>
      <c r="AB793" s="108"/>
    </row>
    <row r="794" spans="1:28" ht="13.5" customHeight="1">
      <c r="A794" s="108"/>
      <c r="B794" s="49"/>
      <c r="C794" s="50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  <c r="AA794" s="108"/>
      <c r="AB794" s="108"/>
    </row>
    <row r="795" spans="1:28" ht="13.5" customHeight="1">
      <c r="A795" s="108"/>
      <c r="B795" s="49"/>
      <c r="C795" s="50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  <c r="AA795" s="108"/>
      <c r="AB795" s="108"/>
    </row>
    <row r="796" spans="1:28" ht="13.5" customHeight="1">
      <c r="A796" s="108"/>
      <c r="B796" s="49"/>
      <c r="C796" s="50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  <c r="AA796" s="108"/>
      <c r="AB796" s="108"/>
    </row>
    <row r="797" spans="1:28" ht="13.5" customHeight="1">
      <c r="A797" s="108"/>
      <c r="B797" s="49"/>
      <c r="C797" s="50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  <c r="AA797" s="108"/>
      <c r="AB797" s="108"/>
    </row>
    <row r="798" spans="1:28" ht="13.5" customHeight="1">
      <c r="A798" s="108"/>
      <c r="B798" s="49"/>
      <c r="C798" s="50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  <c r="AA798" s="108"/>
      <c r="AB798" s="108"/>
    </row>
    <row r="799" spans="1:28" ht="13.5" customHeight="1">
      <c r="A799" s="108"/>
      <c r="B799" s="49"/>
      <c r="C799" s="50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  <c r="AA799" s="108"/>
      <c r="AB799" s="108"/>
    </row>
    <row r="800" spans="1:28" ht="13.5" customHeight="1">
      <c r="A800" s="108"/>
      <c r="B800" s="49"/>
      <c r="C800" s="50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  <c r="AA800" s="108"/>
      <c r="AB800" s="108"/>
    </row>
    <row r="801" spans="1:28" ht="13.5" customHeight="1">
      <c r="A801" s="108"/>
      <c r="B801" s="49"/>
      <c r="C801" s="50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  <c r="AA801" s="108"/>
      <c r="AB801" s="108"/>
    </row>
    <row r="802" spans="1:28" ht="13.5" customHeight="1">
      <c r="A802" s="108"/>
      <c r="B802" s="49"/>
      <c r="C802" s="50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  <c r="AA802" s="108"/>
      <c r="AB802" s="108"/>
    </row>
    <row r="803" spans="1:28" ht="13.5" customHeight="1">
      <c r="A803" s="108"/>
      <c r="B803" s="49"/>
      <c r="C803" s="50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  <c r="AA803" s="108"/>
      <c r="AB803" s="108"/>
    </row>
    <row r="804" spans="1:28" ht="13.5" customHeight="1">
      <c r="A804" s="108"/>
      <c r="B804" s="49"/>
      <c r="C804" s="50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  <c r="AA804" s="108"/>
      <c r="AB804" s="108"/>
    </row>
    <row r="805" spans="1:28" ht="13.5" customHeight="1">
      <c r="A805" s="108"/>
      <c r="B805" s="49"/>
      <c r="C805" s="50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  <c r="AA805" s="108"/>
      <c r="AB805" s="108"/>
    </row>
    <row r="806" spans="1:28" ht="13.5" customHeight="1">
      <c r="A806" s="108"/>
      <c r="B806" s="49"/>
      <c r="C806" s="50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  <c r="AA806" s="108"/>
      <c r="AB806" s="108"/>
    </row>
    <row r="807" spans="1:28" ht="13.5" customHeight="1">
      <c r="A807" s="108"/>
      <c r="B807" s="49"/>
      <c r="C807" s="50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  <c r="AA807" s="108"/>
      <c r="AB807" s="108"/>
    </row>
    <row r="808" spans="1:28" ht="13.5" customHeight="1">
      <c r="A808" s="108"/>
      <c r="B808" s="49"/>
      <c r="C808" s="50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  <c r="AA808" s="108"/>
      <c r="AB808" s="108"/>
    </row>
    <row r="809" spans="1:28" ht="13.5" customHeight="1">
      <c r="A809" s="108"/>
      <c r="B809" s="49"/>
      <c r="C809" s="50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  <c r="AA809" s="108"/>
      <c r="AB809" s="108"/>
    </row>
    <row r="810" spans="1:28" ht="13.5" customHeight="1">
      <c r="A810" s="108"/>
      <c r="B810" s="49"/>
      <c r="C810" s="50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  <c r="AA810" s="108"/>
      <c r="AB810" s="108"/>
    </row>
    <row r="811" spans="1:28" ht="13.5" customHeight="1">
      <c r="A811" s="108"/>
      <c r="B811" s="49"/>
      <c r="C811" s="50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  <c r="AA811" s="108"/>
      <c r="AB811" s="108"/>
    </row>
    <row r="812" spans="1:28" ht="13.5" customHeight="1">
      <c r="A812" s="108"/>
      <c r="B812" s="49"/>
      <c r="C812" s="50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  <c r="AA812" s="108"/>
      <c r="AB812" s="108"/>
    </row>
    <row r="813" spans="1:28" ht="13.5" customHeight="1">
      <c r="A813" s="108"/>
      <c r="B813" s="49"/>
      <c r="C813" s="50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  <c r="AA813" s="108"/>
      <c r="AB813" s="108"/>
    </row>
    <row r="814" spans="1:28" ht="13.5" customHeight="1">
      <c r="A814" s="108"/>
      <c r="B814" s="49"/>
      <c r="C814" s="50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  <c r="AA814" s="108"/>
      <c r="AB814" s="108"/>
    </row>
    <row r="815" spans="1:28" ht="13.5" customHeight="1">
      <c r="A815" s="108"/>
      <c r="B815" s="49"/>
      <c r="C815" s="50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  <c r="AA815" s="108"/>
      <c r="AB815" s="108"/>
    </row>
    <row r="816" spans="1:28" ht="13.5" customHeight="1">
      <c r="A816" s="108"/>
      <c r="B816" s="49"/>
      <c r="C816" s="50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  <c r="AA816" s="108"/>
      <c r="AB816" s="108"/>
    </row>
    <row r="817" spans="1:28" ht="13.5" customHeight="1">
      <c r="A817" s="108"/>
      <c r="B817" s="49"/>
      <c r="C817" s="50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  <c r="AA817" s="108"/>
      <c r="AB817" s="108"/>
    </row>
    <row r="818" spans="1:28" ht="13.5" customHeight="1">
      <c r="A818" s="108"/>
      <c r="B818" s="49"/>
      <c r="C818" s="50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  <c r="AA818" s="108"/>
      <c r="AB818" s="108"/>
    </row>
    <row r="819" spans="1:28" ht="13.5" customHeight="1">
      <c r="A819" s="108"/>
      <c r="B819" s="49"/>
      <c r="C819" s="50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  <c r="AA819" s="108"/>
      <c r="AB819" s="108"/>
    </row>
    <row r="820" spans="1:28" ht="13.5" customHeight="1">
      <c r="A820" s="108"/>
      <c r="B820" s="49"/>
      <c r="C820" s="50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  <c r="AA820" s="108"/>
      <c r="AB820" s="108"/>
    </row>
    <row r="821" spans="1:28" ht="13.5" customHeight="1">
      <c r="A821" s="108"/>
      <c r="B821" s="49"/>
      <c r="C821" s="50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  <c r="AA821" s="108"/>
      <c r="AB821" s="108"/>
    </row>
    <row r="822" spans="1:28" ht="13.5" customHeight="1">
      <c r="A822" s="108"/>
      <c r="B822" s="49"/>
      <c r="C822" s="50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  <c r="AA822" s="108"/>
      <c r="AB822" s="108"/>
    </row>
    <row r="823" spans="1:28" ht="13.5" customHeight="1">
      <c r="A823" s="108"/>
      <c r="B823" s="49"/>
      <c r="C823" s="50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  <c r="AA823" s="108"/>
      <c r="AB823" s="108"/>
    </row>
    <row r="824" spans="1:28" ht="13.5" customHeight="1">
      <c r="A824" s="108"/>
      <c r="B824" s="49"/>
      <c r="C824" s="50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  <c r="AA824" s="108"/>
      <c r="AB824" s="108"/>
    </row>
    <row r="825" spans="1:28" ht="13.5" customHeight="1">
      <c r="A825" s="108"/>
      <c r="B825" s="49"/>
      <c r="C825" s="50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  <c r="AA825" s="108"/>
      <c r="AB825" s="108"/>
    </row>
    <row r="826" spans="1:28" ht="13.5" customHeight="1">
      <c r="A826" s="108"/>
      <c r="B826" s="49"/>
      <c r="C826" s="50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  <c r="AA826" s="108"/>
      <c r="AB826" s="108"/>
    </row>
    <row r="827" spans="1:28" ht="13.5" customHeight="1">
      <c r="A827" s="108"/>
      <c r="B827" s="49"/>
      <c r="C827" s="50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  <c r="AA827" s="108"/>
      <c r="AB827" s="108"/>
    </row>
    <row r="828" spans="1:28" ht="13.5" customHeight="1">
      <c r="A828" s="108"/>
      <c r="B828" s="49"/>
      <c r="C828" s="50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  <c r="AA828" s="108"/>
      <c r="AB828" s="108"/>
    </row>
    <row r="829" spans="1:28" ht="13.5" customHeight="1">
      <c r="A829" s="108"/>
      <c r="B829" s="49"/>
      <c r="C829" s="50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  <c r="AA829" s="108"/>
      <c r="AB829" s="108"/>
    </row>
    <row r="830" spans="1:28" ht="13.5" customHeight="1">
      <c r="A830" s="108"/>
      <c r="B830" s="49"/>
      <c r="C830" s="50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  <c r="AA830" s="108"/>
      <c r="AB830" s="108"/>
    </row>
    <row r="831" spans="1:28" ht="13.5" customHeight="1">
      <c r="A831" s="108"/>
      <c r="B831" s="49"/>
      <c r="C831" s="50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  <c r="AA831" s="108"/>
      <c r="AB831" s="108"/>
    </row>
    <row r="832" spans="1:28" ht="13.5" customHeight="1">
      <c r="A832" s="108"/>
      <c r="B832" s="49"/>
      <c r="C832" s="50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  <c r="AA832" s="108"/>
      <c r="AB832" s="108"/>
    </row>
    <row r="833" spans="1:28" ht="13.5" customHeight="1">
      <c r="A833" s="108"/>
      <c r="B833" s="49"/>
      <c r="C833" s="50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  <c r="AA833" s="108"/>
      <c r="AB833" s="108"/>
    </row>
    <row r="834" spans="1:28" ht="13.5" customHeight="1">
      <c r="A834" s="108"/>
      <c r="B834" s="49"/>
      <c r="C834" s="50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  <c r="AA834" s="108"/>
      <c r="AB834" s="108"/>
    </row>
    <row r="835" spans="1:28" ht="13.5" customHeight="1">
      <c r="A835" s="108"/>
      <c r="B835" s="49"/>
      <c r="C835" s="50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  <c r="AA835" s="108"/>
      <c r="AB835" s="108"/>
    </row>
    <row r="836" spans="1:28" ht="13.5" customHeight="1">
      <c r="A836" s="108"/>
      <c r="B836" s="49"/>
      <c r="C836" s="50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  <c r="AA836" s="108"/>
      <c r="AB836" s="108"/>
    </row>
    <row r="837" spans="1:28" ht="13.5" customHeight="1">
      <c r="A837" s="108"/>
      <c r="B837" s="49"/>
      <c r="C837" s="50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  <c r="AA837" s="108"/>
      <c r="AB837" s="108"/>
    </row>
    <row r="838" spans="1:28" ht="13.5" customHeight="1">
      <c r="A838" s="108"/>
      <c r="B838" s="49"/>
      <c r="C838" s="50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  <c r="AA838" s="108"/>
      <c r="AB838" s="108"/>
    </row>
    <row r="839" spans="1:28" ht="13.5" customHeight="1">
      <c r="A839" s="108"/>
      <c r="B839" s="49"/>
      <c r="C839" s="50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  <c r="AA839" s="108"/>
      <c r="AB839" s="108"/>
    </row>
    <row r="840" spans="1:28" ht="13.5" customHeight="1">
      <c r="A840" s="108"/>
      <c r="B840" s="49"/>
      <c r="C840" s="50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  <c r="AA840" s="108"/>
      <c r="AB840" s="108"/>
    </row>
    <row r="841" spans="1:28" ht="13.5" customHeight="1">
      <c r="A841" s="108"/>
      <c r="B841" s="49"/>
      <c r="C841" s="50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  <c r="AA841" s="108"/>
      <c r="AB841" s="108"/>
    </row>
    <row r="842" spans="1:28" ht="13.5" customHeight="1">
      <c r="A842" s="108"/>
      <c r="B842" s="49"/>
      <c r="C842" s="50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  <c r="AA842" s="108"/>
      <c r="AB842" s="108"/>
    </row>
    <row r="843" spans="1:28" ht="13.5" customHeight="1">
      <c r="A843" s="108"/>
      <c r="B843" s="49"/>
      <c r="C843" s="50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  <c r="AA843" s="108"/>
      <c r="AB843" s="108"/>
    </row>
    <row r="844" spans="1:28" ht="13.5" customHeight="1">
      <c r="A844" s="108"/>
      <c r="B844" s="49"/>
      <c r="C844" s="50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  <c r="AA844" s="108"/>
      <c r="AB844" s="108"/>
    </row>
    <row r="845" spans="1:28" ht="13.5" customHeight="1">
      <c r="A845" s="108"/>
      <c r="B845" s="49"/>
      <c r="C845" s="50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  <c r="AA845" s="108"/>
      <c r="AB845" s="108"/>
    </row>
    <row r="846" spans="1:28" ht="13.5" customHeight="1">
      <c r="A846" s="108"/>
      <c r="B846" s="49"/>
      <c r="C846" s="50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  <c r="AA846" s="108"/>
      <c r="AB846" s="108"/>
    </row>
    <row r="847" spans="1:28" ht="13.5" customHeight="1">
      <c r="A847" s="108"/>
      <c r="B847" s="49"/>
      <c r="C847" s="50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  <c r="AA847" s="108"/>
      <c r="AB847" s="108"/>
    </row>
    <row r="848" spans="1:28" ht="13.5" customHeight="1">
      <c r="A848" s="108"/>
      <c r="B848" s="49"/>
      <c r="C848" s="50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  <c r="AA848" s="108"/>
      <c r="AB848" s="108"/>
    </row>
    <row r="849" spans="1:28" ht="13.5" customHeight="1">
      <c r="A849" s="108"/>
      <c r="B849" s="49"/>
      <c r="C849" s="50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  <c r="AA849" s="108"/>
      <c r="AB849" s="108"/>
    </row>
    <row r="850" spans="1:28" ht="13.5" customHeight="1">
      <c r="A850" s="108"/>
      <c r="B850" s="49"/>
      <c r="C850" s="50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  <c r="AA850" s="108"/>
      <c r="AB850" s="108"/>
    </row>
    <row r="851" spans="1:28" ht="13.5" customHeight="1">
      <c r="A851" s="108"/>
      <c r="B851" s="49"/>
      <c r="C851" s="50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  <c r="AA851" s="108"/>
      <c r="AB851" s="108"/>
    </row>
    <row r="852" spans="1:28" ht="13.5" customHeight="1">
      <c r="A852" s="108"/>
      <c r="B852" s="49"/>
      <c r="C852" s="50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  <c r="AA852" s="108"/>
      <c r="AB852" s="108"/>
    </row>
    <row r="853" spans="1:28" ht="13.5" customHeight="1">
      <c r="A853" s="108"/>
      <c r="B853" s="49"/>
      <c r="C853" s="50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  <c r="AA853" s="108"/>
      <c r="AB853" s="108"/>
    </row>
    <row r="854" spans="1:28" ht="13.5" customHeight="1">
      <c r="A854" s="108"/>
      <c r="B854" s="49"/>
      <c r="C854" s="50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  <c r="AA854" s="108"/>
      <c r="AB854" s="108"/>
    </row>
    <row r="855" spans="1:28" ht="13.5" customHeight="1">
      <c r="A855" s="108"/>
      <c r="B855" s="49"/>
      <c r="C855" s="50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  <c r="AA855" s="108"/>
      <c r="AB855" s="108"/>
    </row>
    <row r="856" spans="1:28" ht="13.5" customHeight="1">
      <c r="A856" s="108"/>
      <c r="B856" s="49"/>
      <c r="C856" s="50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  <c r="AA856" s="108"/>
      <c r="AB856" s="108"/>
    </row>
    <row r="857" spans="1:28" ht="13.5" customHeight="1">
      <c r="A857" s="108"/>
      <c r="B857" s="49"/>
      <c r="C857" s="50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  <c r="AA857" s="108"/>
      <c r="AB857" s="108"/>
    </row>
    <row r="858" spans="1:28" ht="13.5" customHeight="1">
      <c r="A858" s="108"/>
      <c r="B858" s="49"/>
      <c r="C858" s="50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  <c r="AA858" s="108"/>
      <c r="AB858" s="108"/>
    </row>
    <row r="859" spans="1:28" ht="13.5" customHeight="1">
      <c r="A859" s="108"/>
      <c r="B859" s="49"/>
      <c r="C859" s="50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  <c r="AA859" s="108"/>
      <c r="AB859" s="108"/>
    </row>
    <row r="860" spans="1:28" ht="13.5" customHeight="1">
      <c r="A860" s="108"/>
      <c r="B860" s="49"/>
      <c r="C860" s="50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  <c r="AA860" s="108"/>
      <c r="AB860" s="108"/>
    </row>
    <row r="861" spans="1:28" ht="13.5" customHeight="1">
      <c r="A861" s="108"/>
      <c r="B861" s="49"/>
      <c r="C861" s="50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  <c r="AA861" s="108"/>
      <c r="AB861" s="108"/>
    </row>
    <row r="862" spans="1:28" ht="13.5" customHeight="1">
      <c r="A862" s="108"/>
      <c r="B862" s="49"/>
      <c r="C862" s="50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  <c r="AA862" s="108"/>
      <c r="AB862" s="108"/>
    </row>
    <row r="863" spans="1:28" ht="13.5" customHeight="1">
      <c r="A863" s="108"/>
      <c r="B863" s="49"/>
      <c r="C863" s="50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  <c r="AA863" s="108"/>
      <c r="AB863" s="108"/>
    </row>
    <row r="864" spans="1:28" ht="13.5" customHeight="1">
      <c r="A864" s="108"/>
      <c r="B864" s="49"/>
      <c r="C864" s="50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  <c r="AA864" s="108"/>
      <c r="AB864" s="108"/>
    </row>
    <row r="865" spans="1:28" ht="13.5" customHeight="1">
      <c r="A865" s="108"/>
      <c r="B865" s="49"/>
      <c r="C865" s="50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  <c r="AA865" s="108"/>
      <c r="AB865" s="108"/>
    </row>
    <row r="866" spans="1:28" ht="13.5" customHeight="1">
      <c r="A866" s="108"/>
      <c r="B866" s="49"/>
      <c r="C866" s="50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  <c r="AA866" s="108"/>
      <c r="AB866" s="108"/>
    </row>
    <row r="867" spans="1:28" ht="13.5" customHeight="1">
      <c r="A867" s="108"/>
      <c r="B867" s="49"/>
      <c r="C867" s="50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  <c r="AA867" s="108"/>
      <c r="AB867" s="108"/>
    </row>
    <row r="868" spans="1:28" ht="13.5" customHeight="1">
      <c r="A868" s="108"/>
      <c r="B868" s="49"/>
      <c r="C868" s="50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  <c r="AA868" s="108"/>
      <c r="AB868" s="108"/>
    </row>
    <row r="869" spans="1:28" ht="13.5" customHeight="1">
      <c r="A869" s="108"/>
      <c r="B869" s="49"/>
      <c r="C869" s="50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  <c r="AA869" s="108"/>
      <c r="AB869" s="108"/>
    </row>
    <row r="870" spans="1:28" ht="13.5" customHeight="1">
      <c r="A870" s="108"/>
      <c r="B870" s="49"/>
      <c r="C870" s="50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  <c r="AA870" s="108"/>
      <c r="AB870" s="108"/>
    </row>
    <row r="871" spans="1:28" ht="13.5" customHeight="1">
      <c r="A871" s="108"/>
      <c r="B871" s="49"/>
      <c r="C871" s="50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  <c r="AA871" s="108"/>
      <c r="AB871" s="108"/>
    </row>
    <row r="872" spans="1:28" ht="13.5" customHeight="1">
      <c r="A872" s="108"/>
      <c r="B872" s="49"/>
      <c r="C872" s="50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  <c r="AA872" s="108"/>
      <c r="AB872" s="108"/>
    </row>
    <row r="873" spans="1:28" ht="13.5" customHeight="1">
      <c r="A873" s="108"/>
      <c r="B873" s="49"/>
      <c r="C873" s="50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  <c r="AA873" s="108"/>
      <c r="AB873" s="108"/>
    </row>
    <row r="874" spans="1:28" ht="13.5" customHeight="1">
      <c r="A874" s="108"/>
      <c r="B874" s="49"/>
      <c r="C874" s="50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  <c r="AA874" s="108"/>
      <c r="AB874" s="108"/>
    </row>
    <row r="875" spans="1:28" ht="13.5" customHeight="1">
      <c r="A875" s="108"/>
      <c r="B875" s="49"/>
      <c r="C875" s="50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  <c r="AA875" s="108"/>
      <c r="AB875" s="108"/>
    </row>
    <row r="876" spans="1:28" ht="13.5" customHeight="1">
      <c r="A876" s="108"/>
      <c r="B876" s="49"/>
      <c r="C876" s="50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  <c r="AA876" s="108"/>
      <c r="AB876" s="108"/>
    </row>
    <row r="877" spans="1:28" ht="13.5" customHeight="1">
      <c r="A877" s="108"/>
      <c r="B877" s="49"/>
      <c r="C877" s="50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  <c r="AA877" s="108"/>
      <c r="AB877" s="108"/>
    </row>
    <row r="878" spans="1:28" ht="13.5" customHeight="1">
      <c r="A878" s="108"/>
      <c r="B878" s="49"/>
      <c r="C878" s="50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  <c r="AA878" s="108"/>
      <c r="AB878" s="108"/>
    </row>
    <row r="879" spans="1:28" ht="13.5" customHeight="1">
      <c r="A879" s="108"/>
      <c r="B879" s="49"/>
      <c r="C879" s="50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  <c r="AA879" s="108"/>
      <c r="AB879" s="108"/>
    </row>
    <row r="880" spans="1:28" ht="13.5" customHeight="1">
      <c r="A880" s="108"/>
      <c r="B880" s="49"/>
      <c r="C880" s="50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  <c r="AA880" s="108"/>
      <c r="AB880" s="108"/>
    </row>
    <row r="881" spans="1:28" ht="13.5" customHeight="1">
      <c r="A881" s="108"/>
      <c r="B881" s="49"/>
      <c r="C881" s="50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  <c r="AA881" s="108"/>
      <c r="AB881" s="108"/>
    </row>
    <row r="882" spans="1:28" ht="13.5" customHeight="1">
      <c r="A882" s="108"/>
      <c r="B882" s="49"/>
      <c r="C882" s="50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  <c r="AA882" s="108"/>
      <c r="AB882" s="108"/>
    </row>
    <row r="883" spans="1:28" ht="13.5" customHeight="1">
      <c r="A883" s="108"/>
      <c r="B883" s="49"/>
      <c r="C883" s="50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  <c r="AA883" s="108"/>
      <c r="AB883" s="108"/>
    </row>
    <row r="884" spans="1:28" ht="13.5" customHeight="1">
      <c r="A884" s="108"/>
      <c r="B884" s="49"/>
      <c r="C884" s="50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  <c r="AA884" s="108"/>
      <c r="AB884" s="108"/>
    </row>
    <row r="885" spans="1:28" ht="13.5" customHeight="1">
      <c r="A885" s="108"/>
      <c r="B885" s="49"/>
      <c r="C885" s="50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  <c r="AA885" s="108"/>
      <c r="AB885" s="108"/>
    </row>
    <row r="886" spans="1:28" ht="13.5" customHeight="1">
      <c r="A886" s="108"/>
      <c r="B886" s="49"/>
      <c r="C886" s="50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  <c r="AA886" s="108"/>
      <c r="AB886" s="108"/>
    </row>
    <row r="887" spans="1:28" ht="13.5" customHeight="1">
      <c r="A887" s="108"/>
      <c r="B887" s="49"/>
      <c r="C887" s="50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  <c r="AA887" s="108"/>
      <c r="AB887" s="108"/>
    </row>
    <row r="888" spans="1:28" ht="13.5" customHeight="1">
      <c r="A888" s="108"/>
      <c r="B888" s="49"/>
      <c r="C888" s="50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  <c r="AA888" s="108"/>
      <c r="AB888" s="108"/>
    </row>
    <row r="889" spans="1:28" ht="13.5" customHeight="1">
      <c r="A889" s="108"/>
      <c r="B889" s="49"/>
      <c r="C889" s="50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  <c r="AA889" s="108"/>
      <c r="AB889" s="108"/>
    </row>
    <row r="890" spans="1:28" ht="13.5" customHeight="1">
      <c r="A890" s="108"/>
      <c r="B890" s="49"/>
      <c r="C890" s="50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  <c r="AA890" s="108"/>
      <c r="AB890" s="108"/>
    </row>
    <row r="891" spans="1:28" ht="13.5" customHeight="1">
      <c r="A891" s="108"/>
      <c r="B891" s="49"/>
      <c r="C891" s="50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  <c r="AA891" s="108"/>
      <c r="AB891" s="108"/>
    </row>
    <row r="892" spans="1:28" ht="13.5" customHeight="1">
      <c r="A892" s="108"/>
      <c r="B892" s="49"/>
      <c r="C892" s="50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  <c r="AA892" s="108"/>
      <c r="AB892" s="108"/>
    </row>
    <row r="893" spans="1:28" ht="13.5" customHeight="1">
      <c r="A893" s="108"/>
      <c r="B893" s="49"/>
      <c r="C893" s="50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  <c r="AA893" s="108"/>
      <c r="AB893" s="108"/>
    </row>
    <row r="894" spans="1:28" ht="13.5" customHeight="1">
      <c r="A894" s="108"/>
      <c r="B894" s="49"/>
      <c r="C894" s="50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  <c r="AA894" s="108"/>
      <c r="AB894" s="108"/>
    </row>
    <row r="895" spans="1:28" ht="13.5" customHeight="1">
      <c r="A895" s="108"/>
      <c r="B895" s="49"/>
      <c r="C895" s="50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  <c r="AA895" s="108"/>
      <c r="AB895" s="108"/>
    </row>
    <row r="896" spans="1:28" ht="13.5" customHeight="1">
      <c r="A896" s="108"/>
      <c r="B896" s="49"/>
      <c r="C896" s="50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  <c r="AA896" s="108"/>
      <c r="AB896" s="108"/>
    </row>
    <row r="897" spans="1:28" ht="13.5" customHeight="1">
      <c r="A897" s="108"/>
      <c r="B897" s="49"/>
      <c r="C897" s="50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  <c r="AA897" s="108"/>
      <c r="AB897" s="108"/>
    </row>
    <row r="898" spans="1:28" ht="13.5" customHeight="1">
      <c r="A898" s="108"/>
      <c r="B898" s="49"/>
      <c r="C898" s="50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  <c r="AA898" s="108"/>
      <c r="AB898" s="108"/>
    </row>
    <row r="899" spans="1:28" ht="13.5" customHeight="1">
      <c r="A899" s="108"/>
      <c r="B899" s="49"/>
      <c r="C899" s="50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  <c r="AA899" s="108"/>
      <c r="AB899" s="108"/>
    </row>
    <row r="900" spans="1:28" ht="13.5" customHeight="1">
      <c r="A900" s="108"/>
      <c r="B900" s="49"/>
      <c r="C900" s="50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  <c r="AA900" s="108"/>
      <c r="AB900" s="108"/>
    </row>
    <row r="901" spans="1:28" ht="13.5" customHeight="1">
      <c r="A901" s="108"/>
      <c r="B901" s="49"/>
      <c r="C901" s="50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  <c r="AA901" s="108"/>
      <c r="AB901" s="108"/>
    </row>
    <row r="902" spans="1:28" ht="13.5" customHeight="1">
      <c r="A902" s="108"/>
      <c r="B902" s="49"/>
      <c r="C902" s="50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  <c r="AA902" s="108"/>
      <c r="AB902" s="108"/>
    </row>
    <row r="903" spans="1:28" ht="13.5" customHeight="1">
      <c r="A903" s="108"/>
      <c r="B903" s="49"/>
      <c r="C903" s="50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  <c r="AA903" s="108"/>
      <c r="AB903" s="108"/>
    </row>
    <row r="904" spans="1:28" ht="13.5" customHeight="1">
      <c r="A904" s="108"/>
      <c r="B904" s="49"/>
      <c r="C904" s="50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  <c r="AA904" s="108"/>
      <c r="AB904" s="108"/>
    </row>
    <row r="905" spans="1:28" ht="13.5" customHeight="1">
      <c r="A905" s="108"/>
      <c r="B905" s="49"/>
      <c r="C905" s="50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  <c r="AA905" s="108"/>
      <c r="AB905" s="108"/>
    </row>
    <row r="906" spans="1:28" ht="13.5" customHeight="1">
      <c r="A906" s="108"/>
      <c r="B906" s="49"/>
      <c r="C906" s="50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</row>
    <row r="907" spans="1:28" ht="13.5" customHeight="1">
      <c r="A907" s="108"/>
      <c r="B907" s="49"/>
      <c r="C907" s="50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  <c r="AA907" s="108"/>
      <c r="AB907" s="108"/>
    </row>
    <row r="908" spans="1:28" ht="13.5" customHeight="1">
      <c r="A908" s="108"/>
      <c r="B908" s="49"/>
      <c r="C908" s="50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  <c r="AA908" s="108"/>
      <c r="AB908" s="108"/>
    </row>
    <row r="909" spans="1:28" ht="13.5" customHeight="1">
      <c r="A909" s="108"/>
      <c r="B909" s="49"/>
      <c r="C909" s="50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  <c r="AA909" s="108"/>
      <c r="AB909" s="108"/>
    </row>
    <row r="910" spans="1:28" ht="13.5" customHeight="1">
      <c r="A910" s="108"/>
      <c r="B910" s="49"/>
      <c r="C910" s="50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</row>
    <row r="911" spans="1:28" ht="13.5" customHeight="1">
      <c r="A911" s="108"/>
      <c r="B911" s="49"/>
      <c r="C911" s="50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  <c r="AA911" s="108"/>
      <c r="AB911" s="108"/>
    </row>
    <row r="912" spans="1:28" ht="13.5" customHeight="1">
      <c r="A912" s="108"/>
      <c r="B912" s="49"/>
      <c r="C912" s="50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  <c r="AA912" s="108"/>
      <c r="AB912" s="108"/>
    </row>
    <row r="913" spans="1:28" ht="13.5" customHeight="1">
      <c r="A913" s="108"/>
      <c r="B913" s="49"/>
      <c r="C913" s="50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  <c r="AA913" s="108"/>
      <c r="AB913" s="108"/>
    </row>
    <row r="914" spans="1:28" ht="13.5" customHeight="1">
      <c r="A914" s="108"/>
      <c r="B914" s="49"/>
      <c r="C914" s="50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  <c r="AA914" s="108"/>
      <c r="AB914" s="108"/>
    </row>
    <row r="915" spans="1:28" ht="13.5" customHeight="1">
      <c r="A915" s="108"/>
      <c r="B915" s="49"/>
      <c r="C915" s="50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  <c r="AA915" s="108"/>
      <c r="AB915" s="108"/>
    </row>
    <row r="916" spans="1:28" ht="13.5" customHeight="1">
      <c r="A916" s="108"/>
      <c r="B916" s="49"/>
      <c r="C916" s="50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  <c r="AA916" s="108"/>
      <c r="AB916" s="108"/>
    </row>
    <row r="917" spans="1:28" ht="13.5" customHeight="1">
      <c r="A917" s="108"/>
      <c r="B917" s="49"/>
      <c r="C917" s="50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  <c r="AA917" s="108"/>
      <c r="AB917" s="108"/>
    </row>
    <row r="918" spans="1:28" ht="13.5" customHeight="1">
      <c r="A918" s="108"/>
      <c r="B918" s="49"/>
      <c r="C918" s="50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  <c r="AA918" s="108"/>
      <c r="AB918" s="108"/>
    </row>
    <row r="919" spans="1:28" ht="13.5" customHeight="1">
      <c r="A919" s="108"/>
      <c r="B919" s="49"/>
      <c r="C919" s="50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  <c r="AA919" s="108"/>
      <c r="AB919" s="108"/>
    </row>
    <row r="920" spans="1:28" ht="13.5" customHeight="1">
      <c r="A920" s="108"/>
      <c r="B920" s="49"/>
      <c r="C920" s="50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  <c r="AA920" s="108"/>
      <c r="AB920" s="108"/>
    </row>
    <row r="921" spans="1:28" ht="13.5" customHeight="1">
      <c r="A921" s="108"/>
      <c r="B921" s="49"/>
      <c r="C921" s="50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  <c r="AA921" s="108"/>
      <c r="AB921" s="108"/>
    </row>
    <row r="922" spans="1:28" ht="13.5" customHeight="1">
      <c r="A922" s="108"/>
      <c r="B922" s="49"/>
      <c r="C922" s="50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  <c r="AA922" s="108"/>
      <c r="AB922" s="108"/>
    </row>
    <row r="923" spans="1:28" ht="13.5" customHeight="1">
      <c r="A923" s="108"/>
      <c r="B923" s="49"/>
      <c r="C923" s="50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  <c r="AA923" s="108"/>
      <c r="AB923" s="108"/>
    </row>
    <row r="924" spans="1:28" ht="13.5" customHeight="1">
      <c r="A924" s="108"/>
      <c r="B924" s="49"/>
      <c r="C924" s="50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  <c r="AA924" s="108"/>
      <c r="AB924" s="108"/>
    </row>
    <row r="925" spans="1:28" ht="13.5" customHeight="1">
      <c r="A925" s="108"/>
      <c r="B925" s="49"/>
      <c r="C925" s="50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  <c r="AA925" s="108"/>
      <c r="AB925" s="108"/>
    </row>
    <row r="926" spans="1:28" ht="13.5" customHeight="1">
      <c r="A926" s="108"/>
      <c r="B926" s="49"/>
      <c r="C926" s="50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  <c r="AA926" s="108"/>
      <c r="AB926" s="108"/>
    </row>
    <row r="927" spans="1:28" ht="13.5" customHeight="1">
      <c r="A927" s="108"/>
      <c r="B927" s="49"/>
      <c r="C927" s="50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  <c r="AA927" s="108"/>
      <c r="AB927" s="108"/>
    </row>
    <row r="928" spans="1:28" ht="13.5" customHeight="1">
      <c r="A928" s="108"/>
      <c r="B928" s="49"/>
      <c r="C928" s="50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  <c r="AA928" s="108"/>
      <c r="AB928" s="108"/>
    </row>
    <row r="929" spans="1:28" ht="13.5" customHeight="1">
      <c r="A929" s="108"/>
      <c r="B929" s="49"/>
      <c r="C929" s="50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  <c r="AA929" s="108"/>
      <c r="AB929" s="108"/>
    </row>
    <row r="930" spans="1:28" ht="13.5" customHeight="1">
      <c r="A930" s="108"/>
      <c r="B930" s="49"/>
      <c r="C930" s="50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  <c r="AA930" s="108"/>
      <c r="AB930" s="108"/>
    </row>
    <row r="931" spans="1:28" ht="13.5" customHeight="1">
      <c r="A931" s="108"/>
      <c r="B931" s="49"/>
      <c r="C931" s="50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  <c r="AA931" s="108"/>
      <c r="AB931" s="108"/>
    </row>
    <row r="932" spans="1:28" ht="13.5" customHeight="1">
      <c r="A932" s="108"/>
      <c r="B932" s="49"/>
      <c r="C932" s="50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  <c r="AA932" s="108"/>
      <c r="AB932" s="108"/>
    </row>
    <row r="933" spans="1:28" ht="13.5" customHeight="1">
      <c r="A933" s="108"/>
      <c r="B933" s="49"/>
      <c r="C933" s="50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  <c r="AA933" s="108"/>
      <c r="AB933" s="108"/>
    </row>
    <row r="934" spans="1:28" ht="13.5" customHeight="1">
      <c r="A934" s="108"/>
      <c r="B934" s="49"/>
      <c r="C934" s="50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  <c r="AA934" s="108"/>
      <c r="AB934" s="108"/>
    </row>
    <row r="935" spans="1:28" ht="13.5" customHeight="1">
      <c r="A935" s="108"/>
      <c r="B935" s="49"/>
      <c r="C935" s="50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  <c r="AA935" s="108"/>
      <c r="AB935" s="108"/>
    </row>
    <row r="936" spans="1:28" ht="13.5" customHeight="1">
      <c r="A936" s="108"/>
      <c r="B936" s="49"/>
      <c r="C936" s="50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  <c r="AA936" s="108"/>
      <c r="AB936" s="108"/>
    </row>
    <row r="937" spans="1:28" ht="13.5" customHeight="1">
      <c r="A937" s="108"/>
      <c r="B937" s="49"/>
      <c r="C937" s="50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  <c r="AA937" s="108"/>
      <c r="AB937" s="108"/>
    </row>
    <row r="938" spans="1:28" ht="13.5" customHeight="1">
      <c r="A938" s="108"/>
      <c r="B938" s="49"/>
      <c r="C938" s="50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  <c r="AA938" s="108"/>
      <c r="AB938" s="108"/>
    </row>
    <row r="939" spans="1:28" ht="13.5" customHeight="1">
      <c r="A939" s="108"/>
      <c r="B939" s="49"/>
      <c r="C939" s="50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  <c r="AA939" s="108"/>
      <c r="AB939" s="108"/>
    </row>
    <row r="940" spans="1:28" ht="13.5" customHeight="1">
      <c r="A940" s="108"/>
      <c r="B940" s="49"/>
      <c r="C940" s="50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  <c r="AA940" s="108"/>
      <c r="AB940" s="108"/>
    </row>
    <row r="941" spans="1:28" ht="13.5" customHeight="1">
      <c r="A941" s="108"/>
      <c r="B941" s="49"/>
      <c r="C941" s="50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  <c r="AA941" s="108"/>
      <c r="AB941" s="108"/>
    </row>
    <row r="942" spans="1:28" ht="13.5" customHeight="1">
      <c r="A942" s="108"/>
      <c r="B942" s="49"/>
      <c r="C942" s="50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  <c r="AA942" s="108"/>
      <c r="AB942" s="108"/>
    </row>
    <row r="943" spans="1:28" ht="13.5" customHeight="1">
      <c r="A943" s="108"/>
      <c r="B943" s="49"/>
      <c r="C943" s="50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  <c r="AA943" s="108"/>
      <c r="AB943" s="108"/>
    </row>
    <row r="944" spans="1:28" ht="13.5" customHeight="1">
      <c r="A944" s="108"/>
      <c r="B944" s="49"/>
      <c r="C944" s="50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  <c r="AA944" s="108"/>
      <c r="AB944" s="108"/>
    </row>
    <row r="945" spans="1:28" ht="13.5" customHeight="1">
      <c r="A945" s="108"/>
      <c r="B945" s="49"/>
      <c r="C945" s="50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  <c r="AA945" s="108"/>
      <c r="AB945" s="108"/>
    </row>
    <row r="946" spans="1:28" ht="13.5" customHeight="1">
      <c r="A946" s="108"/>
      <c r="B946" s="49"/>
      <c r="C946" s="50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  <c r="AA946" s="108"/>
      <c r="AB946" s="108"/>
    </row>
    <row r="947" spans="1:28" ht="13.5" customHeight="1">
      <c r="A947" s="108"/>
      <c r="B947" s="49"/>
      <c r="C947" s="50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  <c r="AA947" s="108"/>
      <c r="AB947" s="108"/>
    </row>
    <row r="948" spans="1:28" ht="13.5" customHeight="1">
      <c r="A948" s="108"/>
      <c r="B948" s="49"/>
      <c r="C948" s="50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  <c r="AA948" s="108"/>
      <c r="AB948" s="108"/>
    </row>
    <row r="949" spans="1:28" ht="13.5" customHeight="1">
      <c r="A949" s="108"/>
      <c r="B949" s="49"/>
      <c r="C949" s="50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  <c r="AA949" s="108"/>
      <c r="AB949" s="108"/>
    </row>
    <row r="950" spans="1:28" ht="13.5" customHeight="1">
      <c r="A950" s="108"/>
      <c r="B950" s="49"/>
      <c r="C950" s="50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  <c r="AA950" s="108"/>
      <c r="AB950" s="108"/>
    </row>
    <row r="951" spans="1:28" ht="13.5" customHeight="1">
      <c r="A951" s="108"/>
      <c r="B951" s="49"/>
      <c r="C951" s="50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  <c r="AA951" s="108"/>
      <c r="AB951" s="108"/>
    </row>
    <row r="952" spans="1:28" ht="13.5" customHeight="1">
      <c r="A952" s="108"/>
      <c r="B952" s="49"/>
      <c r="C952" s="50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  <c r="AA952" s="108"/>
      <c r="AB952" s="108"/>
    </row>
    <row r="953" spans="1:28" ht="13.5" customHeight="1">
      <c r="A953" s="108"/>
      <c r="B953" s="49"/>
      <c r="C953" s="50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  <c r="AA953" s="108"/>
      <c r="AB953" s="108"/>
    </row>
    <row r="954" spans="1:28" ht="13.5" customHeight="1">
      <c r="A954" s="108"/>
      <c r="B954" s="49"/>
      <c r="C954" s="50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  <c r="AA954" s="108"/>
      <c r="AB954" s="108"/>
    </row>
    <row r="955" spans="1:28" ht="13.5" customHeight="1">
      <c r="A955" s="108"/>
      <c r="B955" s="49"/>
      <c r="C955" s="50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  <c r="AA955" s="108"/>
      <c r="AB955" s="108"/>
    </row>
    <row r="956" spans="1:28" ht="13.5" customHeight="1">
      <c r="A956" s="108"/>
      <c r="B956" s="49"/>
      <c r="C956" s="50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  <c r="AA956" s="108"/>
      <c r="AB956" s="108"/>
    </row>
    <row r="957" spans="1:28" ht="13.5" customHeight="1">
      <c r="A957" s="108"/>
      <c r="B957" s="49"/>
      <c r="C957" s="50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  <c r="AA957" s="108"/>
      <c r="AB957" s="108"/>
    </row>
    <row r="958" spans="1:28" ht="13.5" customHeight="1">
      <c r="A958" s="108"/>
      <c r="B958" s="49"/>
      <c r="C958" s="50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  <c r="AA958" s="108"/>
      <c r="AB958" s="108"/>
    </row>
    <row r="959" spans="1:28" ht="13.5" customHeight="1">
      <c r="A959" s="108"/>
      <c r="B959" s="49"/>
      <c r="C959" s="50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  <c r="AA959" s="108"/>
      <c r="AB959" s="108"/>
    </row>
    <row r="960" spans="1:28" ht="13.5" customHeight="1">
      <c r="A960" s="108"/>
      <c r="B960" s="49"/>
      <c r="C960" s="50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  <c r="AA960" s="108"/>
      <c r="AB960" s="108"/>
    </row>
    <row r="961" spans="1:28" ht="13.5" customHeight="1">
      <c r="A961" s="108"/>
      <c r="B961" s="49"/>
      <c r="C961" s="50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  <c r="AA961" s="108"/>
      <c r="AB961" s="108"/>
    </row>
    <row r="962" spans="1:28" ht="13.5" customHeight="1">
      <c r="A962" s="108"/>
      <c r="B962" s="49"/>
      <c r="C962" s="50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  <c r="AA962" s="108"/>
      <c r="AB962" s="108"/>
    </row>
    <row r="963" spans="1:28" ht="13.5" customHeight="1">
      <c r="A963" s="108"/>
      <c r="B963" s="49"/>
      <c r="C963" s="50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  <c r="AA963" s="108"/>
      <c r="AB963" s="108"/>
    </row>
    <row r="964" spans="1:28" ht="13.5" customHeight="1">
      <c r="A964" s="108"/>
      <c r="B964" s="49"/>
      <c r="C964" s="50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  <c r="AA964" s="108"/>
      <c r="AB964" s="108"/>
    </row>
    <row r="965" spans="1:28" ht="13.5" customHeight="1">
      <c r="A965" s="108"/>
      <c r="B965" s="49"/>
      <c r="C965" s="50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  <c r="AA965" s="108"/>
      <c r="AB965" s="108"/>
    </row>
    <row r="966" spans="1:28" ht="13.5" customHeight="1">
      <c r="A966" s="108"/>
      <c r="B966" s="49"/>
      <c r="C966" s="50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  <c r="AA966" s="108"/>
      <c r="AB966" s="108"/>
    </row>
    <row r="967" spans="1:28" ht="13.5" customHeight="1">
      <c r="A967" s="108"/>
      <c r="B967" s="49"/>
      <c r="C967" s="50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  <c r="AA967" s="108"/>
      <c r="AB967" s="108"/>
    </row>
    <row r="968" spans="1:28" ht="13.5" customHeight="1">
      <c r="A968" s="108"/>
      <c r="B968" s="49"/>
      <c r="C968" s="50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  <c r="AA968" s="108"/>
      <c r="AB968" s="108"/>
    </row>
    <row r="969" spans="1:28" ht="13.5" customHeight="1">
      <c r="A969" s="108"/>
      <c r="B969" s="49"/>
      <c r="C969" s="50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  <c r="AA969" s="108"/>
      <c r="AB969" s="108"/>
    </row>
    <row r="970" spans="1:28" ht="13.5" customHeight="1">
      <c r="A970" s="108"/>
      <c r="B970" s="49"/>
      <c r="C970" s="50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  <c r="AA970" s="108"/>
      <c r="AB970" s="108"/>
    </row>
    <row r="971" spans="1:28" ht="13.5" customHeight="1">
      <c r="A971" s="108"/>
      <c r="B971" s="49"/>
      <c r="C971" s="50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  <c r="AA971" s="108"/>
      <c r="AB971" s="108"/>
    </row>
    <row r="972" spans="1:28" ht="13.5" customHeight="1">
      <c r="A972" s="108"/>
      <c r="B972" s="49"/>
      <c r="C972" s="50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  <c r="AA972" s="108"/>
      <c r="AB972" s="108"/>
    </row>
    <row r="973" spans="1:28" ht="13.5" customHeight="1">
      <c r="A973" s="108"/>
      <c r="B973" s="49"/>
      <c r="C973" s="50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  <c r="AA973" s="108"/>
      <c r="AB973" s="108"/>
    </row>
    <row r="974" spans="1:28" ht="13.5" customHeight="1">
      <c r="A974" s="108"/>
      <c r="B974" s="49"/>
      <c r="C974" s="50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  <c r="AA974" s="108"/>
      <c r="AB974" s="108"/>
    </row>
    <row r="975" spans="1:28" ht="13.5" customHeight="1">
      <c r="A975" s="108"/>
      <c r="B975" s="49"/>
      <c r="C975" s="50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  <c r="AA975" s="108"/>
      <c r="AB975" s="108"/>
    </row>
    <row r="976" spans="1:28" ht="13.5" customHeight="1">
      <c r="A976" s="108"/>
      <c r="B976" s="49"/>
      <c r="C976" s="50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  <c r="AA976" s="108"/>
      <c r="AB976" s="108"/>
    </row>
    <row r="977" spans="1:28" ht="13.5" customHeight="1">
      <c r="A977" s="108"/>
      <c r="B977" s="49"/>
      <c r="C977" s="50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  <c r="AA977" s="108"/>
      <c r="AB977" s="108"/>
    </row>
    <row r="978" spans="1:28" ht="13.5" customHeight="1">
      <c r="A978" s="108"/>
      <c r="B978" s="49"/>
      <c r="C978" s="50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  <c r="AA978" s="108"/>
      <c r="AB978" s="108"/>
    </row>
    <row r="979" spans="1:28" ht="13.5" customHeight="1">
      <c r="A979" s="108"/>
      <c r="B979" s="49"/>
      <c r="C979" s="50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  <c r="AA979" s="108"/>
      <c r="AB979" s="108"/>
    </row>
    <row r="980" spans="1:28" ht="13.5" customHeight="1">
      <c r="A980" s="108"/>
      <c r="B980" s="49"/>
      <c r="C980" s="50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  <c r="AA980" s="108"/>
      <c r="AB980" s="108"/>
    </row>
    <row r="981" spans="1:28" ht="13.5" customHeight="1">
      <c r="A981" s="108"/>
      <c r="B981" s="49"/>
      <c r="C981" s="50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  <c r="AA981" s="108"/>
      <c r="AB981" s="108"/>
    </row>
    <row r="982" spans="1:28" ht="13.5" customHeight="1">
      <c r="A982" s="108"/>
      <c r="B982" s="49"/>
      <c r="C982" s="50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  <c r="AA982" s="108"/>
      <c r="AB982" s="108"/>
    </row>
    <row r="983" spans="1:28" ht="13.5" customHeight="1">
      <c r="A983" s="108"/>
      <c r="B983" s="49"/>
      <c r="C983" s="50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  <c r="AA983" s="108"/>
      <c r="AB983" s="108"/>
    </row>
    <row r="984" spans="1:28" ht="12.75">
      <c r="A984" s="108"/>
      <c r="B984" s="108"/>
      <c r="C984" s="108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  <c r="AA984" s="108"/>
      <c r="AB984" s="108"/>
    </row>
    <row r="985" spans="1:28" ht="12.75">
      <c r="A985" s="108"/>
      <c r="B985" s="108"/>
      <c r="C985" s="108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  <c r="AA985" s="108"/>
      <c r="AB985" s="108"/>
    </row>
  </sheetData>
  <mergeCells count="16">
    <mergeCell ref="J39:K39"/>
    <mergeCell ref="J40:K40"/>
    <mergeCell ref="J41:K41"/>
    <mergeCell ref="J42:K42"/>
    <mergeCell ref="B5:C5"/>
    <mergeCell ref="F5:F6"/>
    <mergeCell ref="J37:K37"/>
    <mergeCell ref="E4:E6"/>
    <mergeCell ref="G4:G6"/>
    <mergeCell ref="AA37:AB37"/>
    <mergeCell ref="J38:K38"/>
    <mergeCell ref="H2:H6"/>
    <mergeCell ref="K3:K6"/>
    <mergeCell ref="L3:U6"/>
    <mergeCell ref="I4:I6"/>
    <mergeCell ref="J4:J6"/>
  </mergeCells>
  <pageMargins left="0.7" right="0.7" top="0.75" bottom="0.75" header="0.511811023622047" footer="0.511811023622047"/>
  <pageSetup orientation="portrait" horizontalDpi="300" verticalDpi="300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W1000"/>
  <sheetViews>
    <sheetView showGridLines="0" topLeftCell="A2" zoomScale="67" zoomScaleNormal="67" workbookViewId="0">
      <selection activeCell="P39" sqref="P39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23" ht="13.5" customHeight="1"/>
    <row r="2" spans="2:23" ht="13.5" customHeight="1"/>
    <row r="3" spans="2:23" ht="13.5" customHeight="1"/>
    <row r="4" spans="2:23" ht="13.5" customHeight="1"/>
    <row r="5" spans="2:23" ht="13.5" customHeight="1"/>
    <row r="6" spans="2:23" ht="13.5" customHeight="1">
      <c r="B6" s="70" t="s">
        <v>338</v>
      </c>
    </row>
    <row r="7" spans="2:23" ht="13.5" customHeight="1"/>
    <row r="8" spans="2:23" ht="13.5" customHeight="1">
      <c r="H8" s="71" t="s">
        <v>339</v>
      </c>
      <c r="W8" s="71" t="s">
        <v>340</v>
      </c>
    </row>
    <row r="9" spans="2:23" ht="13.5" customHeight="1"/>
    <row r="10" spans="2:23" ht="13.5" customHeight="1"/>
    <row r="11" spans="2:23" ht="13.5" customHeight="1"/>
    <row r="12" spans="2:23" ht="13.5" customHeight="1"/>
    <row r="13" spans="2:23" ht="13.5" customHeight="1"/>
    <row r="14" spans="2:23" ht="13.5" customHeight="1"/>
    <row r="15" spans="2:23" ht="13.5" customHeight="1"/>
    <row r="16" spans="2:23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tabColor rgb="FF8EAADB"/>
  </sheetPr>
  <dimension ref="A1:AD1001"/>
  <sheetViews>
    <sheetView showGridLines="0" zoomScaleNormal="100" workbookViewId="0">
      <selection activeCell="D15" sqref="D15"/>
    </sheetView>
  </sheetViews>
  <sheetFormatPr defaultColWidth="14.42578125" defaultRowHeight="12.75" customHeight="1"/>
  <cols>
    <col min="1" max="1" width="5.42578125" style="1" customWidth="1"/>
    <col min="2" max="2" width="11.42578125" style="1" customWidth="1"/>
    <col min="3" max="3" width="12.5703125" style="1" customWidth="1"/>
    <col min="4" max="4" width="134.28515625" style="1" customWidth="1"/>
    <col min="5" max="5" width="15" style="1" customWidth="1"/>
    <col min="6" max="6" width="13.28515625" style="1" customWidth="1"/>
    <col min="7" max="7" width="12.5703125" style="1" customWidth="1"/>
    <col min="8" max="11" width="11.5703125" style="1" customWidth="1"/>
    <col min="12" max="26" width="3.7109375" style="1" customWidth="1"/>
    <col min="27" max="16384" width="14.42578125" style="1"/>
  </cols>
  <sheetData>
    <row r="1" spans="2:30" ht="13.5" customHeight="1"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</row>
    <row r="2" spans="2:30" ht="13.5" customHeight="1">
      <c r="B2" s="49"/>
      <c r="C2" s="50"/>
      <c r="D2" s="108"/>
      <c r="E2" s="108"/>
      <c r="F2" s="108"/>
      <c r="G2" s="108"/>
      <c r="H2" s="133" t="s">
        <v>268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</row>
    <row r="3" spans="2:30" ht="13.5" customHeight="1">
      <c r="B3" s="49"/>
      <c r="C3" s="50"/>
      <c r="D3" s="108"/>
      <c r="E3" s="108"/>
      <c r="F3" s="108"/>
      <c r="G3" s="108"/>
      <c r="H3" s="133"/>
      <c r="I3" s="108"/>
      <c r="J3" s="108"/>
      <c r="K3" s="136" t="s">
        <v>269</v>
      </c>
      <c r="L3" s="137" t="s">
        <v>270</v>
      </c>
      <c r="M3" s="137"/>
      <c r="N3" s="137"/>
      <c r="O3" s="137"/>
      <c r="P3" s="137"/>
      <c r="Q3" s="137"/>
      <c r="R3" s="137"/>
      <c r="S3" s="137"/>
      <c r="T3" s="137"/>
      <c r="U3" s="137"/>
      <c r="V3" s="108"/>
      <c r="W3" s="108"/>
      <c r="X3" s="108"/>
      <c r="Y3" s="108"/>
      <c r="Z3" s="108"/>
      <c r="AA3" s="108"/>
      <c r="AB3" s="108"/>
      <c r="AC3" s="108"/>
      <c r="AD3" s="108"/>
    </row>
    <row r="4" spans="2:30" ht="12.75" customHeight="1">
      <c r="B4" s="49"/>
      <c r="C4" s="50"/>
      <c r="D4" s="108"/>
      <c r="E4" s="135" t="s">
        <v>271</v>
      </c>
      <c r="F4" s="108"/>
      <c r="G4" s="134" t="s">
        <v>272</v>
      </c>
      <c r="H4" s="133"/>
      <c r="I4" s="136" t="s">
        <v>273</v>
      </c>
      <c r="J4" s="133" t="s">
        <v>274</v>
      </c>
      <c r="K4" s="136"/>
      <c r="L4" s="136"/>
      <c r="M4" s="137"/>
      <c r="N4" s="137"/>
      <c r="O4" s="137"/>
      <c r="P4" s="137"/>
      <c r="Q4" s="137"/>
      <c r="R4" s="137"/>
      <c r="S4" s="137"/>
      <c r="T4" s="137"/>
      <c r="U4" s="137"/>
      <c r="V4" s="108"/>
      <c r="W4" s="108"/>
      <c r="X4" s="108"/>
      <c r="Y4" s="108"/>
      <c r="Z4" s="108"/>
      <c r="AA4" s="108"/>
      <c r="AB4" s="108"/>
      <c r="AC4" s="108"/>
      <c r="AD4" s="108"/>
    </row>
    <row r="5" spans="2:30" ht="18" customHeight="1">
      <c r="B5" s="138" t="s">
        <v>275</v>
      </c>
      <c r="C5" s="138"/>
      <c r="D5" s="108"/>
      <c r="E5" s="135"/>
      <c r="F5" s="139" t="s">
        <v>276</v>
      </c>
      <c r="G5" s="134"/>
      <c r="H5" s="134"/>
      <c r="I5" s="134"/>
      <c r="J5" s="134"/>
      <c r="K5" s="134"/>
      <c r="L5" s="134"/>
      <c r="M5" s="137"/>
      <c r="N5" s="137"/>
      <c r="O5" s="137"/>
      <c r="P5" s="137"/>
      <c r="Q5" s="137"/>
      <c r="R5" s="137"/>
      <c r="S5" s="137"/>
      <c r="T5" s="137"/>
      <c r="U5" s="137"/>
      <c r="V5" s="108"/>
      <c r="W5" s="108"/>
      <c r="X5" s="108"/>
      <c r="Y5" s="108"/>
      <c r="Z5" s="108"/>
      <c r="AA5" s="108"/>
      <c r="AB5" s="108"/>
      <c r="AC5" s="108"/>
      <c r="AD5" s="108"/>
    </row>
    <row r="6" spans="2:30" ht="13.5" customHeight="1">
      <c r="B6" s="51"/>
      <c r="C6" s="50"/>
      <c r="D6" s="108"/>
      <c r="E6" s="135"/>
      <c r="F6" s="135"/>
      <c r="G6" s="135"/>
      <c r="H6" s="135"/>
      <c r="I6" s="135"/>
      <c r="J6" s="135"/>
      <c r="K6" s="135"/>
      <c r="L6" s="135"/>
      <c r="M6" s="137"/>
      <c r="N6" s="137"/>
      <c r="O6" s="137"/>
      <c r="P6" s="137"/>
      <c r="Q6" s="137"/>
      <c r="R6" s="137"/>
      <c r="S6" s="137"/>
      <c r="T6" s="137"/>
      <c r="U6" s="137"/>
      <c r="V6" s="108"/>
      <c r="W6" s="108"/>
      <c r="X6" s="108"/>
      <c r="Y6" s="108"/>
      <c r="Z6" s="108"/>
      <c r="AA6" s="108"/>
      <c r="AB6" s="108"/>
      <c r="AC6" s="108"/>
      <c r="AD6" s="108"/>
    </row>
    <row r="7" spans="2:30" ht="34.5" customHeight="1">
      <c r="B7" s="52" t="s">
        <v>277</v>
      </c>
      <c r="C7" s="52" t="s">
        <v>278</v>
      </c>
      <c r="D7" s="52" t="s">
        <v>19</v>
      </c>
      <c r="E7" s="52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  <c r="AA7" s="108"/>
      <c r="AB7" s="108"/>
      <c r="AC7" s="108"/>
      <c r="AD7" s="108"/>
    </row>
    <row r="8" spans="2:30" ht="13.5" hidden="1" customHeight="1">
      <c r="B8" s="56" t="s">
        <v>397</v>
      </c>
      <c r="C8" s="57" t="s">
        <v>124</v>
      </c>
      <c r="D8" s="59" t="s">
        <v>398</v>
      </c>
      <c r="E8" s="59" t="s">
        <v>399</v>
      </c>
      <c r="F8" s="59" t="s">
        <v>400</v>
      </c>
      <c r="G8" s="120">
        <v>10</v>
      </c>
      <c r="H8" s="122">
        <v>0</v>
      </c>
      <c r="I8" s="72">
        <f>SUM(G8-H8)</f>
        <v>10</v>
      </c>
      <c r="J8" s="72">
        <v>0</v>
      </c>
      <c r="K8" s="72">
        <f t="shared" ref="K8:K36" si="0">SUM(J8-G8)</f>
        <v>-10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108"/>
      <c r="AB8" s="112"/>
      <c r="AC8" s="108"/>
      <c r="AD8" s="108"/>
    </row>
    <row r="9" spans="2:30" ht="13.5" hidden="1" customHeight="1">
      <c r="B9" s="60" t="s">
        <v>401</v>
      </c>
      <c r="C9" s="61" t="s">
        <v>124</v>
      </c>
      <c r="D9" s="58" t="s">
        <v>402</v>
      </c>
      <c r="E9" s="59" t="s">
        <v>399</v>
      </c>
      <c r="F9" s="58" t="s">
        <v>31</v>
      </c>
      <c r="G9" s="120">
        <v>10</v>
      </c>
      <c r="H9" s="121">
        <v>0</v>
      </c>
      <c r="I9" s="73">
        <f>SUM(G9-H9)</f>
        <v>10</v>
      </c>
      <c r="J9" s="73">
        <v>0</v>
      </c>
      <c r="K9" s="73">
        <f t="shared" si="0"/>
        <v>-10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108"/>
      <c r="AB9" s="112"/>
      <c r="AC9" s="108"/>
      <c r="AD9" s="108"/>
    </row>
    <row r="10" spans="2:30" ht="13.5" hidden="1" customHeight="1">
      <c r="B10" s="60" t="s">
        <v>403</v>
      </c>
      <c r="C10" s="61" t="s">
        <v>124</v>
      </c>
      <c r="D10" s="58" t="s">
        <v>404</v>
      </c>
      <c r="E10" s="59" t="s">
        <v>399</v>
      </c>
      <c r="F10" s="58" t="s">
        <v>31</v>
      </c>
      <c r="G10" s="120">
        <v>4</v>
      </c>
      <c r="H10" s="121">
        <v>0</v>
      </c>
      <c r="I10" s="73">
        <f>SUM(G10-H10)</f>
        <v>4</v>
      </c>
      <c r="J10" s="73">
        <v>0</v>
      </c>
      <c r="K10" s="73">
        <f t="shared" si="0"/>
        <v>-4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108"/>
      <c r="AB10" s="112"/>
      <c r="AC10" s="108"/>
      <c r="AD10" s="108"/>
    </row>
    <row r="11" spans="2:30" ht="13.5" hidden="1" customHeight="1">
      <c r="B11" s="60" t="s">
        <v>405</v>
      </c>
      <c r="C11" s="61" t="s">
        <v>169</v>
      </c>
      <c r="D11" s="58" t="s">
        <v>406</v>
      </c>
      <c r="E11" s="59" t="s">
        <v>407</v>
      </c>
      <c r="F11" s="58" t="s">
        <v>31</v>
      </c>
      <c r="G11" s="120">
        <v>10</v>
      </c>
      <c r="H11" s="121">
        <v>0</v>
      </c>
      <c r="I11" s="73">
        <f>SUM(G11-H11)</f>
        <v>10</v>
      </c>
      <c r="J11" s="73">
        <v>0</v>
      </c>
      <c r="K11" s="73">
        <f t="shared" si="0"/>
        <v>-10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108"/>
      <c r="AB11" s="112"/>
      <c r="AC11" s="108"/>
      <c r="AD11" s="108"/>
    </row>
    <row r="12" spans="2:30" ht="13.5" hidden="1" customHeight="1">
      <c r="B12" s="60" t="s">
        <v>408</v>
      </c>
      <c r="C12" s="61" t="s">
        <v>169</v>
      </c>
      <c r="D12" s="58" t="s">
        <v>409</v>
      </c>
      <c r="E12" s="59" t="s">
        <v>314</v>
      </c>
      <c r="F12" s="58" t="s">
        <v>302</v>
      </c>
      <c r="G12" s="120">
        <v>10</v>
      </c>
      <c r="H12" s="121">
        <v>0</v>
      </c>
      <c r="I12" s="73">
        <f>SUM(G12-H12)</f>
        <v>10</v>
      </c>
      <c r="J12" s="73">
        <v>0</v>
      </c>
      <c r="K12" s="73">
        <f t="shared" si="0"/>
        <v>-10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108"/>
      <c r="AB12" s="112"/>
      <c r="AC12" s="108"/>
      <c r="AD12" s="108"/>
    </row>
    <row r="13" spans="2:30" ht="13.5" customHeight="1">
      <c r="B13" s="60" t="s">
        <v>410</v>
      </c>
      <c r="C13" s="61" t="s">
        <v>169</v>
      </c>
      <c r="D13" s="58" t="s">
        <v>411</v>
      </c>
      <c r="E13" s="59" t="s">
        <v>319</v>
      </c>
      <c r="F13" s="58" t="s">
        <v>31</v>
      </c>
      <c r="G13" s="120">
        <v>4</v>
      </c>
      <c r="H13" s="121">
        <v>0</v>
      </c>
      <c r="I13" s="73">
        <f>SUM(G13-H13)</f>
        <v>4</v>
      </c>
      <c r="J13" s="73">
        <v>0</v>
      </c>
      <c r="K13" s="73">
        <f t="shared" si="0"/>
        <v>-4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108"/>
      <c r="AB13" s="112"/>
      <c r="AC13" s="108"/>
      <c r="AD13" s="108"/>
    </row>
    <row r="14" spans="2:30" ht="13.5" hidden="1" customHeight="1">
      <c r="B14" s="60" t="s">
        <v>412</v>
      </c>
      <c r="C14" s="61" t="s">
        <v>64</v>
      </c>
      <c r="D14" s="58" t="s">
        <v>413</v>
      </c>
      <c r="E14" s="59" t="s">
        <v>399</v>
      </c>
      <c r="F14" s="58" t="s">
        <v>302</v>
      </c>
      <c r="G14" s="120">
        <v>10</v>
      </c>
      <c r="H14" s="121">
        <v>0</v>
      </c>
      <c r="I14" s="73">
        <f>SUM(G14-H14)</f>
        <v>10</v>
      </c>
      <c r="J14" s="73">
        <v>0</v>
      </c>
      <c r="K14" s="73">
        <f t="shared" si="0"/>
        <v>-10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108"/>
      <c r="AB14" s="112"/>
      <c r="AC14" s="108"/>
      <c r="AD14" s="108"/>
    </row>
    <row r="15" spans="2:30" ht="13.5" hidden="1" customHeight="1">
      <c r="B15" s="60" t="s">
        <v>414</v>
      </c>
      <c r="C15" s="61" t="s">
        <v>64</v>
      </c>
      <c r="D15" s="58" t="s">
        <v>415</v>
      </c>
      <c r="E15" s="59" t="s">
        <v>399</v>
      </c>
      <c r="F15" s="58" t="s">
        <v>302</v>
      </c>
      <c r="G15" s="120">
        <v>10</v>
      </c>
      <c r="H15" s="121">
        <v>0</v>
      </c>
      <c r="I15" s="73">
        <f>SUM(G15-H15)</f>
        <v>10</v>
      </c>
      <c r="J15" s="73">
        <v>0</v>
      </c>
      <c r="K15" s="73">
        <f t="shared" si="0"/>
        <v>-10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108"/>
      <c r="AB15" s="112"/>
      <c r="AC15" s="108"/>
      <c r="AD15" s="108"/>
    </row>
    <row r="16" spans="2:30" ht="13.5" hidden="1" customHeight="1">
      <c r="B16" s="60" t="s">
        <v>416</v>
      </c>
      <c r="C16" s="61" t="s">
        <v>64</v>
      </c>
      <c r="D16" s="58" t="s">
        <v>417</v>
      </c>
      <c r="E16" s="59" t="s">
        <v>399</v>
      </c>
      <c r="F16" s="58" t="s">
        <v>302</v>
      </c>
      <c r="G16" s="120">
        <v>4</v>
      </c>
      <c r="H16" s="121">
        <v>0</v>
      </c>
      <c r="I16" s="73">
        <f>SUM(G16-H16)</f>
        <v>4</v>
      </c>
      <c r="J16" s="73">
        <v>0</v>
      </c>
      <c r="K16" s="73">
        <f t="shared" si="0"/>
        <v>-4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08"/>
      <c r="AB16" s="112"/>
      <c r="AC16" s="108"/>
      <c r="AD16" s="108"/>
    </row>
    <row r="17" spans="2:30" ht="13.5" hidden="1" customHeight="1">
      <c r="B17" s="60" t="s">
        <v>418</v>
      </c>
      <c r="C17" s="61" t="s">
        <v>129</v>
      </c>
      <c r="D17" s="58" t="s">
        <v>419</v>
      </c>
      <c r="E17" s="59" t="s">
        <v>305</v>
      </c>
      <c r="F17" s="58" t="s">
        <v>31</v>
      </c>
      <c r="G17" s="120">
        <v>10</v>
      </c>
      <c r="H17" s="121">
        <v>0</v>
      </c>
      <c r="I17" s="73">
        <f>SUM(G17-H17)</f>
        <v>10</v>
      </c>
      <c r="J17" s="73">
        <v>0</v>
      </c>
      <c r="K17" s="73">
        <f t="shared" si="0"/>
        <v>-10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108"/>
      <c r="AB17" s="112"/>
      <c r="AC17" s="108"/>
      <c r="AD17" s="108"/>
    </row>
    <row r="18" spans="2:30" ht="13.5" hidden="1" customHeight="1">
      <c r="B18" s="60" t="s">
        <v>420</v>
      </c>
      <c r="C18" s="61" t="s">
        <v>129</v>
      </c>
      <c r="D18" s="58" t="s">
        <v>421</v>
      </c>
      <c r="E18" s="59" t="s">
        <v>314</v>
      </c>
      <c r="F18" s="58" t="s">
        <v>31</v>
      </c>
      <c r="G18" s="120">
        <v>10</v>
      </c>
      <c r="H18" s="121">
        <v>0</v>
      </c>
      <c r="I18" s="73">
        <f>SUM(G18-H18)</f>
        <v>10</v>
      </c>
      <c r="J18" s="73">
        <v>0</v>
      </c>
      <c r="K18" s="73">
        <f t="shared" si="0"/>
        <v>-10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108"/>
      <c r="AB18" s="112"/>
      <c r="AC18" s="108"/>
      <c r="AD18" s="108"/>
    </row>
    <row r="19" spans="2:30" ht="13.5" customHeight="1">
      <c r="B19" s="60" t="s">
        <v>422</v>
      </c>
      <c r="C19" s="61" t="s">
        <v>129</v>
      </c>
      <c r="D19" s="58" t="s">
        <v>423</v>
      </c>
      <c r="E19" s="59" t="s">
        <v>319</v>
      </c>
      <c r="F19" s="58" t="s">
        <v>31</v>
      </c>
      <c r="G19" s="120">
        <v>8</v>
      </c>
      <c r="H19" s="121">
        <v>0</v>
      </c>
      <c r="I19" s="73">
        <f>SUM(G19-H19)</f>
        <v>8</v>
      </c>
      <c r="J19" s="73">
        <v>0</v>
      </c>
      <c r="K19" s="73">
        <f t="shared" si="0"/>
        <v>-8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108"/>
      <c r="AB19" s="112"/>
      <c r="AC19" s="108"/>
      <c r="AD19" s="108"/>
    </row>
    <row r="20" spans="2:30" ht="13.5" hidden="1" customHeight="1">
      <c r="B20" s="60" t="s">
        <v>424</v>
      </c>
      <c r="C20" s="61" t="s">
        <v>149</v>
      </c>
      <c r="D20" s="58" t="s">
        <v>425</v>
      </c>
      <c r="E20" s="59" t="s">
        <v>305</v>
      </c>
      <c r="F20" s="58" t="s">
        <v>31</v>
      </c>
      <c r="G20" s="120">
        <v>10</v>
      </c>
      <c r="H20" s="121">
        <v>0</v>
      </c>
      <c r="I20" s="73">
        <f>SUM(G20-H20)</f>
        <v>10</v>
      </c>
      <c r="J20" s="73">
        <v>0</v>
      </c>
      <c r="K20" s="73">
        <f t="shared" si="0"/>
        <v>-10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108"/>
      <c r="AB20" s="112"/>
      <c r="AC20" s="108"/>
      <c r="AD20" s="108"/>
    </row>
    <row r="21" spans="2:30" ht="13.5" hidden="1" customHeight="1">
      <c r="B21" s="60" t="s">
        <v>426</v>
      </c>
      <c r="C21" s="61" t="s">
        <v>149</v>
      </c>
      <c r="D21" s="58" t="s">
        <v>427</v>
      </c>
      <c r="E21" s="59" t="s">
        <v>305</v>
      </c>
      <c r="F21" s="58" t="s">
        <v>31</v>
      </c>
      <c r="G21" s="120">
        <v>10</v>
      </c>
      <c r="H21" s="121">
        <v>0</v>
      </c>
      <c r="I21" s="73">
        <f>SUM(G21-H21)</f>
        <v>10</v>
      </c>
      <c r="J21" s="73">
        <v>0</v>
      </c>
      <c r="K21" s="73">
        <f t="shared" si="0"/>
        <v>-10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108"/>
      <c r="AB21" s="112"/>
      <c r="AC21" s="108"/>
      <c r="AD21" s="108"/>
    </row>
    <row r="22" spans="2:30" ht="13.5" hidden="1" customHeight="1">
      <c r="B22" s="60" t="s">
        <v>428</v>
      </c>
      <c r="C22" s="61" t="s">
        <v>149</v>
      </c>
      <c r="D22" s="58" t="s">
        <v>429</v>
      </c>
      <c r="E22" s="59" t="s">
        <v>314</v>
      </c>
      <c r="F22" s="58" t="s">
        <v>31</v>
      </c>
      <c r="G22" s="120">
        <v>4</v>
      </c>
      <c r="H22" s="121">
        <v>0</v>
      </c>
      <c r="I22" s="73">
        <f>SUM(G22-H22)</f>
        <v>4</v>
      </c>
      <c r="J22" s="73">
        <v>0</v>
      </c>
      <c r="K22" s="73">
        <f t="shared" si="0"/>
        <v>-4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108"/>
      <c r="AB22" s="112"/>
      <c r="AC22" s="108"/>
      <c r="AD22" s="108"/>
    </row>
    <row r="23" spans="2:30" ht="13.5" hidden="1" customHeight="1">
      <c r="B23" s="60" t="s">
        <v>430</v>
      </c>
      <c r="C23" s="61" t="s">
        <v>134</v>
      </c>
      <c r="D23" s="58" t="s">
        <v>431</v>
      </c>
      <c r="E23" s="59" t="s">
        <v>314</v>
      </c>
      <c r="F23" s="58" t="s">
        <v>400</v>
      </c>
      <c r="G23" s="120">
        <v>8</v>
      </c>
      <c r="H23" s="121">
        <v>0</v>
      </c>
      <c r="I23" s="73">
        <f>SUM(G23-H23)</f>
        <v>8</v>
      </c>
      <c r="J23" s="73">
        <v>0</v>
      </c>
      <c r="K23" s="73">
        <f t="shared" si="0"/>
        <v>-8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108"/>
      <c r="AB23" s="112"/>
      <c r="AC23" s="108"/>
      <c r="AD23" s="108"/>
    </row>
    <row r="24" spans="2:30" ht="13.5" customHeight="1">
      <c r="B24" s="60" t="s">
        <v>432</v>
      </c>
      <c r="C24" s="61" t="s">
        <v>134</v>
      </c>
      <c r="D24" s="58" t="s">
        <v>433</v>
      </c>
      <c r="E24" s="59" t="s">
        <v>319</v>
      </c>
      <c r="F24" s="58" t="s">
        <v>31</v>
      </c>
      <c r="G24" s="120">
        <v>8</v>
      </c>
      <c r="H24" s="121">
        <v>0</v>
      </c>
      <c r="I24" s="73">
        <f>SUM(G24-H24)</f>
        <v>8</v>
      </c>
      <c r="J24" s="73">
        <v>0</v>
      </c>
      <c r="K24" s="73">
        <f t="shared" si="0"/>
        <v>-8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108"/>
      <c r="AB24" s="112"/>
      <c r="AC24" s="108"/>
      <c r="AD24" s="108"/>
    </row>
    <row r="25" spans="2:30" ht="13.5" customHeight="1">
      <c r="B25" s="60" t="s">
        <v>434</v>
      </c>
      <c r="C25" s="61" t="s">
        <v>134</v>
      </c>
      <c r="D25" s="58" t="s">
        <v>435</v>
      </c>
      <c r="E25" s="59" t="s">
        <v>319</v>
      </c>
      <c r="F25" s="58" t="s">
        <v>31</v>
      </c>
      <c r="G25" s="120">
        <v>4</v>
      </c>
      <c r="H25" s="121">
        <v>0</v>
      </c>
      <c r="I25" s="73">
        <f>SUM(G25-H25)</f>
        <v>4</v>
      </c>
      <c r="J25" s="73">
        <v>0</v>
      </c>
      <c r="K25" s="73">
        <f t="shared" si="0"/>
        <v>-4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108"/>
      <c r="AB25" s="112"/>
      <c r="AC25" s="108"/>
      <c r="AD25" s="108"/>
    </row>
    <row r="26" spans="2:30" ht="13.5" hidden="1" customHeight="1">
      <c r="B26" s="60" t="s">
        <v>436</v>
      </c>
      <c r="C26" s="61" t="s">
        <v>155</v>
      </c>
      <c r="D26" s="58" t="s">
        <v>437</v>
      </c>
      <c r="E26" s="59" t="s">
        <v>305</v>
      </c>
      <c r="F26" s="58" t="s">
        <v>31</v>
      </c>
      <c r="G26" s="120">
        <v>18</v>
      </c>
      <c r="H26" s="121">
        <v>0</v>
      </c>
      <c r="I26" s="73">
        <f>SUM(G26-H26)</f>
        <v>18</v>
      </c>
      <c r="J26" s="73">
        <v>0</v>
      </c>
      <c r="K26" s="73">
        <f t="shared" si="0"/>
        <v>-18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108"/>
      <c r="AB26" s="112"/>
      <c r="AC26" s="108"/>
      <c r="AD26" s="108"/>
    </row>
    <row r="27" spans="2:30" ht="13.5" hidden="1" customHeight="1">
      <c r="B27" s="60" t="s">
        <v>438</v>
      </c>
      <c r="C27" s="61" t="s">
        <v>155</v>
      </c>
      <c r="D27" s="58" t="s">
        <v>439</v>
      </c>
      <c r="E27" s="59" t="s">
        <v>407</v>
      </c>
      <c r="F27" s="58" t="s">
        <v>31</v>
      </c>
      <c r="G27" s="120">
        <v>14</v>
      </c>
      <c r="H27" s="121">
        <v>0</v>
      </c>
      <c r="I27" s="73">
        <f>SUM(G27-H27)</f>
        <v>14</v>
      </c>
      <c r="J27" s="73">
        <v>0</v>
      </c>
      <c r="K27" s="73">
        <f t="shared" si="0"/>
        <v>-14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108"/>
      <c r="AB27" s="112"/>
      <c r="AC27" s="108"/>
      <c r="AD27" s="108"/>
    </row>
    <row r="28" spans="2:30" ht="13.5" hidden="1" customHeight="1">
      <c r="B28" s="60" t="s">
        <v>440</v>
      </c>
      <c r="C28" s="61" t="s">
        <v>155</v>
      </c>
      <c r="D28" s="58" t="s">
        <v>441</v>
      </c>
      <c r="E28" s="59" t="s">
        <v>314</v>
      </c>
      <c r="F28" s="58" t="s">
        <v>31</v>
      </c>
      <c r="G28" s="120">
        <v>10</v>
      </c>
      <c r="H28" s="121">
        <v>0</v>
      </c>
      <c r="I28" s="73">
        <f>SUM(G28-H28)</f>
        <v>10</v>
      </c>
      <c r="J28" s="73">
        <v>0</v>
      </c>
      <c r="K28" s="73">
        <f t="shared" si="0"/>
        <v>-10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108"/>
      <c r="AB28" s="112"/>
      <c r="AC28" s="108"/>
      <c r="AD28" s="108"/>
    </row>
    <row r="29" spans="2:30" ht="13.5" hidden="1" customHeight="1">
      <c r="B29" s="60" t="s">
        <v>442</v>
      </c>
      <c r="C29" s="61" t="s">
        <v>155</v>
      </c>
      <c r="D29" s="58" t="s">
        <v>443</v>
      </c>
      <c r="E29" s="59" t="s">
        <v>407</v>
      </c>
      <c r="F29" s="58" t="s">
        <v>31</v>
      </c>
      <c r="G29" s="120">
        <v>10</v>
      </c>
      <c r="H29" s="121">
        <v>0</v>
      </c>
      <c r="I29" s="73">
        <f>SUM(G29-H29)</f>
        <v>10</v>
      </c>
      <c r="J29" s="73">
        <v>0</v>
      </c>
      <c r="K29" s="73">
        <f t="shared" si="0"/>
        <v>-10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108"/>
      <c r="AB29" s="112"/>
      <c r="AC29" s="108"/>
      <c r="AD29" s="108"/>
    </row>
    <row r="30" spans="2:30" ht="13.5" hidden="1" customHeight="1">
      <c r="B30" s="60" t="s">
        <v>444</v>
      </c>
      <c r="C30" s="61" t="s">
        <v>160</v>
      </c>
      <c r="D30" s="58" t="s">
        <v>445</v>
      </c>
      <c r="E30" s="59" t="s">
        <v>407</v>
      </c>
      <c r="F30" s="58" t="s">
        <v>31</v>
      </c>
      <c r="G30" s="120">
        <v>10</v>
      </c>
      <c r="H30" s="121">
        <v>0</v>
      </c>
      <c r="I30" s="73">
        <f>SUM(G30-H30)</f>
        <v>10</v>
      </c>
      <c r="J30" s="73">
        <v>0</v>
      </c>
      <c r="K30" s="73">
        <f t="shared" si="0"/>
        <v>-10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108"/>
      <c r="AB30" s="112"/>
      <c r="AC30" s="108"/>
      <c r="AD30" s="108"/>
    </row>
    <row r="31" spans="2:30" ht="13.5" hidden="1" customHeight="1">
      <c r="B31" s="60" t="s">
        <v>446</v>
      </c>
      <c r="C31" s="61" t="s">
        <v>160</v>
      </c>
      <c r="D31" s="58" t="s">
        <v>447</v>
      </c>
      <c r="E31" s="59" t="s">
        <v>407</v>
      </c>
      <c r="F31" s="58" t="s">
        <v>31</v>
      </c>
      <c r="G31" s="120">
        <v>6</v>
      </c>
      <c r="H31" s="121">
        <v>0</v>
      </c>
      <c r="I31" s="73">
        <f>SUM(G31-H31)</f>
        <v>6</v>
      </c>
      <c r="J31" s="73">
        <v>0</v>
      </c>
      <c r="K31" s="73">
        <f t="shared" si="0"/>
        <v>-6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108"/>
      <c r="AB31" s="112"/>
      <c r="AC31" s="108"/>
      <c r="AD31" s="108"/>
    </row>
    <row r="32" spans="2:30" ht="13.5" hidden="1" customHeight="1">
      <c r="B32" s="60" t="s">
        <v>448</v>
      </c>
      <c r="C32" s="61" t="s">
        <v>160</v>
      </c>
      <c r="D32" s="58" t="s">
        <v>449</v>
      </c>
      <c r="E32" s="59" t="s">
        <v>314</v>
      </c>
      <c r="F32" s="58" t="s">
        <v>31</v>
      </c>
      <c r="G32" s="120">
        <v>4</v>
      </c>
      <c r="H32" s="121">
        <v>0</v>
      </c>
      <c r="I32" s="73">
        <f>SUM(G32-H32)</f>
        <v>4</v>
      </c>
      <c r="J32" s="73">
        <v>0</v>
      </c>
      <c r="K32" s="73">
        <f t="shared" si="0"/>
        <v>-4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108"/>
      <c r="AB32" s="112"/>
      <c r="AC32" s="108"/>
      <c r="AD32" s="108"/>
    </row>
    <row r="33" spans="1:30" ht="13.5" customHeight="1">
      <c r="A33" s="108"/>
      <c r="B33" s="60" t="s">
        <v>450</v>
      </c>
      <c r="C33" s="61" t="s">
        <v>139</v>
      </c>
      <c r="D33" s="58" t="s">
        <v>451</v>
      </c>
      <c r="E33" s="59" t="s">
        <v>319</v>
      </c>
      <c r="F33" s="58" t="s">
        <v>31</v>
      </c>
      <c r="G33" s="120">
        <v>6</v>
      </c>
      <c r="H33" s="121">
        <v>0</v>
      </c>
      <c r="I33" s="73">
        <f>SUM(G33-H33)</f>
        <v>6</v>
      </c>
      <c r="J33" s="73">
        <v>0</v>
      </c>
      <c r="K33" s="73">
        <f t="shared" si="0"/>
        <v>-6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108"/>
      <c r="AB33" s="112"/>
      <c r="AC33" s="108"/>
      <c r="AD33" s="108"/>
    </row>
    <row r="34" spans="1:30" ht="13.5" customHeight="1">
      <c r="A34" s="108"/>
      <c r="B34" s="60" t="s">
        <v>452</v>
      </c>
      <c r="C34" s="61" t="s">
        <v>139</v>
      </c>
      <c r="D34" s="58" t="s">
        <v>453</v>
      </c>
      <c r="E34" s="59" t="s">
        <v>319</v>
      </c>
      <c r="F34" s="58" t="s">
        <v>31</v>
      </c>
      <c r="G34" s="120">
        <v>6</v>
      </c>
      <c r="H34" s="121">
        <v>0</v>
      </c>
      <c r="I34" s="73">
        <f>SUM(G34-H34)</f>
        <v>6</v>
      </c>
      <c r="J34" s="73">
        <v>0</v>
      </c>
      <c r="K34" s="73">
        <f t="shared" si="0"/>
        <v>-6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108"/>
      <c r="AB34" s="112"/>
      <c r="AC34" s="108"/>
      <c r="AD34" s="108"/>
    </row>
    <row r="35" spans="1:30" ht="13.5" customHeight="1">
      <c r="A35" s="108"/>
      <c r="B35" s="56" t="s">
        <v>454</v>
      </c>
      <c r="C35" s="61" t="s">
        <v>174</v>
      </c>
      <c r="D35" s="58" t="s">
        <v>455</v>
      </c>
      <c r="E35" s="59" t="s">
        <v>319</v>
      </c>
      <c r="F35" s="58" t="s">
        <v>31</v>
      </c>
      <c r="G35" s="61">
        <v>7</v>
      </c>
      <c r="H35" s="73">
        <v>0</v>
      </c>
      <c r="I35" s="73">
        <f t="shared" ref="I35" si="1">SUM(G35-H35)</f>
        <v>7</v>
      </c>
      <c r="J35" s="73">
        <v>0</v>
      </c>
      <c r="K35" s="73">
        <f t="shared" si="0"/>
        <v>-7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108"/>
      <c r="AB35" s="112"/>
      <c r="AC35" s="108"/>
      <c r="AD35" s="108"/>
    </row>
    <row r="36" spans="1:30" ht="13.5" hidden="1" customHeight="1">
      <c r="A36" s="108"/>
      <c r="B36" s="60" t="s">
        <v>456</v>
      </c>
      <c r="C36" s="61" t="s">
        <v>144</v>
      </c>
      <c r="D36" s="58" t="s">
        <v>457</v>
      </c>
      <c r="E36" s="59"/>
      <c r="F36" s="58" t="s">
        <v>458</v>
      </c>
      <c r="G36" s="120">
        <v>0</v>
      </c>
      <c r="H36" s="121">
        <v>0</v>
      </c>
      <c r="I36" s="73">
        <f>SUM(G36-H36)</f>
        <v>0</v>
      </c>
      <c r="J36" s="73">
        <v>0</v>
      </c>
      <c r="K36" s="73">
        <f t="shared" si="0"/>
        <v>0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108"/>
      <c r="AB36" s="112"/>
      <c r="AC36" s="108"/>
      <c r="AD36" s="108"/>
    </row>
    <row r="37" spans="1:30" ht="13.5" customHeight="1">
      <c r="A37" s="108"/>
      <c r="B37" s="62"/>
      <c r="C37" s="63"/>
      <c r="D37" s="64"/>
      <c r="E37" s="64"/>
      <c r="F37" s="65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08"/>
      <c r="AB37" s="108"/>
      <c r="AC37" s="108"/>
      <c r="AD37" s="108"/>
    </row>
    <row r="38" spans="1:30" ht="13.5" customHeight="1">
      <c r="A38" s="108"/>
      <c r="B38" s="75"/>
      <c r="C38" s="76"/>
      <c r="D38" s="66"/>
      <c r="E38" s="66"/>
      <c r="F38" s="77" t="s">
        <v>267</v>
      </c>
      <c r="G38" s="129">
        <f>SUM(G8:G36)</f>
        <v>235</v>
      </c>
      <c r="H38" s="129">
        <f>SUM(H8:H36)</f>
        <v>0</v>
      </c>
      <c r="I38" s="129">
        <f>SUM(I8:I36)</f>
        <v>235</v>
      </c>
      <c r="J38" s="129">
        <f>SUM(J8:J36)</f>
        <v>0</v>
      </c>
      <c r="K38" s="129">
        <f>SUM(K8:K36)</f>
        <v>-235</v>
      </c>
      <c r="L38" s="129">
        <f t="shared" ref="L38:Z38" si="2">SUBTOTAL(9,L7:L36)</f>
        <v>0</v>
      </c>
      <c r="M38" s="129">
        <f t="shared" si="2"/>
        <v>0</v>
      </c>
      <c r="N38" s="129">
        <f t="shared" si="2"/>
        <v>0</v>
      </c>
      <c r="O38" s="129">
        <f t="shared" si="2"/>
        <v>0</v>
      </c>
      <c r="P38" s="129">
        <f t="shared" si="2"/>
        <v>0</v>
      </c>
      <c r="Q38" s="129">
        <f t="shared" si="2"/>
        <v>0</v>
      </c>
      <c r="R38" s="129">
        <f t="shared" si="2"/>
        <v>0</v>
      </c>
      <c r="S38" s="129">
        <f t="shared" si="2"/>
        <v>0</v>
      </c>
      <c r="T38" s="129">
        <f t="shared" si="2"/>
        <v>0</v>
      </c>
      <c r="U38" s="129">
        <f t="shared" si="2"/>
        <v>0</v>
      </c>
      <c r="V38" s="129">
        <f t="shared" si="2"/>
        <v>0</v>
      </c>
      <c r="W38" s="129">
        <f t="shared" si="2"/>
        <v>0</v>
      </c>
      <c r="X38" s="129">
        <f t="shared" si="2"/>
        <v>0</v>
      </c>
      <c r="Y38" s="129">
        <f t="shared" si="2"/>
        <v>0</v>
      </c>
      <c r="Z38" s="129">
        <f t="shared" si="2"/>
        <v>0</v>
      </c>
      <c r="AA38" s="108"/>
      <c r="AB38" s="108"/>
      <c r="AC38" s="108"/>
      <c r="AD38" s="108"/>
    </row>
    <row r="39" spans="1:30" ht="13.5" customHeight="1">
      <c r="A39" s="108"/>
      <c r="B39" s="75"/>
      <c r="C39" s="76"/>
      <c r="D39" s="66"/>
      <c r="E39" s="66"/>
      <c r="F39" s="77" t="s">
        <v>333</v>
      </c>
      <c r="G39" s="129"/>
      <c r="H39" s="129"/>
      <c r="I39" s="129"/>
      <c r="J39" s="129"/>
      <c r="K39" s="129"/>
      <c r="L39" s="129">
        <f>G38-L38</f>
        <v>235</v>
      </c>
      <c r="M39" s="129">
        <f t="shared" ref="M39:Z39" si="3">L39-M38</f>
        <v>235</v>
      </c>
      <c r="N39" s="129">
        <f t="shared" si="3"/>
        <v>235</v>
      </c>
      <c r="O39" s="129">
        <f t="shared" si="3"/>
        <v>235</v>
      </c>
      <c r="P39" s="129">
        <f t="shared" si="3"/>
        <v>235</v>
      </c>
      <c r="Q39" s="129">
        <f t="shared" si="3"/>
        <v>235</v>
      </c>
      <c r="R39" s="129">
        <f t="shared" si="3"/>
        <v>235</v>
      </c>
      <c r="S39" s="129">
        <f t="shared" si="3"/>
        <v>235</v>
      </c>
      <c r="T39" s="129">
        <f t="shared" si="3"/>
        <v>235</v>
      </c>
      <c r="U39" s="129">
        <f t="shared" si="3"/>
        <v>235</v>
      </c>
      <c r="V39" s="129">
        <f t="shared" si="3"/>
        <v>235</v>
      </c>
      <c r="W39" s="129">
        <f t="shared" si="3"/>
        <v>235</v>
      </c>
      <c r="X39" s="129">
        <f t="shared" si="3"/>
        <v>235</v>
      </c>
      <c r="Y39" s="129">
        <f t="shared" si="3"/>
        <v>235</v>
      </c>
      <c r="Z39" s="129">
        <f t="shared" si="3"/>
        <v>235</v>
      </c>
      <c r="AA39" s="108"/>
      <c r="AB39" s="108"/>
      <c r="AC39" s="108"/>
      <c r="AD39" s="108"/>
    </row>
    <row r="40" spans="1:30" ht="13.5" customHeight="1">
      <c r="A40" s="108"/>
      <c r="B40" s="75"/>
      <c r="C40" s="76"/>
      <c r="D40" s="66"/>
      <c r="E40" s="66"/>
      <c r="F40" s="77" t="s">
        <v>334</v>
      </c>
      <c r="G40" s="129"/>
      <c r="H40" s="129"/>
      <c r="I40" s="129"/>
      <c r="J40" s="129"/>
      <c r="K40" s="129"/>
      <c r="L40" s="129">
        <f>L38</f>
        <v>0</v>
      </c>
      <c r="M40" s="129">
        <f t="shared" ref="M40:Z40" si="4">L40+M38</f>
        <v>0</v>
      </c>
      <c r="N40" s="129">
        <f t="shared" si="4"/>
        <v>0</v>
      </c>
      <c r="O40" s="129">
        <f t="shared" si="4"/>
        <v>0</v>
      </c>
      <c r="P40" s="129">
        <f t="shared" si="4"/>
        <v>0</v>
      </c>
      <c r="Q40" s="129">
        <f t="shared" si="4"/>
        <v>0</v>
      </c>
      <c r="R40" s="129">
        <f t="shared" si="4"/>
        <v>0</v>
      </c>
      <c r="S40" s="129">
        <f t="shared" si="4"/>
        <v>0</v>
      </c>
      <c r="T40" s="129">
        <f t="shared" si="4"/>
        <v>0</v>
      </c>
      <c r="U40" s="129">
        <f t="shared" si="4"/>
        <v>0</v>
      </c>
      <c r="V40" s="129">
        <f t="shared" si="4"/>
        <v>0</v>
      </c>
      <c r="W40" s="129">
        <f t="shared" si="4"/>
        <v>0</v>
      </c>
      <c r="X40" s="129">
        <f t="shared" si="4"/>
        <v>0</v>
      </c>
      <c r="Y40" s="129">
        <f t="shared" si="4"/>
        <v>0</v>
      </c>
      <c r="Z40" s="129">
        <f t="shared" si="4"/>
        <v>0</v>
      </c>
      <c r="AA40" s="108"/>
      <c r="AB40" s="108"/>
      <c r="AC40" s="108"/>
      <c r="AD40" s="108"/>
    </row>
    <row r="41" spans="1:30" ht="13.5" customHeight="1">
      <c r="A41" s="108"/>
      <c r="B41" s="75"/>
      <c r="C41" s="7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108"/>
      <c r="AB41" s="108"/>
      <c r="AC41" s="108"/>
      <c r="AD41" s="108"/>
    </row>
    <row r="42" spans="1:30" ht="13.5" customHeight="1">
      <c r="A42" s="108"/>
      <c r="B42" s="49"/>
      <c r="C42" s="50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</row>
    <row r="43" spans="1:30" ht="13.5" customHeight="1">
      <c r="A43" s="108"/>
      <c r="B43" s="49"/>
      <c r="C43" s="50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</row>
    <row r="44" spans="1:30" ht="13.5" customHeight="1">
      <c r="A44" s="108"/>
      <c r="B44" s="49"/>
      <c r="C44" s="50"/>
      <c r="D44" s="108"/>
      <c r="E44" s="108"/>
      <c r="F44" s="108"/>
      <c r="G44" s="108"/>
      <c r="H44" s="108"/>
      <c r="I44" s="108"/>
      <c r="J44" s="140" t="s">
        <v>335</v>
      </c>
      <c r="K44" s="140"/>
      <c r="L44" s="128">
        <v>1</v>
      </c>
      <c r="M44" s="128">
        <v>2</v>
      </c>
      <c r="N44" s="128">
        <v>3</v>
      </c>
      <c r="O44" s="128">
        <v>4</v>
      </c>
      <c r="P44" s="128">
        <v>5</v>
      </c>
      <c r="Q44" s="128">
        <v>6</v>
      </c>
      <c r="R44" s="128">
        <v>7</v>
      </c>
      <c r="S44" s="128">
        <v>8</v>
      </c>
      <c r="T44" s="128">
        <v>9</v>
      </c>
      <c r="U44" s="128">
        <v>10</v>
      </c>
      <c r="V44" s="128">
        <v>11</v>
      </c>
      <c r="W44" s="128">
        <v>12</v>
      </c>
      <c r="X44" s="128">
        <v>13</v>
      </c>
      <c r="Y44" s="128">
        <v>14</v>
      </c>
      <c r="Z44" s="128">
        <v>15</v>
      </c>
      <c r="AA44" s="131" t="s">
        <v>336</v>
      </c>
      <c r="AB44" s="131"/>
      <c r="AC44" s="108"/>
      <c r="AD44" s="108"/>
    </row>
    <row r="45" spans="1:30" ht="13.5" customHeight="1">
      <c r="A45" s="108"/>
      <c r="B45" s="49"/>
      <c r="C45" s="50"/>
      <c r="D45" s="108"/>
      <c r="E45" s="108"/>
      <c r="F45" s="108"/>
      <c r="G45" s="108"/>
      <c r="H45" s="108"/>
      <c r="I45" s="108"/>
      <c r="J45" s="132" t="s">
        <v>9</v>
      </c>
      <c r="K45" s="132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  <c r="AA45" s="50">
        <f>SUM(L45:Z45)</f>
        <v>0</v>
      </c>
      <c r="AB45" s="108"/>
      <c r="AC45" s="108"/>
      <c r="AD45" s="108"/>
    </row>
    <row r="46" spans="1:30" ht="13.5" customHeight="1">
      <c r="A46" s="108"/>
      <c r="B46" s="49"/>
      <c r="C46" s="50"/>
      <c r="D46" s="108"/>
      <c r="E46" s="108"/>
      <c r="F46" s="108"/>
      <c r="G46" s="108"/>
      <c r="H46" s="108"/>
      <c r="I46" s="108"/>
      <c r="J46" s="132" t="s">
        <v>7</v>
      </c>
      <c r="K46" s="132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50">
        <f>SUM(L46:Z46)</f>
        <v>0</v>
      </c>
      <c r="AB46" s="108"/>
      <c r="AC46" s="108"/>
      <c r="AD46" s="108"/>
    </row>
    <row r="47" spans="1:30" ht="13.5" customHeight="1">
      <c r="A47" s="108"/>
      <c r="B47" s="49"/>
      <c r="C47" s="50"/>
      <c r="D47" s="108"/>
      <c r="E47" s="108"/>
      <c r="F47" s="108"/>
      <c r="G47" s="108"/>
      <c r="H47" s="108"/>
      <c r="I47" s="108"/>
      <c r="J47" s="132" t="s">
        <v>13</v>
      </c>
      <c r="K47" s="132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  <c r="AA47" s="50">
        <f>SUM(L47:Z47)</f>
        <v>0</v>
      </c>
      <c r="AB47" s="108"/>
      <c r="AC47" s="108"/>
      <c r="AD47" s="108"/>
    </row>
    <row r="48" spans="1:30" ht="13.5" customHeight="1">
      <c r="A48" s="108"/>
      <c r="B48" s="49"/>
      <c r="C48" s="50"/>
      <c r="D48" s="108"/>
      <c r="E48" s="108"/>
      <c r="F48" s="108"/>
      <c r="G48" s="108"/>
      <c r="H48" s="108"/>
      <c r="I48" s="108"/>
      <c r="J48" s="132" t="s">
        <v>337</v>
      </c>
      <c r="K48" s="132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  <c r="AA48" s="50">
        <f>SUM(L48:Z48)</f>
        <v>0</v>
      </c>
      <c r="AB48" s="108"/>
      <c r="AC48" s="108"/>
      <c r="AD48" s="108"/>
    </row>
    <row r="49" spans="1:30" ht="13.5" customHeight="1">
      <c r="A49" s="108"/>
      <c r="B49" s="49"/>
      <c r="C49" s="50"/>
      <c r="D49" s="108"/>
      <c r="E49" s="108"/>
      <c r="F49" s="108"/>
      <c r="G49" s="108"/>
      <c r="H49" s="108"/>
      <c r="I49" s="108"/>
      <c r="J49" s="132" t="s">
        <v>14</v>
      </c>
      <c r="K49" s="132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  <c r="AA49" s="50">
        <f>SUM(L49:Z49)</f>
        <v>0</v>
      </c>
      <c r="AB49" s="108"/>
      <c r="AC49" s="108"/>
      <c r="AD49" s="108"/>
    </row>
    <row r="50" spans="1:30" ht="13.5" customHeight="1">
      <c r="A50" s="108"/>
      <c r="B50" s="49"/>
      <c r="C50" s="50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74">
        <f>SUM(AA45:AA49)</f>
        <v>0</v>
      </c>
      <c r="AB50" s="108"/>
      <c r="AC50" s="108"/>
      <c r="AD50" s="108"/>
    </row>
    <row r="51" spans="1:30" ht="13.5" customHeight="1">
      <c r="A51" s="108"/>
      <c r="B51" s="49"/>
      <c r="C51" s="50"/>
      <c r="D51" s="108"/>
      <c r="E51" s="108"/>
      <c r="F51" s="108"/>
      <c r="G51" s="108"/>
      <c r="H51" s="108"/>
      <c r="I51" s="108"/>
      <c r="J51" s="108" t="s">
        <v>459</v>
      </c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</row>
    <row r="52" spans="1:30" ht="13.5" customHeight="1">
      <c r="A52" s="108"/>
      <c r="B52" s="49"/>
      <c r="C52" s="50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  <c r="AC52" s="108"/>
      <c r="AD52" s="108"/>
    </row>
    <row r="53" spans="1:30" ht="13.5" customHeight="1">
      <c r="A53" s="108"/>
      <c r="B53" s="49"/>
      <c r="C53" s="50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</row>
    <row r="54" spans="1:30" ht="13.5" customHeight="1">
      <c r="A54" s="108"/>
      <c r="B54" s="49"/>
      <c r="C54" s="50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  <c r="AC54" s="108"/>
      <c r="AD54" s="108"/>
    </row>
    <row r="55" spans="1:30" ht="13.5" customHeight="1">
      <c r="A55" s="108"/>
      <c r="B55" s="49"/>
      <c r="C55" s="50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  <c r="AD55" s="108"/>
    </row>
    <row r="56" spans="1:30" ht="13.5" customHeight="1">
      <c r="A56" s="108"/>
      <c r="B56" s="49"/>
      <c r="C56" s="50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  <c r="AD56" s="108"/>
    </row>
    <row r="57" spans="1:30" ht="13.5" customHeight="1">
      <c r="A57" s="108"/>
      <c r="B57" s="49"/>
      <c r="C57" s="50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  <c r="AD57" s="108"/>
    </row>
    <row r="58" spans="1:30" ht="13.5" customHeight="1">
      <c r="A58" s="108"/>
      <c r="B58" s="49"/>
      <c r="C58" s="50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</row>
    <row r="59" spans="1:30" ht="13.5" customHeight="1">
      <c r="A59" s="108"/>
      <c r="B59" s="49"/>
      <c r="C59" s="50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  <c r="AD59" s="108"/>
    </row>
    <row r="60" spans="1:30" ht="13.5" customHeight="1">
      <c r="A60" s="108"/>
      <c r="B60" s="49"/>
      <c r="C60" s="50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</row>
    <row r="61" spans="1:30" ht="13.5" customHeight="1">
      <c r="A61" s="108"/>
      <c r="B61" s="49"/>
      <c r="C61" s="50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  <c r="AC61" s="108"/>
      <c r="AD61" s="108"/>
    </row>
    <row r="62" spans="1:30" ht="13.5" customHeight="1">
      <c r="A62" s="108"/>
      <c r="B62" s="49"/>
      <c r="C62" s="50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</row>
    <row r="63" spans="1:30" ht="13.5" customHeight="1">
      <c r="A63" s="108"/>
      <c r="B63" s="49"/>
      <c r="C63" s="50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  <c r="AC63" s="108"/>
      <c r="AD63" s="108"/>
    </row>
    <row r="64" spans="1:30" ht="13.5" customHeight="1">
      <c r="A64" s="108"/>
      <c r="B64" s="49"/>
      <c r="C64" s="50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</row>
    <row r="65" spans="1:30" ht="13.5" customHeight="1">
      <c r="A65" s="108"/>
      <c r="B65" s="49"/>
      <c r="C65" s="50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</row>
    <row r="66" spans="1:30" ht="13.5" customHeight="1">
      <c r="A66" s="108"/>
      <c r="B66" s="49"/>
      <c r="C66" s="50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  <c r="AC66" s="108"/>
      <c r="AD66" s="108"/>
    </row>
    <row r="67" spans="1:30" ht="13.5" customHeight="1">
      <c r="A67" s="108"/>
      <c r="B67" s="49"/>
      <c r="C67" s="50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108"/>
      <c r="AD67" s="108"/>
    </row>
    <row r="68" spans="1:30" ht="13.5" customHeight="1">
      <c r="A68" s="108"/>
      <c r="B68" s="49"/>
      <c r="C68" s="50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</row>
    <row r="69" spans="1:30" ht="13.5" customHeight="1">
      <c r="A69" s="108"/>
      <c r="B69" s="49"/>
      <c r="C69" s="50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  <c r="AD69" s="108"/>
    </row>
    <row r="70" spans="1:30" ht="13.5" customHeight="1">
      <c r="A70" s="108"/>
      <c r="B70" s="49"/>
      <c r="C70" s="50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</row>
    <row r="71" spans="1:30" ht="13.5" customHeight="1">
      <c r="A71" s="108"/>
      <c r="B71" s="49"/>
      <c r="C71" s="50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</row>
    <row r="72" spans="1:30" ht="13.5" customHeight="1">
      <c r="A72" s="108"/>
      <c r="B72" s="49"/>
      <c r="C72" s="50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  <c r="AC72" s="108"/>
      <c r="AD72" s="108"/>
    </row>
    <row r="73" spans="1:30" ht="13.5" customHeight="1">
      <c r="A73" s="108"/>
      <c r="B73" s="49"/>
      <c r="C73" s="50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  <c r="AC73" s="108"/>
      <c r="AD73" s="108"/>
    </row>
    <row r="74" spans="1:30" ht="13.5" customHeight="1">
      <c r="A74" s="108"/>
      <c r="B74" s="49"/>
      <c r="C74" s="50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  <c r="AC74" s="108"/>
      <c r="AD74" s="108"/>
    </row>
    <row r="75" spans="1:30" ht="13.5" customHeight="1">
      <c r="A75" s="108"/>
      <c r="B75" s="49"/>
      <c r="C75" s="50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  <c r="AC75" s="108"/>
      <c r="AD75" s="108"/>
    </row>
    <row r="76" spans="1:30" ht="13.5" customHeight="1">
      <c r="A76" s="108"/>
      <c r="B76" s="49"/>
      <c r="C76" s="50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  <c r="AC76" s="108"/>
      <c r="AD76" s="108"/>
    </row>
    <row r="77" spans="1:30" ht="13.5" customHeight="1">
      <c r="A77" s="108"/>
      <c r="B77" s="49"/>
      <c r="C77" s="50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  <c r="AC77" s="108"/>
      <c r="AD77" s="108"/>
    </row>
    <row r="78" spans="1:30" ht="13.5" customHeight="1">
      <c r="A78" s="108"/>
      <c r="B78" s="49"/>
      <c r="C78" s="50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  <c r="AC78" s="108"/>
      <c r="AD78" s="108"/>
    </row>
    <row r="79" spans="1:30" ht="13.5" customHeight="1">
      <c r="A79" s="108"/>
      <c r="B79" s="49"/>
      <c r="C79" s="50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  <c r="AC79" s="108"/>
      <c r="AD79" s="108"/>
    </row>
    <row r="80" spans="1:30" ht="13.5" customHeight="1">
      <c r="A80" s="108"/>
      <c r="B80" s="49"/>
      <c r="C80" s="50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  <c r="AC80" s="108"/>
      <c r="AD80" s="108"/>
    </row>
    <row r="81" spans="1:30" ht="13.5" customHeight="1">
      <c r="A81" s="108"/>
      <c r="B81" s="49"/>
      <c r="C81" s="50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  <c r="AC81" s="108"/>
      <c r="AD81" s="108"/>
    </row>
    <row r="82" spans="1:30" ht="13.5" customHeight="1">
      <c r="A82" s="108"/>
      <c r="B82" s="49"/>
      <c r="C82" s="50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  <c r="AC82" s="108"/>
      <c r="AD82" s="108"/>
    </row>
    <row r="83" spans="1:30" ht="13.5" customHeight="1">
      <c r="A83" s="108"/>
      <c r="B83" s="49"/>
      <c r="C83" s="50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  <c r="AC83" s="108"/>
      <c r="AD83" s="108"/>
    </row>
    <row r="84" spans="1:30" ht="13.5" customHeight="1">
      <c r="A84" s="108"/>
      <c r="B84" s="49"/>
      <c r="C84" s="50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  <c r="AC84" s="108"/>
      <c r="AD84" s="108"/>
    </row>
    <row r="85" spans="1:30" ht="13.5" customHeight="1">
      <c r="A85" s="108"/>
      <c r="B85" s="49"/>
      <c r="C85" s="50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  <c r="AC85" s="108"/>
      <c r="AD85" s="108"/>
    </row>
    <row r="86" spans="1:30" ht="13.5" customHeight="1">
      <c r="A86" s="108"/>
      <c r="B86" s="49"/>
      <c r="C86" s="50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  <c r="AC86" s="108"/>
      <c r="AD86" s="108"/>
    </row>
    <row r="87" spans="1:30" ht="13.5" customHeight="1">
      <c r="A87" s="108"/>
      <c r="B87" s="49"/>
      <c r="C87" s="50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  <c r="AC87" s="108"/>
      <c r="AD87" s="108"/>
    </row>
    <row r="88" spans="1:30" ht="13.5" customHeight="1">
      <c r="A88" s="108"/>
      <c r="B88" s="49"/>
      <c r="C88" s="50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  <c r="AC88" s="108"/>
      <c r="AD88" s="108"/>
    </row>
    <row r="89" spans="1:30" ht="13.5" customHeight="1">
      <c r="A89" s="108"/>
      <c r="B89" s="49"/>
      <c r="C89" s="50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  <c r="AC89" s="108"/>
      <c r="AD89" s="108"/>
    </row>
    <row r="90" spans="1:30" ht="13.5" customHeight="1">
      <c r="A90" s="108"/>
      <c r="B90" s="49"/>
      <c r="C90" s="50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</row>
    <row r="91" spans="1:30" ht="13.5" customHeight="1">
      <c r="A91" s="108"/>
      <c r="B91" s="49"/>
      <c r="C91" s="50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  <c r="AC91" s="108"/>
      <c r="AD91" s="108"/>
    </row>
    <row r="92" spans="1:30" ht="13.5" customHeight="1">
      <c r="A92" s="108"/>
      <c r="B92" s="49"/>
      <c r="C92" s="50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  <c r="AC92" s="108"/>
      <c r="AD92" s="108"/>
    </row>
    <row r="93" spans="1:30" ht="13.5" customHeight="1">
      <c r="A93" s="108"/>
      <c r="B93" s="49"/>
      <c r="C93" s="50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  <c r="AC93" s="108"/>
      <c r="AD93" s="108"/>
    </row>
    <row r="94" spans="1:30" ht="13.5" customHeight="1">
      <c r="A94" s="108"/>
      <c r="B94" s="49"/>
      <c r="C94" s="50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</row>
    <row r="95" spans="1:30" ht="13.5" customHeight="1">
      <c r="A95" s="108"/>
      <c r="B95" s="49"/>
      <c r="C95" s="50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  <c r="AC95" s="108"/>
      <c r="AD95" s="108"/>
    </row>
    <row r="96" spans="1:30" ht="13.5" customHeight="1">
      <c r="A96" s="108"/>
      <c r="B96" s="49"/>
      <c r="C96" s="50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  <c r="AC96" s="108"/>
      <c r="AD96" s="108"/>
    </row>
    <row r="97" spans="1:30" ht="13.5" customHeight="1">
      <c r="A97" s="108"/>
      <c r="B97" s="49"/>
      <c r="C97" s="50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  <c r="AC97" s="108"/>
      <c r="AD97" s="108"/>
    </row>
    <row r="98" spans="1:30" ht="13.5" customHeight="1">
      <c r="A98" s="108"/>
      <c r="B98" s="49"/>
      <c r="C98" s="50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  <c r="AC98" s="108"/>
      <c r="AD98" s="108"/>
    </row>
    <row r="99" spans="1:30" ht="13.5" customHeight="1">
      <c r="A99" s="108"/>
      <c r="B99" s="49"/>
      <c r="C99" s="50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  <c r="AC99" s="108"/>
      <c r="AD99" s="108"/>
    </row>
    <row r="100" spans="1:30" ht="13.5" customHeight="1">
      <c r="A100" s="108"/>
      <c r="B100" s="49"/>
      <c r="C100" s="50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  <c r="AC100" s="108"/>
      <c r="AD100" s="108"/>
    </row>
    <row r="101" spans="1:30" ht="13.5" customHeight="1">
      <c r="A101" s="108"/>
      <c r="B101" s="49"/>
      <c r="C101" s="50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</row>
    <row r="102" spans="1:30" ht="13.5" customHeight="1">
      <c r="A102" s="108"/>
      <c r="B102" s="49"/>
      <c r="C102" s="50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  <c r="AC102" s="108"/>
      <c r="AD102" s="108"/>
    </row>
    <row r="103" spans="1:30" ht="13.5" customHeight="1">
      <c r="A103" s="108"/>
      <c r="B103" s="49"/>
      <c r="C103" s="50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  <c r="AC103" s="108"/>
      <c r="AD103" s="108"/>
    </row>
    <row r="104" spans="1:30" ht="13.5" customHeight="1">
      <c r="A104" s="108"/>
      <c r="B104" s="49"/>
      <c r="C104" s="50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  <c r="AC104" s="108"/>
      <c r="AD104" s="108"/>
    </row>
    <row r="105" spans="1:30" ht="13.5" customHeight="1">
      <c r="A105" s="108"/>
      <c r="B105" s="49"/>
      <c r="C105" s="50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  <c r="AC105" s="108"/>
      <c r="AD105" s="108"/>
    </row>
    <row r="106" spans="1:30" ht="13.5" customHeight="1">
      <c r="A106" s="108"/>
      <c r="B106" s="49"/>
      <c r="C106" s="50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  <c r="AC106" s="108"/>
      <c r="AD106" s="108"/>
    </row>
    <row r="107" spans="1:30" ht="13.5" customHeight="1">
      <c r="A107" s="108"/>
      <c r="B107" s="49"/>
      <c r="C107" s="50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  <c r="AC107" s="108"/>
      <c r="AD107" s="108"/>
    </row>
    <row r="108" spans="1:30" ht="13.5" customHeight="1">
      <c r="A108" s="108"/>
      <c r="B108" s="49"/>
      <c r="C108" s="50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  <c r="AC108" s="108"/>
      <c r="AD108" s="108"/>
    </row>
    <row r="109" spans="1:30" ht="13.5" customHeight="1">
      <c r="A109" s="108"/>
      <c r="B109" s="49"/>
      <c r="C109" s="50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  <c r="AC109" s="108"/>
      <c r="AD109" s="108"/>
    </row>
    <row r="110" spans="1:30" ht="13.5" customHeight="1">
      <c r="A110" s="108"/>
      <c r="B110" s="49"/>
      <c r="C110" s="50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  <c r="AC110" s="108"/>
      <c r="AD110" s="108"/>
    </row>
    <row r="111" spans="1:30" ht="13.5" customHeight="1">
      <c r="A111" s="108"/>
      <c r="B111" s="49"/>
      <c r="C111" s="50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  <c r="AC111" s="108"/>
      <c r="AD111" s="108"/>
    </row>
    <row r="112" spans="1:30" ht="13.5" customHeight="1">
      <c r="A112" s="108"/>
      <c r="B112" s="49"/>
      <c r="C112" s="50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  <c r="AC112" s="108"/>
      <c r="AD112" s="108"/>
    </row>
    <row r="113" spans="1:30" ht="13.5" customHeight="1">
      <c r="A113" s="108"/>
      <c r="B113" s="49"/>
      <c r="C113" s="50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  <c r="AC113" s="108"/>
      <c r="AD113" s="108"/>
    </row>
    <row r="114" spans="1:30" ht="13.5" customHeight="1">
      <c r="A114" s="108"/>
      <c r="B114" s="49"/>
      <c r="C114" s="50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</row>
    <row r="115" spans="1:30" ht="13.5" customHeight="1">
      <c r="A115" s="108"/>
      <c r="B115" s="49"/>
      <c r="C115" s="50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  <c r="AC115" s="108"/>
      <c r="AD115" s="108"/>
    </row>
    <row r="116" spans="1:30" ht="13.5" customHeight="1">
      <c r="A116" s="108"/>
      <c r="B116" s="49"/>
      <c r="C116" s="50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</row>
    <row r="117" spans="1:30" ht="13.5" customHeight="1">
      <c r="A117" s="108"/>
      <c r="B117" s="49"/>
      <c r="C117" s="50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  <c r="AC117" s="108"/>
      <c r="AD117" s="108"/>
    </row>
    <row r="118" spans="1:30" ht="13.5" customHeight="1">
      <c r="A118" s="108"/>
      <c r="B118" s="49"/>
      <c r="C118" s="50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  <c r="AC118" s="108"/>
      <c r="AD118" s="108"/>
    </row>
    <row r="119" spans="1:30" ht="13.5" customHeight="1">
      <c r="A119" s="108"/>
      <c r="B119" s="49"/>
      <c r="C119" s="50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  <c r="AC119" s="108"/>
      <c r="AD119" s="108"/>
    </row>
    <row r="120" spans="1:30" ht="13.5" customHeight="1">
      <c r="A120" s="108"/>
      <c r="B120" s="49"/>
      <c r="C120" s="50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  <c r="AC120" s="108"/>
      <c r="AD120" s="108"/>
    </row>
    <row r="121" spans="1:30" ht="13.5" customHeight="1">
      <c r="A121" s="108"/>
      <c r="B121" s="49"/>
      <c r="C121" s="50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  <c r="AC121" s="108"/>
      <c r="AD121" s="108"/>
    </row>
    <row r="122" spans="1:30" ht="13.5" customHeight="1">
      <c r="A122" s="108"/>
      <c r="B122" s="49"/>
      <c r="C122" s="50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</row>
    <row r="123" spans="1:30" ht="13.5" customHeight="1">
      <c r="A123" s="108"/>
      <c r="B123" s="49"/>
      <c r="C123" s="50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  <c r="AC123" s="108"/>
      <c r="AD123" s="108"/>
    </row>
    <row r="124" spans="1:30" ht="13.5" customHeight="1">
      <c r="A124" s="108"/>
      <c r="B124" s="49"/>
      <c r="C124" s="50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  <c r="AC124" s="108"/>
      <c r="AD124" s="108"/>
    </row>
    <row r="125" spans="1:30" ht="13.5" customHeight="1">
      <c r="A125" s="108"/>
      <c r="B125" s="49"/>
      <c r="C125" s="50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  <c r="AC125" s="108"/>
      <c r="AD125" s="108"/>
    </row>
    <row r="126" spans="1:30" ht="13.5" customHeight="1">
      <c r="A126" s="108"/>
      <c r="B126" s="49"/>
      <c r="C126" s="50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  <c r="AC126" s="108"/>
      <c r="AD126" s="108"/>
    </row>
    <row r="127" spans="1:30" ht="13.5" customHeight="1">
      <c r="A127" s="108"/>
      <c r="B127" s="49"/>
      <c r="C127" s="50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  <c r="AC127" s="108"/>
      <c r="AD127" s="108"/>
    </row>
    <row r="128" spans="1:30" ht="13.5" customHeight="1">
      <c r="A128" s="108"/>
      <c r="B128" s="49"/>
      <c r="C128" s="50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  <c r="AC128" s="108"/>
      <c r="AD128" s="108"/>
    </row>
    <row r="129" spans="1:30" ht="13.5" customHeight="1">
      <c r="A129" s="108"/>
      <c r="B129" s="49"/>
      <c r="C129" s="50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  <c r="AC129" s="108"/>
      <c r="AD129" s="108"/>
    </row>
    <row r="130" spans="1:30" ht="13.5" customHeight="1">
      <c r="A130" s="108"/>
      <c r="B130" s="49"/>
      <c r="C130" s="50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</row>
    <row r="131" spans="1:30" ht="13.5" customHeight="1">
      <c r="A131" s="108"/>
      <c r="B131" s="49"/>
      <c r="C131" s="50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  <c r="AC131" s="108"/>
      <c r="AD131" s="108"/>
    </row>
    <row r="132" spans="1:30" ht="13.5" customHeight="1">
      <c r="A132" s="108"/>
      <c r="B132" s="49"/>
      <c r="C132" s="50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  <c r="AC132" s="108"/>
      <c r="AD132" s="108"/>
    </row>
    <row r="133" spans="1:30" ht="13.5" customHeight="1">
      <c r="A133" s="108"/>
      <c r="B133" s="49"/>
      <c r="C133" s="50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  <c r="AC133" s="108"/>
      <c r="AD133" s="108"/>
    </row>
    <row r="134" spans="1:30" ht="13.5" customHeight="1">
      <c r="A134" s="108"/>
      <c r="B134" s="49"/>
      <c r="C134" s="50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  <c r="AC134" s="108"/>
      <c r="AD134" s="108"/>
    </row>
    <row r="135" spans="1:30" ht="13.5" customHeight="1">
      <c r="A135" s="108"/>
      <c r="B135" s="49"/>
      <c r="C135" s="50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  <c r="AD135" s="108"/>
    </row>
    <row r="136" spans="1:30" ht="13.5" customHeight="1">
      <c r="A136" s="108"/>
      <c r="B136" s="49"/>
      <c r="C136" s="50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  <c r="AC136" s="108"/>
      <c r="AD136" s="108"/>
    </row>
    <row r="137" spans="1:30" ht="13.5" customHeight="1">
      <c r="A137" s="108"/>
      <c r="B137" s="49"/>
      <c r="C137" s="50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  <c r="AC137" s="108"/>
      <c r="AD137" s="108"/>
    </row>
    <row r="138" spans="1:30" ht="13.5" customHeight="1">
      <c r="A138" s="108"/>
      <c r="B138" s="49"/>
      <c r="C138" s="50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  <c r="AC138" s="108"/>
      <c r="AD138" s="108"/>
    </row>
    <row r="139" spans="1:30" ht="13.5" customHeight="1">
      <c r="A139" s="108"/>
      <c r="B139" s="49"/>
      <c r="C139" s="50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  <c r="AC139" s="108"/>
      <c r="AD139" s="108"/>
    </row>
    <row r="140" spans="1:30" ht="13.5" customHeight="1">
      <c r="A140" s="108"/>
      <c r="B140" s="49"/>
      <c r="C140" s="50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  <c r="AC140" s="108"/>
      <c r="AD140" s="108"/>
    </row>
    <row r="141" spans="1:30" ht="13.5" customHeight="1">
      <c r="A141" s="108"/>
      <c r="B141" s="49"/>
      <c r="C141" s="50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  <c r="AC141" s="108"/>
      <c r="AD141" s="108"/>
    </row>
    <row r="142" spans="1:30" ht="13.5" customHeight="1">
      <c r="A142" s="108"/>
      <c r="B142" s="49"/>
      <c r="C142" s="50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  <c r="AC142" s="108"/>
      <c r="AD142" s="108"/>
    </row>
    <row r="143" spans="1:30" ht="13.5" customHeight="1">
      <c r="A143" s="108"/>
      <c r="B143" s="49"/>
      <c r="C143" s="50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  <c r="AC143" s="108"/>
      <c r="AD143" s="108"/>
    </row>
    <row r="144" spans="1:30" ht="13.5" customHeight="1">
      <c r="A144" s="108"/>
      <c r="B144" s="49"/>
      <c r="C144" s="50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  <c r="AC144" s="108"/>
      <c r="AD144" s="108"/>
    </row>
    <row r="145" spans="1:30" ht="13.5" customHeight="1">
      <c r="A145" s="108"/>
      <c r="B145" s="49"/>
      <c r="C145" s="50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  <c r="AC145" s="108"/>
      <c r="AD145" s="108"/>
    </row>
    <row r="146" spans="1:30" ht="13.5" customHeight="1">
      <c r="A146" s="108"/>
      <c r="B146" s="49"/>
      <c r="C146" s="50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</row>
    <row r="147" spans="1:30" ht="13.5" customHeight="1">
      <c r="A147" s="108"/>
      <c r="B147" s="49"/>
      <c r="C147" s="50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  <c r="AD147" s="108"/>
    </row>
    <row r="148" spans="1:30" ht="13.5" customHeight="1">
      <c r="A148" s="108"/>
      <c r="B148" s="49"/>
      <c r="C148" s="50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  <c r="AC148" s="108"/>
      <c r="AD148" s="108"/>
    </row>
    <row r="149" spans="1:30" ht="13.5" customHeight="1">
      <c r="A149" s="108"/>
      <c r="B149" s="49"/>
      <c r="C149" s="50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  <c r="AC149" s="108"/>
      <c r="AD149" s="108"/>
    </row>
    <row r="150" spans="1:30" ht="13.5" customHeight="1">
      <c r="A150" s="108"/>
      <c r="B150" s="49"/>
      <c r="C150" s="50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  <c r="AC150" s="108"/>
      <c r="AD150" s="108"/>
    </row>
    <row r="151" spans="1:30" ht="13.5" customHeight="1">
      <c r="A151" s="108"/>
      <c r="B151" s="49"/>
      <c r="C151" s="50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  <c r="AC151" s="108"/>
      <c r="AD151" s="108"/>
    </row>
    <row r="152" spans="1:30" ht="13.5" customHeight="1">
      <c r="A152" s="108"/>
      <c r="B152" s="49"/>
      <c r="C152" s="50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  <c r="AC152" s="108"/>
      <c r="AD152" s="108"/>
    </row>
    <row r="153" spans="1:30" ht="13.5" customHeight="1">
      <c r="A153" s="108"/>
      <c r="B153" s="49"/>
      <c r="C153" s="50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  <c r="AC153" s="108"/>
      <c r="AD153" s="108"/>
    </row>
    <row r="154" spans="1:30" ht="13.5" customHeight="1">
      <c r="A154" s="108"/>
      <c r="B154" s="49"/>
      <c r="C154" s="50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  <c r="AC154" s="108"/>
      <c r="AD154" s="108"/>
    </row>
    <row r="155" spans="1:30" ht="13.5" customHeight="1">
      <c r="A155" s="108"/>
      <c r="B155" s="49"/>
      <c r="C155" s="50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  <c r="AC155" s="108"/>
      <c r="AD155" s="108"/>
    </row>
    <row r="156" spans="1:30" ht="13.5" customHeight="1">
      <c r="A156" s="108"/>
      <c r="B156" s="49"/>
      <c r="C156" s="50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  <c r="AC156" s="108"/>
      <c r="AD156" s="108"/>
    </row>
    <row r="157" spans="1:30" ht="13.5" customHeight="1">
      <c r="A157" s="108"/>
      <c r="B157" s="49"/>
      <c r="C157" s="50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  <c r="AC157" s="108"/>
      <c r="AD157" s="108"/>
    </row>
    <row r="158" spans="1:30" ht="13.5" customHeight="1">
      <c r="A158" s="108"/>
      <c r="B158" s="49"/>
      <c r="C158" s="50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  <c r="AC158" s="108"/>
      <c r="AD158" s="108"/>
    </row>
    <row r="159" spans="1:30" ht="13.5" customHeight="1">
      <c r="A159" s="108"/>
      <c r="B159" s="49"/>
      <c r="C159" s="50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  <c r="AC159" s="108"/>
      <c r="AD159" s="108"/>
    </row>
    <row r="160" spans="1:30" ht="13.5" customHeight="1">
      <c r="A160" s="108"/>
      <c r="B160" s="49"/>
      <c r="C160" s="50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  <c r="AC160" s="108"/>
      <c r="AD160" s="108"/>
    </row>
    <row r="161" spans="1:30" ht="13.5" customHeight="1">
      <c r="A161" s="108"/>
      <c r="B161" s="49"/>
      <c r="C161" s="50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  <c r="AC161" s="108"/>
      <c r="AD161" s="108"/>
    </row>
    <row r="162" spans="1:30" ht="13.5" customHeight="1">
      <c r="A162" s="108"/>
      <c r="B162" s="49"/>
      <c r="C162" s="50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</row>
    <row r="163" spans="1:30" ht="13.5" customHeight="1">
      <c r="A163" s="108"/>
      <c r="B163" s="49"/>
      <c r="C163" s="50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  <c r="AC163" s="108"/>
      <c r="AD163" s="108"/>
    </row>
    <row r="164" spans="1:30" ht="13.5" customHeight="1">
      <c r="A164" s="108"/>
      <c r="B164" s="49"/>
      <c r="C164" s="50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  <c r="AC164" s="108"/>
      <c r="AD164" s="108"/>
    </row>
    <row r="165" spans="1:30" ht="13.5" customHeight="1">
      <c r="A165" s="108"/>
      <c r="B165" s="49"/>
      <c r="C165" s="50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  <c r="AC165" s="108"/>
      <c r="AD165" s="108"/>
    </row>
    <row r="166" spans="1:30" ht="13.5" customHeight="1">
      <c r="A166" s="108"/>
      <c r="B166" s="49"/>
      <c r="C166" s="50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  <c r="AC166" s="108"/>
      <c r="AD166" s="108"/>
    </row>
    <row r="167" spans="1:30" ht="13.5" customHeight="1">
      <c r="A167" s="108"/>
      <c r="B167" s="49"/>
      <c r="C167" s="50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  <c r="AC167" s="108"/>
      <c r="AD167" s="108"/>
    </row>
    <row r="168" spans="1:30" ht="13.5" customHeight="1">
      <c r="A168" s="108"/>
      <c r="B168" s="49"/>
      <c r="C168" s="50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  <c r="AD168" s="108"/>
    </row>
    <row r="169" spans="1:30" ht="13.5" customHeight="1">
      <c r="A169" s="108"/>
      <c r="B169" s="49"/>
      <c r="C169" s="50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  <c r="AC169" s="108"/>
      <c r="AD169" s="108"/>
    </row>
    <row r="170" spans="1:30" ht="13.5" customHeight="1">
      <c r="A170" s="108"/>
      <c r="B170" s="49"/>
      <c r="C170" s="50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  <c r="AC170" s="108"/>
      <c r="AD170" s="108"/>
    </row>
    <row r="171" spans="1:30" ht="13.5" customHeight="1">
      <c r="A171" s="108"/>
      <c r="B171" s="49"/>
      <c r="C171" s="50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  <c r="AC171" s="108"/>
      <c r="AD171" s="108"/>
    </row>
    <row r="172" spans="1:30" ht="13.5" customHeight="1">
      <c r="A172" s="108"/>
      <c r="B172" s="49"/>
      <c r="C172" s="50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  <c r="AC172" s="108"/>
      <c r="AD172" s="108"/>
    </row>
    <row r="173" spans="1:30" ht="13.5" customHeight="1">
      <c r="A173" s="108"/>
      <c r="B173" s="49"/>
      <c r="C173" s="50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  <c r="AC173" s="108"/>
      <c r="AD173" s="108"/>
    </row>
    <row r="174" spans="1:30" ht="13.5" customHeight="1">
      <c r="A174" s="108"/>
      <c r="B174" s="49"/>
      <c r="C174" s="50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  <c r="AC174" s="108"/>
      <c r="AD174" s="108"/>
    </row>
    <row r="175" spans="1:30" ht="13.5" customHeight="1">
      <c r="A175" s="108"/>
      <c r="B175" s="49"/>
      <c r="C175" s="50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  <c r="AC175" s="108"/>
      <c r="AD175" s="108"/>
    </row>
    <row r="176" spans="1:30" ht="13.5" customHeight="1">
      <c r="A176" s="108"/>
      <c r="B176" s="49"/>
      <c r="C176" s="50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  <c r="AC176" s="108"/>
      <c r="AD176" s="108"/>
    </row>
    <row r="177" spans="1:30" ht="13.5" customHeight="1">
      <c r="A177" s="108"/>
      <c r="B177" s="49"/>
      <c r="C177" s="50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  <c r="AC177" s="108"/>
      <c r="AD177" s="108"/>
    </row>
    <row r="178" spans="1:30" ht="13.5" customHeight="1">
      <c r="A178" s="108"/>
      <c r="B178" s="49"/>
      <c r="C178" s="50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  <c r="AC178" s="108"/>
      <c r="AD178" s="108"/>
    </row>
    <row r="179" spans="1:30" ht="13.5" customHeight="1">
      <c r="A179" s="108"/>
      <c r="B179" s="49"/>
      <c r="C179" s="50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  <c r="AC179" s="108"/>
      <c r="AD179" s="108"/>
    </row>
    <row r="180" spans="1:30" ht="13.5" customHeight="1">
      <c r="A180" s="108"/>
      <c r="B180" s="49"/>
      <c r="C180" s="50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  <c r="AC180" s="108"/>
      <c r="AD180" s="108"/>
    </row>
    <row r="181" spans="1:30" ht="13.5" customHeight="1">
      <c r="A181" s="108"/>
      <c r="B181" s="49"/>
      <c r="C181" s="50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  <c r="AC181" s="108"/>
      <c r="AD181" s="108"/>
    </row>
    <row r="182" spans="1:30" ht="13.5" customHeight="1">
      <c r="A182" s="108"/>
      <c r="B182" s="49"/>
      <c r="C182" s="50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  <c r="AC182" s="108"/>
      <c r="AD182" s="108"/>
    </row>
    <row r="183" spans="1:30" ht="13.5" customHeight="1">
      <c r="A183" s="108"/>
      <c r="B183" s="49"/>
      <c r="C183" s="50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  <c r="AC183" s="108"/>
      <c r="AD183" s="108"/>
    </row>
    <row r="184" spans="1:30" ht="13.5" customHeight="1">
      <c r="A184" s="108"/>
      <c r="B184" s="49"/>
      <c r="C184" s="50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  <c r="AC184" s="108"/>
      <c r="AD184" s="108"/>
    </row>
    <row r="185" spans="1:30" ht="13.5" customHeight="1">
      <c r="A185" s="108"/>
      <c r="B185" s="49"/>
      <c r="C185" s="50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  <c r="AC185" s="108"/>
      <c r="AD185" s="108"/>
    </row>
    <row r="186" spans="1:30" ht="13.5" customHeight="1">
      <c r="A186" s="108"/>
      <c r="B186" s="49"/>
      <c r="C186" s="50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  <c r="AC186" s="108"/>
      <c r="AD186" s="108"/>
    </row>
    <row r="187" spans="1:30" ht="13.5" customHeight="1">
      <c r="A187" s="108"/>
      <c r="B187" s="49"/>
      <c r="C187" s="50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  <c r="AC187" s="108"/>
      <c r="AD187" s="108"/>
    </row>
    <row r="188" spans="1:30" ht="13.5" customHeight="1">
      <c r="A188" s="108"/>
      <c r="B188" s="49"/>
      <c r="C188" s="50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  <c r="AC188" s="108"/>
      <c r="AD188" s="108"/>
    </row>
    <row r="189" spans="1:30" ht="13.5" customHeight="1">
      <c r="A189" s="108"/>
      <c r="B189" s="49"/>
      <c r="C189" s="50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</row>
    <row r="190" spans="1:30" ht="13.5" customHeight="1">
      <c r="A190" s="108"/>
      <c r="B190" s="49"/>
      <c r="C190" s="50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</row>
    <row r="191" spans="1:30" ht="13.5" customHeight="1">
      <c r="A191" s="108"/>
      <c r="B191" s="49"/>
      <c r="C191" s="50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  <c r="AC191" s="108"/>
      <c r="AD191" s="108"/>
    </row>
    <row r="192" spans="1:30" ht="13.5" customHeight="1">
      <c r="A192" s="108"/>
      <c r="B192" s="49"/>
      <c r="C192" s="50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  <c r="AC192" s="108"/>
      <c r="AD192" s="108"/>
    </row>
    <row r="193" spans="1:30" ht="13.5" customHeight="1">
      <c r="A193" s="108"/>
      <c r="B193" s="49"/>
      <c r="C193" s="50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  <c r="AC193" s="108"/>
      <c r="AD193" s="108"/>
    </row>
    <row r="194" spans="1:30" ht="13.5" customHeight="1">
      <c r="A194" s="108"/>
      <c r="B194" s="49"/>
      <c r="C194" s="50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</row>
    <row r="195" spans="1:30" ht="13.5" customHeight="1">
      <c r="A195" s="108"/>
      <c r="B195" s="49"/>
      <c r="C195" s="50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  <c r="AC195" s="108"/>
      <c r="AD195" s="108"/>
    </row>
    <row r="196" spans="1:30" ht="13.5" customHeight="1">
      <c r="A196" s="108"/>
      <c r="B196" s="49"/>
      <c r="C196" s="50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  <c r="AC196" s="108"/>
      <c r="AD196" s="108"/>
    </row>
    <row r="197" spans="1:30" ht="13.5" customHeight="1">
      <c r="A197" s="108"/>
      <c r="B197" s="49"/>
      <c r="C197" s="50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  <c r="AC197" s="108"/>
      <c r="AD197" s="108"/>
    </row>
    <row r="198" spans="1:30" ht="13.5" customHeight="1">
      <c r="A198" s="108"/>
      <c r="B198" s="49"/>
      <c r="C198" s="50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  <c r="AC198" s="108"/>
      <c r="AD198" s="108"/>
    </row>
    <row r="199" spans="1:30" ht="13.5" customHeight="1">
      <c r="A199" s="108"/>
      <c r="B199" s="49"/>
      <c r="C199" s="50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  <c r="AC199" s="108"/>
      <c r="AD199" s="108"/>
    </row>
    <row r="200" spans="1:30" ht="13.5" customHeight="1">
      <c r="A200" s="108"/>
      <c r="B200" s="49"/>
      <c r="C200" s="50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  <c r="AC200" s="108"/>
      <c r="AD200" s="108"/>
    </row>
    <row r="201" spans="1:30" ht="13.5" customHeight="1">
      <c r="A201" s="108"/>
      <c r="B201" s="49"/>
      <c r="C201" s="50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  <c r="AC201" s="108"/>
      <c r="AD201" s="108"/>
    </row>
    <row r="202" spans="1:30" ht="13.5" customHeight="1">
      <c r="A202" s="108"/>
      <c r="B202" s="49"/>
      <c r="C202" s="50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  <c r="AC202" s="108"/>
      <c r="AD202" s="108"/>
    </row>
    <row r="203" spans="1:30" ht="13.5" customHeight="1">
      <c r="A203" s="108"/>
      <c r="B203" s="49"/>
      <c r="C203" s="50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  <c r="AC203" s="108"/>
      <c r="AD203" s="108"/>
    </row>
    <row r="204" spans="1:30" ht="13.5" customHeight="1">
      <c r="A204" s="108"/>
      <c r="B204" s="49"/>
      <c r="C204" s="50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  <c r="AC204" s="108"/>
      <c r="AD204" s="108"/>
    </row>
    <row r="205" spans="1:30" ht="13.5" customHeight="1">
      <c r="A205" s="108"/>
      <c r="B205" s="49"/>
      <c r="C205" s="50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  <c r="AC205" s="108"/>
      <c r="AD205" s="108"/>
    </row>
    <row r="206" spans="1:30" ht="13.5" customHeight="1">
      <c r="A206" s="108"/>
      <c r="B206" s="49"/>
      <c r="C206" s="50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  <c r="AC206" s="108"/>
      <c r="AD206" s="108"/>
    </row>
    <row r="207" spans="1:30" ht="13.5" customHeight="1">
      <c r="A207" s="108"/>
      <c r="B207" s="49"/>
      <c r="C207" s="50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  <c r="AC207" s="108"/>
      <c r="AD207" s="108"/>
    </row>
    <row r="208" spans="1:30" ht="13.5" customHeight="1">
      <c r="A208" s="108"/>
      <c r="B208" s="49"/>
      <c r="C208" s="50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</row>
    <row r="209" spans="1:30" ht="13.5" customHeight="1">
      <c r="A209" s="108"/>
      <c r="B209" s="49"/>
      <c r="C209" s="50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  <c r="AC209" s="108"/>
      <c r="AD209" s="108"/>
    </row>
    <row r="210" spans="1:30" ht="13.5" customHeight="1">
      <c r="A210" s="108"/>
      <c r="B210" s="49"/>
      <c r="C210" s="50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  <c r="AD210" s="108"/>
    </row>
    <row r="211" spans="1:30" ht="13.5" customHeight="1">
      <c r="A211" s="108"/>
      <c r="B211" s="49"/>
      <c r="C211" s="50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  <c r="AC211" s="108"/>
      <c r="AD211" s="108"/>
    </row>
    <row r="212" spans="1:30" ht="13.5" customHeight="1">
      <c r="A212" s="108"/>
      <c r="B212" s="49"/>
      <c r="C212" s="50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  <c r="AC212" s="108"/>
      <c r="AD212" s="108"/>
    </row>
    <row r="213" spans="1:30" ht="13.5" customHeight="1">
      <c r="A213" s="108"/>
      <c r="B213" s="49"/>
      <c r="C213" s="50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  <c r="AC213" s="108"/>
      <c r="AD213" s="108"/>
    </row>
    <row r="214" spans="1:30" ht="13.5" customHeight="1">
      <c r="A214" s="108"/>
      <c r="B214" s="49"/>
      <c r="C214" s="50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  <c r="AC214" s="108"/>
      <c r="AD214" s="108"/>
    </row>
    <row r="215" spans="1:30" ht="13.5" customHeight="1">
      <c r="A215" s="108"/>
      <c r="B215" s="49"/>
      <c r="C215" s="50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  <c r="AC215" s="108"/>
      <c r="AD215" s="108"/>
    </row>
    <row r="216" spans="1:30" ht="13.5" customHeight="1">
      <c r="A216" s="108"/>
      <c r="B216" s="49"/>
      <c r="C216" s="50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  <c r="AD216" s="108"/>
    </row>
    <row r="217" spans="1:30" ht="13.5" customHeight="1">
      <c r="A217" s="108"/>
      <c r="B217" s="49"/>
      <c r="C217" s="50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</row>
    <row r="218" spans="1:30" ht="13.5" customHeight="1">
      <c r="A218" s="108"/>
      <c r="B218" s="49"/>
      <c r="C218" s="50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  <c r="AC218" s="108"/>
      <c r="AD218" s="108"/>
    </row>
    <row r="219" spans="1:30" ht="13.5" customHeight="1">
      <c r="A219" s="108"/>
      <c r="B219" s="49"/>
      <c r="C219" s="50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</row>
    <row r="220" spans="1:30" ht="13.5" customHeight="1">
      <c r="A220" s="108"/>
      <c r="B220" s="49"/>
      <c r="C220" s="50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  <c r="AC220" s="108"/>
      <c r="AD220" s="108"/>
    </row>
    <row r="221" spans="1:30" ht="13.5" customHeight="1">
      <c r="A221" s="108"/>
      <c r="B221" s="49"/>
      <c r="C221" s="50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  <c r="AC221" s="108"/>
      <c r="AD221" s="108"/>
    </row>
    <row r="222" spans="1:30" ht="13.5" customHeight="1">
      <c r="A222" s="108"/>
      <c r="B222" s="49"/>
      <c r="C222" s="50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  <c r="AA222" s="108"/>
      <c r="AB222" s="108"/>
      <c r="AC222" s="108"/>
      <c r="AD222" s="108"/>
    </row>
    <row r="223" spans="1:30" ht="13.5" customHeight="1">
      <c r="A223" s="108"/>
      <c r="B223" s="49"/>
      <c r="C223" s="50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  <c r="AA223" s="108"/>
      <c r="AB223" s="108"/>
      <c r="AC223" s="108"/>
      <c r="AD223" s="108"/>
    </row>
    <row r="224" spans="1:30" ht="13.5" customHeight="1">
      <c r="A224" s="108"/>
      <c r="B224" s="49"/>
      <c r="C224" s="50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  <c r="AA224" s="108"/>
      <c r="AB224" s="108"/>
      <c r="AC224" s="108"/>
      <c r="AD224" s="108"/>
    </row>
    <row r="225" spans="1:30" ht="13.5" customHeight="1">
      <c r="A225" s="108"/>
      <c r="B225" s="49"/>
      <c r="C225" s="50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  <c r="AA225" s="108"/>
      <c r="AB225" s="108"/>
      <c r="AC225" s="108"/>
      <c r="AD225" s="108"/>
    </row>
    <row r="226" spans="1:30" ht="13.5" customHeight="1">
      <c r="A226" s="108"/>
      <c r="B226" s="49"/>
      <c r="C226" s="50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  <c r="AA226" s="108"/>
      <c r="AB226" s="108"/>
      <c r="AC226" s="108"/>
      <c r="AD226" s="108"/>
    </row>
    <row r="227" spans="1:30" ht="13.5" customHeight="1">
      <c r="A227" s="108"/>
      <c r="B227" s="49"/>
      <c r="C227" s="50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  <c r="AA227" s="108"/>
      <c r="AB227" s="108"/>
      <c r="AC227" s="108"/>
      <c r="AD227" s="108"/>
    </row>
    <row r="228" spans="1:30" ht="13.5" customHeight="1">
      <c r="A228" s="108"/>
      <c r="B228" s="49"/>
      <c r="C228" s="50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  <c r="AA228" s="108"/>
      <c r="AB228" s="108"/>
      <c r="AC228" s="108"/>
      <c r="AD228" s="108"/>
    </row>
    <row r="229" spans="1:30" ht="13.5" customHeight="1">
      <c r="A229" s="108"/>
      <c r="B229" s="49"/>
      <c r="C229" s="50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  <c r="AA229" s="108"/>
      <c r="AB229" s="108"/>
      <c r="AC229" s="108"/>
      <c r="AD229" s="108"/>
    </row>
    <row r="230" spans="1:30" ht="13.5" customHeight="1">
      <c r="A230" s="108"/>
      <c r="B230" s="49"/>
      <c r="C230" s="50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  <c r="AA230" s="108"/>
      <c r="AB230" s="108"/>
      <c r="AC230" s="108"/>
      <c r="AD230" s="108"/>
    </row>
    <row r="231" spans="1:30" ht="13.5" customHeight="1">
      <c r="A231" s="108"/>
      <c r="B231" s="49"/>
      <c r="C231" s="50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  <c r="AA231" s="108"/>
      <c r="AB231" s="108"/>
      <c r="AC231" s="108"/>
      <c r="AD231" s="108"/>
    </row>
    <row r="232" spans="1:30" ht="13.5" customHeight="1">
      <c r="A232" s="108"/>
      <c r="B232" s="49"/>
      <c r="C232" s="50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  <c r="AA232" s="108"/>
      <c r="AB232" s="108"/>
      <c r="AC232" s="108"/>
      <c r="AD232" s="108"/>
    </row>
    <row r="233" spans="1:30" ht="13.5" customHeight="1">
      <c r="A233" s="108"/>
      <c r="B233" s="49"/>
      <c r="C233" s="50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  <c r="AA233" s="108"/>
      <c r="AB233" s="108"/>
      <c r="AC233" s="108"/>
      <c r="AD233" s="108"/>
    </row>
    <row r="234" spans="1:30" ht="13.5" customHeight="1">
      <c r="A234" s="108"/>
      <c r="B234" s="49"/>
      <c r="C234" s="50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  <c r="AA234" s="108"/>
      <c r="AB234" s="108"/>
      <c r="AC234" s="108"/>
      <c r="AD234" s="108"/>
    </row>
    <row r="235" spans="1:30" ht="13.5" customHeight="1">
      <c r="A235" s="108"/>
      <c r="B235" s="49"/>
      <c r="C235" s="50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  <c r="AA235" s="108"/>
      <c r="AB235" s="108"/>
      <c r="AC235" s="108"/>
      <c r="AD235" s="108"/>
    </row>
    <row r="236" spans="1:30" ht="13.5" customHeight="1">
      <c r="A236" s="108"/>
      <c r="B236" s="49"/>
      <c r="C236" s="50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  <c r="AA236" s="108"/>
      <c r="AB236" s="108"/>
      <c r="AC236" s="108"/>
      <c r="AD236" s="108"/>
    </row>
    <row r="237" spans="1:30" ht="13.5" customHeight="1">
      <c r="A237" s="108"/>
      <c r="B237" s="49"/>
      <c r="C237" s="50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  <c r="AA237" s="108"/>
      <c r="AB237" s="108"/>
      <c r="AC237" s="108"/>
      <c r="AD237" s="108"/>
    </row>
    <row r="238" spans="1:30" ht="13.5" customHeight="1">
      <c r="A238" s="108"/>
      <c r="B238" s="49"/>
      <c r="C238" s="50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  <c r="AC238" s="108"/>
      <c r="AD238" s="108"/>
    </row>
    <row r="239" spans="1:30" ht="13.5" customHeight="1">
      <c r="A239" s="108"/>
      <c r="B239" s="49"/>
      <c r="C239" s="50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  <c r="AA239" s="108"/>
      <c r="AB239" s="108"/>
      <c r="AC239" s="108"/>
      <c r="AD239" s="108"/>
    </row>
    <row r="240" spans="1:30" ht="13.5" customHeight="1">
      <c r="A240" s="108"/>
      <c r="B240" s="49"/>
      <c r="C240" s="50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  <c r="AA240" s="108"/>
      <c r="AB240" s="108"/>
      <c r="AC240" s="108"/>
      <c r="AD240" s="108"/>
    </row>
    <row r="241" spans="1:30" ht="13.5" customHeight="1">
      <c r="A241" s="108"/>
      <c r="B241" s="49"/>
      <c r="C241" s="50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  <c r="AA241" s="108"/>
      <c r="AB241" s="108"/>
      <c r="AC241" s="108"/>
      <c r="AD241" s="108"/>
    </row>
    <row r="242" spans="1:30" ht="13.5" customHeight="1">
      <c r="A242" s="108"/>
      <c r="B242" s="49"/>
      <c r="C242" s="50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  <c r="AA242" s="108"/>
      <c r="AB242" s="108"/>
      <c r="AC242" s="108"/>
      <c r="AD242" s="108"/>
    </row>
    <row r="243" spans="1:30" ht="13.5" customHeight="1">
      <c r="A243" s="108"/>
      <c r="B243" s="49"/>
      <c r="C243" s="50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  <c r="AA243" s="108"/>
      <c r="AB243" s="108"/>
      <c r="AC243" s="108"/>
      <c r="AD243" s="108"/>
    </row>
    <row r="244" spans="1:30" ht="13.5" customHeight="1">
      <c r="A244" s="108"/>
      <c r="B244" s="49"/>
      <c r="C244" s="50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  <c r="AA244" s="108"/>
      <c r="AB244" s="108"/>
      <c r="AC244" s="108"/>
      <c r="AD244" s="108"/>
    </row>
    <row r="245" spans="1:30" ht="13.5" customHeight="1">
      <c r="A245" s="108"/>
      <c r="B245" s="49"/>
      <c r="C245" s="50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  <c r="AA245" s="108"/>
      <c r="AB245" s="108"/>
      <c r="AC245" s="108"/>
      <c r="AD245" s="108"/>
    </row>
    <row r="246" spans="1:30" ht="13.5" customHeight="1">
      <c r="A246" s="108"/>
      <c r="B246" s="49"/>
      <c r="C246" s="50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  <c r="AA246" s="108"/>
      <c r="AB246" s="108"/>
      <c r="AC246" s="108"/>
      <c r="AD246" s="108"/>
    </row>
    <row r="247" spans="1:30" ht="13.5" customHeight="1">
      <c r="A247" s="108"/>
      <c r="B247" s="49"/>
      <c r="C247" s="50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  <c r="AA247" s="108"/>
      <c r="AB247" s="108"/>
      <c r="AC247" s="108"/>
      <c r="AD247" s="108"/>
    </row>
    <row r="248" spans="1:30" ht="13.5" customHeight="1">
      <c r="A248" s="108"/>
      <c r="B248" s="49"/>
      <c r="C248" s="50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  <c r="AA248" s="108"/>
      <c r="AB248" s="108"/>
      <c r="AC248" s="108"/>
      <c r="AD248" s="108"/>
    </row>
    <row r="249" spans="1:30" ht="13.5" customHeight="1">
      <c r="A249" s="108"/>
      <c r="B249" s="49"/>
      <c r="C249" s="50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  <c r="AA249" s="108"/>
      <c r="AB249" s="108"/>
      <c r="AC249" s="108"/>
      <c r="AD249" s="108"/>
    </row>
    <row r="250" spans="1:30" ht="13.5" customHeight="1">
      <c r="A250" s="108"/>
      <c r="B250" s="49"/>
      <c r="C250" s="50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  <c r="AC250" s="108"/>
      <c r="AD250" s="108"/>
    </row>
    <row r="251" spans="1:30" ht="13.5" customHeight="1">
      <c r="A251" s="108"/>
      <c r="B251" s="49"/>
      <c r="C251" s="50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  <c r="AA251" s="108"/>
      <c r="AB251" s="108"/>
      <c r="AC251" s="108"/>
      <c r="AD251" s="108"/>
    </row>
    <row r="252" spans="1:30" ht="13.5" customHeight="1">
      <c r="A252" s="108"/>
      <c r="B252" s="49"/>
      <c r="C252" s="50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  <c r="AA252" s="108"/>
      <c r="AB252" s="108"/>
      <c r="AC252" s="108"/>
      <c r="AD252" s="108"/>
    </row>
    <row r="253" spans="1:30" ht="13.5" customHeight="1">
      <c r="A253" s="108"/>
      <c r="B253" s="49"/>
      <c r="C253" s="50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  <c r="AA253" s="108"/>
      <c r="AB253" s="108"/>
      <c r="AC253" s="108"/>
      <c r="AD253" s="108"/>
    </row>
    <row r="254" spans="1:30" ht="13.5" customHeight="1">
      <c r="A254" s="108"/>
      <c r="B254" s="49"/>
      <c r="C254" s="50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</row>
    <row r="255" spans="1:30" ht="13.5" customHeight="1">
      <c r="A255" s="108"/>
      <c r="B255" s="49"/>
      <c r="C255" s="50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  <c r="AA255" s="108"/>
      <c r="AB255" s="108"/>
      <c r="AC255" s="108"/>
      <c r="AD255" s="108"/>
    </row>
    <row r="256" spans="1:30" ht="13.5" customHeight="1">
      <c r="A256" s="108"/>
      <c r="B256" s="49"/>
      <c r="C256" s="50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  <c r="AA256" s="108"/>
      <c r="AB256" s="108"/>
      <c r="AC256" s="108"/>
      <c r="AD256" s="108"/>
    </row>
    <row r="257" spans="1:30" ht="13.5" customHeight="1">
      <c r="A257" s="108"/>
      <c r="B257" s="49"/>
      <c r="C257" s="50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  <c r="AA257" s="108"/>
      <c r="AB257" s="108"/>
      <c r="AC257" s="108"/>
      <c r="AD257" s="108"/>
    </row>
    <row r="258" spans="1:30" ht="13.5" customHeight="1">
      <c r="A258" s="108"/>
      <c r="B258" s="49"/>
      <c r="C258" s="50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</row>
    <row r="259" spans="1:30" ht="13.5" customHeight="1">
      <c r="A259" s="108"/>
      <c r="B259" s="49"/>
      <c r="C259" s="50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  <c r="AA259" s="108"/>
      <c r="AB259" s="108"/>
      <c r="AC259" s="108"/>
      <c r="AD259" s="108"/>
    </row>
    <row r="260" spans="1:30" ht="13.5" customHeight="1">
      <c r="A260" s="108"/>
      <c r="B260" s="49"/>
      <c r="C260" s="50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  <c r="AA260" s="108"/>
      <c r="AB260" s="108"/>
      <c r="AC260" s="108"/>
      <c r="AD260" s="108"/>
    </row>
    <row r="261" spans="1:30" ht="13.5" customHeight="1">
      <c r="A261" s="108"/>
      <c r="B261" s="49"/>
      <c r="C261" s="50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  <c r="AA261" s="108"/>
      <c r="AB261" s="108"/>
      <c r="AC261" s="108"/>
      <c r="AD261" s="108"/>
    </row>
    <row r="262" spans="1:30" ht="13.5" customHeight="1">
      <c r="A262" s="108"/>
      <c r="B262" s="49"/>
      <c r="C262" s="50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  <c r="AA262" s="108"/>
      <c r="AB262" s="108"/>
      <c r="AC262" s="108"/>
      <c r="AD262" s="108"/>
    </row>
    <row r="263" spans="1:30" ht="13.5" customHeight="1">
      <c r="A263" s="108"/>
      <c r="B263" s="49"/>
      <c r="C263" s="50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  <c r="AA263" s="108"/>
      <c r="AB263" s="108"/>
      <c r="AC263" s="108"/>
      <c r="AD263" s="108"/>
    </row>
    <row r="264" spans="1:30" ht="13.5" customHeight="1">
      <c r="A264" s="108"/>
      <c r="B264" s="49"/>
      <c r="C264" s="50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  <c r="AB264" s="108"/>
      <c r="AC264" s="108"/>
      <c r="AD264" s="108"/>
    </row>
    <row r="265" spans="1:30" ht="13.5" customHeight="1">
      <c r="A265" s="108"/>
      <c r="B265" s="49"/>
      <c r="C265" s="50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  <c r="AA265" s="108"/>
      <c r="AB265" s="108"/>
      <c r="AC265" s="108"/>
      <c r="AD265" s="108"/>
    </row>
    <row r="266" spans="1:30" ht="13.5" customHeight="1">
      <c r="A266" s="108"/>
      <c r="B266" s="49"/>
      <c r="C266" s="50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108"/>
      <c r="AB266" s="108"/>
      <c r="AC266" s="108"/>
      <c r="AD266" s="108"/>
    </row>
    <row r="267" spans="1:30" ht="13.5" customHeight="1">
      <c r="A267" s="108"/>
      <c r="B267" s="49"/>
      <c r="C267" s="50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  <c r="AA267" s="108"/>
      <c r="AB267" s="108"/>
      <c r="AC267" s="108"/>
      <c r="AD267" s="108"/>
    </row>
    <row r="268" spans="1:30" ht="13.5" customHeight="1">
      <c r="A268" s="108"/>
      <c r="B268" s="49"/>
      <c r="C268" s="50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</row>
    <row r="269" spans="1:30" ht="13.5" customHeight="1">
      <c r="A269" s="108"/>
      <c r="B269" s="49"/>
      <c r="C269" s="50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</row>
    <row r="270" spans="1:30" ht="13.5" customHeight="1">
      <c r="A270" s="108"/>
      <c r="B270" s="49"/>
      <c r="C270" s="50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</row>
    <row r="271" spans="1:30" ht="13.5" customHeight="1">
      <c r="A271" s="108"/>
      <c r="B271" s="49"/>
      <c r="C271" s="50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</row>
    <row r="272" spans="1:30" ht="13.5" customHeight="1">
      <c r="A272" s="108"/>
      <c r="B272" s="49"/>
      <c r="C272" s="50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</row>
    <row r="273" spans="1:30" ht="13.5" customHeight="1">
      <c r="A273" s="108"/>
      <c r="B273" s="49"/>
      <c r="C273" s="50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  <c r="AA273" s="108"/>
      <c r="AB273" s="108"/>
      <c r="AC273" s="108"/>
      <c r="AD273" s="108"/>
    </row>
    <row r="274" spans="1:30" ht="13.5" customHeight="1">
      <c r="A274" s="108"/>
      <c r="B274" s="49"/>
      <c r="C274" s="50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</row>
    <row r="275" spans="1:30" ht="13.5" customHeight="1">
      <c r="A275" s="108"/>
      <c r="B275" s="49"/>
      <c r="C275" s="50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  <c r="AA275" s="108"/>
      <c r="AB275" s="108"/>
      <c r="AC275" s="108"/>
      <c r="AD275" s="108"/>
    </row>
    <row r="276" spans="1:30" ht="13.5" customHeight="1">
      <c r="A276" s="108"/>
      <c r="B276" s="49"/>
      <c r="C276" s="50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  <c r="AA276" s="108"/>
      <c r="AB276" s="108"/>
      <c r="AC276" s="108"/>
      <c r="AD276" s="108"/>
    </row>
    <row r="277" spans="1:30" ht="13.5" customHeight="1">
      <c r="A277" s="108"/>
      <c r="B277" s="49"/>
      <c r="C277" s="50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  <c r="AA277" s="108"/>
      <c r="AB277" s="108"/>
      <c r="AC277" s="108"/>
      <c r="AD277" s="108"/>
    </row>
    <row r="278" spans="1:30" ht="13.5" customHeight="1">
      <c r="A278" s="108"/>
      <c r="B278" s="49"/>
      <c r="C278" s="50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  <c r="AA278" s="108"/>
      <c r="AB278" s="108"/>
      <c r="AC278" s="108"/>
      <c r="AD278" s="108"/>
    </row>
    <row r="279" spans="1:30" ht="13.5" customHeight="1">
      <c r="A279" s="108"/>
      <c r="B279" s="49"/>
      <c r="C279" s="50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</row>
    <row r="280" spans="1:30" ht="13.5" customHeight="1">
      <c r="A280" s="108"/>
      <c r="B280" s="49"/>
      <c r="C280" s="50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  <c r="AA280" s="108"/>
      <c r="AB280" s="108"/>
      <c r="AC280" s="108"/>
      <c r="AD280" s="108"/>
    </row>
    <row r="281" spans="1:30" ht="13.5" customHeight="1">
      <c r="A281" s="108"/>
      <c r="B281" s="49"/>
      <c r="C281" s="50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  <c r="AA281" s="108"/>
      <c r="AB281" s="108"/>
      <c r="AC281" s="108"/>
      <c r="AD281" s="108"/>
    </row>
    <row r="282" spans="1:30" ht="13.5" customHeight="1">
      <c r="A282" s="108"/>
      <c r="B282" s="49"/>
      <c r="C282" s="50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  <c r="AA282" s="108"/>
      <c r="AB282" s="108"/>
      <c r="AC282" s="108"/>
      <c r="AD282" s="108"/>
    </row>
    <row r="283" spans="1:30" ht="13.5" customHeight="1">
      <c r="A283" s="108"/>
      <c r="B283" s="49"/>
      <c r="C283" s="50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  <c r="AA283" s="108"/>
      <c r="AB283" s="108"/>
      <c r="AC283" s="108"/>
      <c r="AD283" s="108"/>
    </row>
    <row r="284" spans="1:30" ht="13.5" customHeight="1">
      <c r="A284" s="108"/>
      <c r="B284" s="49"/>
      <c r="C284" s="50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  <c r="AA284" s="108"/>
      <c r="AB284" s="108"/>
      <c r="AC284" s="108"/>
      <c r="AD284" s="108"/>
    </row>
    <row r="285" spans="1:30" ht="13.5" customHeight="1">
      <c r="A285" s="108"/>
      <c r="B285" s="49"/>
      <c r="C285" s="50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  <c r="AA285" s="108"/>
      <c r="AB285" s="108"/>
      <c r="AC285" s="108"/>
      <c r="AD285" s="108"/>
    </row>
    <row r="286" spans="1:30" ht="13.5" customHeight="1">
      <c r="A286" s="108"/>
      <c r="B286" s="49"/>
      <c r="C286" s="50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  <c r="AA286" s="108"/>
      <c r="AB286" s="108"/>
      <c r="AC286" s="108"/>
      <c r="AD286" s="108"/>
    </row>
    <row r="287" spans="1:30" ht="13.5" customHeight="1">
      <c r="A287" s="108"/>
      <c r="B287" s="49"/>
      <c r="C287" s="50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  <c r="AA287" s="108"/>
      <c r="AB287" s="108"/>
      <c r="AC287" s="108"/>
      <c r="AD287" s="108"/>
    </row>
    <row r="288" spans="1:30" ht="13.5" customHeight="1">
      <c r="A288" s="108"/>
      <c r="B288" s="49"/>
      <c r="C288" s="50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  <c r="AA288" s="108"/>
      <c r="AB288" s="108"/>
      <c r="AC288" s="108"/>
      <c r="AD288" s="108"/>
    </row>
    <row r="289" spans="1:30" ht="13.5" customHeight="1">
      <c r="A289" s="108"/>
      <c r="B289" s="49"/>
      <c r="C289" s="50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  <c r="AA289" s="108"/>
      <c r="AB289" s="108"/>
      <c r="AC289" s="108"/>
      <c r="AD289" s="108"/>
    </row>
    <row r="290" spans="1:30" ht="13.5" customHeight="1">
      <c r="A290" s="108"/>
      <c r="B290" s="49"/>
      <c r="C290" s="50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  <c r="AA290" s="108"/>
      <c r="AB290" s="108"/>
      <c r="AC290" s="108"/>
      <c r="AD290" s="108"/>
    </row>
    <row r="291" spans="1:30" ht="13.5" customHeight="1">
      <c r="A291" s="108"/>
      <c r="B291" s="49"/>
      <c r="C291" s="50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  <c r="AA291" s="108"/>
      <c r="AB291" s="108"/>
      <c r="AC291" s="108"/>
      <c r="AD291" s="108"/>
    </row>
    <row r="292" spans="1:30" ht="13.5" customHeight="1">
      <c r="A292" s="108"/>
      <c r="B292" s="49"/>
      <c r="C292" s="50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  <c r="AA292" s="108"/>
      <c r="AB292" s="108"/>
      <c r="AC292" s="108"/>
      <c r="AD292" s="108"/>
    </row>
    <row r="293" spans="1:30" ht="13.5" customHeight="1">
      <c r="A293" s="108"/>
      <c r="B293" s="49"/>
      <c r="C293" s="50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  <c r="AA293" s="108"/>
      <c r="AB293" s="108"/>
      <c r="AC293" s="108"/>
      <c r="AD293" s="108"/>
    </row>
    <row r="294" spans="1:30" ht="13.5" customHeight="1">
      <c r="A294" s="108"/>
      <c r="B294" s="49"/>
      <c r="C294" s="50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  <c r="AA294" s="108"/>
      <c r="AB294" s="108"/>
      <c r="AC294" s="108"/>
      <c r="AD294" s="108"/>
    </row>
    <row r="295" spans="1:30" ht="13.5" customHeight="1">
      <c r="A295" s="108"/>
      <c r="B295" s="49"/>
      <c r="C295" s="50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  <c r="AA295" s="108"/>
      <c r="AB295" s="108"/>
      <c r="AC295" s="108"/>
      <c r="AD295" s="108"/>
    </row>
    <row r="296" spans="1:30" ht="13.5" customHeight="1">
      <c r="A296" s="108"/>
      <c r="B296" s="49"/>
      <c r="C296" s="50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  <c r="AA296" s="108"/>
      <c r="AB296" s="108"/>
      <c r="AC296" s="108"/>
      <c r="AD296" s="108"/>
    </row>
    <row r="297" spans="1:30" ht="13.5" customHeight="1">
      <c r="A297" s="108"/>
      <c r="B297" s="49"/>
      <c r="C297" s="50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  <c r="AA297" s="108"/>
      <c r="AB297" s="108"/>
      <c r="AC297" s="108"/>
      <c r="AD297" s="108"/>
    </row>
    <row r="298" spans="1:30" ht="13.5" customHeight="1">
      <c r="A298" s="108"/>
      <c r="B298" s="49"/>
      <c r="C298" s="50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  <c r="AA298" s="108"/>
      <c r="AB298" s="108"/>
      <c r="AC298" s="108"/>
      <c r="AD298" s="108"/>
    </row>
    <row r="299" spans="1:30" ht="13.5" customHeight="1">
      <c r="A299" s="108"/>
      <c r="B299" s="49"/>
      <c r="C299" s="50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  <c r="AA299" s="108"/>
      <c r="AB299" s="108"/>
      <c r="AC299" s="108"/>
      <c r="AD299" s="108"/>
    </row>
    <row r="300" spans="1:30" ht="13.5" customHeight="1">
      <c r="A300" s="108"/>
      <c r="B300" s="49"/>
      <c r="C300" s="50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  <c r="AA300" s="108"/>
      <c r="AB300" s="108"/>
      <c r="AC300" s="108"/>
      <c r="AD300" s="108"/>
    </row>
    <row r="301" spans="1:30" ht="13.5" customHeight="1">
      <c r="A301" s="108"/>
      <c r="B301" s="49"/>
      <c r="C301" s="50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  <c r="AA301" s="108"/>
      <c r="AB301" s="108"/>
      <c r="AC301" s="108"/>
      <c r="AD301" s="108"/>
    </row>
    <row r="302" spans="1:30" ht="13.5" customHeight="1">
      <c r="A302" s="108"/>
      <c r="B302" s="49"/>
      <c r="C302" s="50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  <c r="AA302" s="108"/>
      <c r="AB302" s="108"/>
      <c r="AC302" s="108"/>
      <c r="AD302" s="108"/>
    </row>
    <row r="303" spans="1:30" ht="13.5" customHeight="1">
      <c r="A303" s="108"/>
      <c r="B303" s="49"/>
      <c r="C303" s="50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  <c r="AA303" s="108"/>
      <c r="AB303" s="108"/>
      <c r="AC303" s="108"/>
      <c r="AD303" s="108"/>
    </row>
    <row r="304" spans="1:30" ht="13.5" customHeight="1">
      <c r="A304" s="108"/>
      <c r="B304" s="49"/>
      <c r="C304" s="50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  <c r="AA304" s="108"/>
      <c r="AB304" s="108"/>
      <c r="AC304" s="108"/>
      <c r="AD304" s="108"/>
    </row>
    <row r="305" spans="1:30" ht="13.5" customHeight="1">
      <c r="A305" s="108"/>
      <c r="B305" s="49"/>
      <c r="C305" s="50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  <c r="AA305" s="108"/>
      <c r="AB305" s="108"/>
      <c r="AC305" s="108"/>
      <c r="AD305" s="108"/>
    </row>
    <row r="306" spans="1:30" ht="13.5" customHeight="1">
      <c r="A306" s="108"/>
      <c r="B306" s="49"/>
      <c r="C306" s="50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  <c r="AA306" s="108"/>
      <c r="AB306" s="108"/>
      <c r="AC306" s="108"/>
      <c r="AD306" s="108"/>
    </row>
    <row r="307" spans="1:30" ht="13.5" customHeight="1">
      <c r="A307" s="108"/>
      <c r="B307" s="49"/>
      <c r="C307" s="50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  <c r="AA307" s="108"/>
      <c r="AB307" s="108"/>
      <c r="AC307" s="108"/>
      <c r="AD307" s="108"/>
    </row>
    <row r="308" spans="1:30" ht="13.5" customHeight="1">
      <c r="A308" s="108"/>
      <c r="B308" s="49"/>
      <c r="C308" s="50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  <c r="AA308" s="108"/>
      <c r="AB308" s="108"/>
      <c r="AC308" s="108"/>
      <c r="AD308" s="108"/>
    </row>
    <row r="309" spans="1:30" ht="13.5" customHeight="1">
      <c r="A309" s="108"/>
      <c r="B309" s="49"/>
      <c r="C309" s="50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  <c r="AA309" s="108"/>
      <c r="AB309" s="108"/>
      <c r="AC309" s="108"/>
      <c r="AD309" s="108"/>
    </row>
    <row r="310" spans="1:30" ht="13.5" customHeight="1">
      <c r="A310" s="108"/>
      <c r="B310" s="49"/>
      <c r="C310" s="50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  <c r="AA310" s="108"/>
      <c r="AB310" s="108"/>
      <c r="AC310" s="108"/>
      <c r="AD310" s="108"/>
    </row>
    <row r="311" spans="1:30" ht="13.5" customHeight="1">
      <c r="A311" s="108"/>
      <c r="B311" s="49"/>
      <c r="C311" s="50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  <c r="AA311" s="108"/>
      <c r="AB311" s="108"/>
      <c r="AC311" s="108"/>
      <c r="AD311" s="108"/>
    </row>
    <row r="312" spans="1:30" ht="13.5" customHeight="1">
      <c r="A312" s="108"/>
      <c r="B312" s="49"/>
      <c r="C312" s="50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  <c r="AA312" s="108"/>
      <c r="AB312" s="108"/>
      <c r="AC312" s="108"/>
      <c r="AD312" s="108"/>
    </row>
    <row r="313" spans="1:30" ht="13.5" customHeight="1">
      <c r="A313" s="108"/>
      <c r="B313" s="49"/>
      <c r="C313" s="50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  <c r="AA313" s="108"/>
      <c r="AB313" s="108"/>
      <c r="AC313" s="108"/>
      <c r="AD313" s="108"/>
    </row>
    <row r="314" spans="1:30" ht="13.5" customHeight="1">
      <c r="A314" s="108"/>
      <c r="B314" s="49"/>
      <c r="C314" s="50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  <c r="AA314" s="108"/>
      <c r="AB314" s="108"/>
      <c r="AC314" s="108"/>
      <c r="AD314" s="108"/>
    </row>
    <row r="315" spans="1:30" ht="13.5" customHeight="1">
      <c r="A315" s="108"/>
      <c r="B315" s="49"/>
      <c r="C315" s="50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  <c r="AA315" s="108"/>
      <c r="AB315" s="108"/>
      <c r="AC315" s="108"/>
      <c r="AD315" s="108"/>
    </row>
    <row r="316" spans="1:30" ht="13.5" customHeight="1">
      <c r="A316" s="108"/>
      <c r="B316" s="49"/>
      <c r="C316" s="50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  <c r="AA316" s="108"/>
      <c r="AB316" s="108"/>
      <c r="AC316" s="108"/>
      <c r="AD316" s="108"/>
    </row>
    <row r="317" spans="1:30" ht="13.5" customHeight="1">
      <c r="A317" s="108"/>
      <c r="B317" s="49"/>
      <c r="C317" s="50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  <c r="AA317" s="108"/>
      <c r="AB317" s="108"/>
      <c r="AC317" s="108"/>
      <c r="AD317" s="108"/>
    </row>
    <row r="318" spans="1:30" ht="13.5" customHeight="1">
      <c r="A318" s="108"/>
      <c r="B318" s="49"/>
      <c r="C318" s="50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  <c r="AA318" s="108"/>
      <c r="AB318" s="108"/>
      <c r="AC318" s="108"/>
      <c r="AD318" s="108"/>
    </row>
    <row r="319" spans="1:30" ht="13.5" customHeight="1">
      <c r="A319" s="108"/>
      <c r="B319" s="49"/>
      <c r="C319" s="50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  <c r="AA319" s="108"/>
      <c r="AB319" s="108"/>
      <c r="AC319" s="108"/>
      <c r="AD319" s="108"/>
    </row>
    <row r="320" spans="1:30" ht="13.5" customHeight="1">
      <c r="A320" s="108"/>
      <c r="B320" s="49"/>
      <c r="C320" s="50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  <c r="AA320" s="108"/>
      <c r="AB320" s="108"/>
      <c r="AC320" s="108"/>
      <c r="AD320" s="108"/>
    </row>
    <row r="321" spans="1:30" ht="13.5" customHeight="1">
      <c r="A321" s="108"/>
      <c r="B321" s="49"/>
      <c r="C321" s="50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  <c r="AA321" s="108"/>
      <c r="AB321" s="108"/>
      <c r="AC321" s="108"/>
      <c r="AD321" s="108"/>
    </row>
    <row r="322" spans="1:30" ht="13.5" customHeight="1">
      <c r="A322" s="108"/>
      <c r="B322" s="49"/>
      <c r="C322" s="50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  <c r="AA322" s="108"/>
      <c r="AB322" s="108"/>
      <c r="AC322" s="108"/>
      <c r="AD322" s="108"/>
    </row>
    <row r="323" spans="1:30" ht="13.5" customHeight="1">
      <c r="A323" s="108"/>
      <c r="B323" s="49"/>
      <c r="C323" s="50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  <c r="AA323" s="108"/>
      <c r="AB323" s="108"/>
      <c r="AC323" s="108"/>
      <c r="AD323" s="108"/>
    </row>
    <row r="324" spans="1:30" ht="13.5" customHeight="1">
      <c r="A324" s="108"/>
      <c r="B324" s="49"/>
      <c r="C324" s="50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  <c r="AA324" s="108"/>
      <c r="AB324" s="108"/>
      <c r="AC324" s="108"/>
      <c r="AD324" s="108"/>
    </row>
    <row r="325" spans="1:30" ht="13.5" customHeight="1">
      <c r="A325" s="108"/>
      <c r="B325" s="49"/>
      <c r="C325" s="50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  <c r="AB325" s="108"/>
      <c r="AC325" s="108"/>
      <c r="AD325" s="108"/>
    </row>
    <row r="326" spans="1:30" ht="13.5" customHeight="1">
      <c r="A326" s="108"/>
      <c r="B326" s="49"/>
      <c r="C326" s="50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  <c r="AA326" s="108"/>
      <c r="AB326" s="108"/>
      <c r="AC326" s="108"/>
      <c r="AD326" s="108"/>
    </row>
    <row r="327" spans="1:30" ht="13.5" customHeight="1">
      <c r="A327" s="108"/>
      <c r="B327" s="49"/>
      <c r="C327" s="50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  <c r="AA327" s="108"/>
      <c r="AB327" s="108"/>
      <c r="AC327" s="108"/>
      <c r="AD327" s="108"/>
    </row>
    <row r="328" spans="1:30" ht="13.5" customHeight="1">
      <c r="A328" s="108"/>
      <c r="B328" s="49"/>
      <c r="C328" s="50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  <c r="AA328" s="108"/>
      <c r="AB328" s="108"/>
      <c r="AC328" s="108"/>
      <c r="AD328" s="108"/>
    </row>
    <row r="329" spans="1:30" ht="13.5" customHeight="1">
      <c r="A329" s="108"/>
      <c r="B329" s="49"/>
      <c r="C329" s="50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  <c r="AA329" s="108"/>
      <c r="AB329" s="108"/>
      <c r="AC329" s="108"/>
      <c r="AD329" s="108"/>
    </row>
    <row r="330" spans="1:30" ht="13.5" customHeight="1">
      <c r="A330" s="108"/>
      <c r="B330" s="49"/>
      <c r="C330" s="50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  <c r="AA330" s="108"/>
      <c r="AB330" s="108"/>
      <c r="AC330" s="108"/>
      <c r="AD330" s="108"/>
    </row>
    <row r="331" spans="1:30" ht="13.5" customHeight="1">
      <c r="A331" s="108"/>
      <c r="B331" s="49"/>
      <c r="C331" s="50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  <c r="AA331" s="108"/>
      <c r="AB331" s="108"/>
      <c r="AC331" s="108"/>
      <c r="AD331" s="108"/>
    </row>
    <row r="332" spans="1:30" ht="13.5" customHeight="1">
      <c r="A332" s="108"/>
      <c r="B332" s="49"/>
      <c r="C332" s="50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  <c r="AA332" s="108"/>
      <c r="AB332" s="108"/>
      <c r="AC332" s="108"/>
      <c r="AD332" s="108"/>
    </row>
    <row r="333" spans="1:30" ht="13.5" customHeight="1">
      <c r="A333" s="108"/>
      <c r="B333" s="49"/>
      <c r="C333" s="50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  <c r="AA333" s="108"/>
      <c r="AB333" s="108"/>
      <c r="AC333" s="108"/>
      <c r="AD333" s="108"/>
    </row>
    <row r="334" spans="1:30" ht="13.5" customHeight="1">
      <c r="A334" s="108"/>
      <c r="B334" s="49"/>
      <c r="C334" s="50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  <c r="AA334" s="108"/>
      <c r="AB334" s="108"/>
      <c r="AC334" s="108"/>
      <c r="AD334" s="108"/>
    </row>
    <row r="335" spans="1:30" ht="13.5" customHeight="1">
      <c r="A335" s="108"/>
      <c r="B335" s="49"/>
      <c r="C335" s="50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  <c r="AA335" s="108"/>
      <c r="AB335" s="108"/>
      <c r="AC335" s="108"/>
      <c r="AD335" s="108"/>
    </row>
    <row r="336" spans="1:30" ht="13.5" customHeight="1">
      <c r="A336" s="108"/>
      <c r="B336" s="49"/>
      <c r="C336" s="50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  <c r="AA336" s="108"/>
      <c r="AB336" s="108"/>
      <c r="AC336" s="108"/>
      <c r="AD336" s="108"/>
    </row>
    <row r="337" spans="1:30" ht="13.5" customHeight="1">
      <c r="A337" s="108"/>
      <c r="B337" s="49"/>
      <c r="C337" s="50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  <c r="AA337" s="108"/>
      <c r="AB337" s="108"/>
      <c r="AC337" s="108"/>
      <c r="AD337" s="108"/>
    </row>
    <row r="338" spans="1:30" ht="13.5" customHeight="1">
      <c r="A338" s="108"/>
      <c r="B338" s="49"/>
      <c r="C338" s="50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</row>
    <row r="339" spans="1:30" ht="13.5" customHeight="1">
      <c r="A339" s="108"/>
      <c r="B339" s="49"/>
      <c r="C339" s="50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  <c r="AA339" s="108"/>
      <c r="AB339" s="108"/>
      <c r="AC339" s="108"/>
      <c r="AD339" s="108"/>
    </row>
    <row r="340" spans="1:30" ht="13.5" customHeight="1">
      <c r="A340" s="108"/>
      <c r="B340" s="49"/>
      <c r="C340" s="50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  <c r="AA340" s="108"/>
      <c r="AB340" s="108"/>
      <c r="AC340" s="108"/>
      <c r="AD340" s="108"/>
    </row>
    <row r="341" spans="1:30" ht="13.5" customHeight="1">
      <c r="A341" s="108"/>
      <c r="B341" s="49"/>
      <c r="C341" s="50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  <c r="AA341" s="108"/>
      <c r="AB341" s="108"/>
      <c r="AC341" s="108"/>
      <c r="AD341" s="108"/>
    </row>
    <row r="342" spans="1:30" ht="13.5" customHeight="1">
      <c r="A342" s="108"/>
      <c r="B342" s="49"/>
      <c r="C342" s="50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  <c r="AA342" s="108"/>
      <c r="AB342" s="108"/>
      <c r="AC342" s="108"/>
      <c r="AD342" s="108"/>
    </row>
    <row r="343" spans="1:30" ht="13.5" customHeight="1">
      <c r="A343" s="108"/>
      <c r="B343" s="49"/>
      <c r="C343" s="50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  <c r="AA343" s="108"/>
      <c r="AB343" s="108"/>
      <c r="AC343" s="108"/>
      <c r="AD343" s="108"/>
    </row>
    <row r="344" spans="1:30" ht="13.5" customHeight="1">
      <c r="A344" s="108"/>
      <c r="B344" s="49"/>
      <c r="C344" s="50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  <c r="AB344" s="108"/>
      <c r="AC344" s="108"/>
      <c r="AD344" s="108"/>
    </row>
    <row r="345" spans="1:30" ht="13.5" customHeight="1">
      <c r="A345" s="108"/>
      <c r="B345" s="49"/>
      <c r="C345" s="50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  <c r="AA345" s="108"/>
      <c r="AB345" s="108"/>
      <c r="AC345" s="108"/>
      <c r="AD345" s="108"/>
    </row>
    <row r="346" spans="1:30" ht="13.5" customHeight="1">
      <c r="A346" s="108"/>
      <c r="B346" s="49"/>
      <c r="C346" s="50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  <c r="AA346" s="108"/>
      <c r="AB346" s="108"/>
      <c r="AC346" s="108"/>
      <c r="AD346" s="108"/>
    </row>
    <row r="347" spans="1:30" ht="13.5" customHeight="1">
      <c r="A347" s="108"/>
      <c r="B347" s="49"/>
      <c r="C347" s="50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  <c r="AA347" s="108"/>
      <c r="AB347" s="108"/>
      <c r="AC347" s="108"/>
      <c r="AD347" s="108"/>
    </row>
    <row r="348" spans="1:30" ht="13.5" customHeight="1">
      <c r="A348" s="108"/>
      <c r="B348" s="49"/>
      <c r="C348" s="50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</row>
    <row r="349" spans="1:30" ht="13.5" customHeight="1">
      <c r="A349" s="108"/>
      <c r="B349" s="49"/>
      <c r="C349" s="50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</row>
    <row r="350" spans="1:30" ht="13.5" customHeight="1">
      <c r="A350" s="108"/>
      <c r="B350" s="49"/>
      <c r="C350" s="50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</row>
    <row r="351" spans="1:30" ht="13.5" customHeight="1">
      <c r="A351" s="108"/>
      <c r="B351" s="49"/>
      <c r="C351" s="50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</row>
    <row r="352" spans="1:30" ht="13.5" customHeight="1">
      <c r="A352" s="108"/>
      <c r="B352" s="49"/>
      <c r="C352" s="50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</row>
    <row r="353" spans="1:30" ht="13.5" customHeight="1">
      <c r="A353" s="108"/>
      <c r="B353" s="49"/>
      <c r="C353" s="50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  <c r="AA353" s="108"/>
      <c r="AB353" s="108"/>
      <c r="AC353" s="108"/>
      <c r="AD353" s="108"/>
    </row>
    <row r="354" spans="1:30" ht="13.5" customHeight="1">
      <c r="A354" s="108"/>
      <c r="B354" s="49"/>
      <c r="C354" s="50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  <c r="AA354" s="108"/>
      <c r="AB354" s="108"/>
      <c r="AC354" s="108"/>
      <c r="AD354" s="108"/>
    </row>
    <row r="355" spans="1:30" ht="13.5" customHeight="1">
      <c r="A355" s="108"/>
      <c r="B355" s="49"/>
      <c r="C355" s="50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  <c r="AA355" s="108"/>
      <c r="AB355" s="108"/>
      <c r="AC355" s="108"/>
      <c r="AD355" s="108"/>
    </row>
    <row r="356" spans="1:30" ht="13.5" customHeight="1">
      <c r="A356" s="108"/>
      <c r="B356" s="49"/>
      <c r="C356" s="50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  <c r="AB356" s="108"/>
      <c r="AC356" s="108"/>
      <c r="AD356" s="108"/>
    </row>
    <row r="357" spans="1:30" ht="13.5" customHeight="1">
      <c r="A357" s="108"/>
      <c r="B357" s="49"/>
      <c r="C357" s="50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  <c r="AA357" s="108"/>
      <c r="AB357" s="108"/>
      <c r="AC357" s="108"/>
      <c r="AD357" s="108"/>
    </row>
    <row r="358" spans="1:30" ht="13.5" customHeight="1">
      <c r="A358" s="108"/>
      <c r="B358" s="49"/>
      <c r="C358" s="50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  <c r="AA358" s="108"/>
      <c r="AB358" s="108"/>
      <c r="AC358" s="108"/>
      <c r="AD358" s="108"/>
    </row>
    <row r="359" spans="1:30" ht="13.5" customHeight="1">
      <c r="A359" s="108"/>
      <c r="B359" s="49"/>
      <c r="C359" s="50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  <c r="AA359" s="108"/>
      <c r="AB359" s="108"/>
      <c r="AC359" s="108"/>
      <c r="AD359" s="108"/>
    </row>
    <row r="360" spans="1:30" ht="13.5" customHeight="1">
      <c r="A360" s="108"/>
      <c r="B360" s="49"/>
      <c r="C360" s="50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  <c r="AA360" s="108"/>
      <c r="AB360" s="108"/>
      <c r="AC360" s="108"/>
      <c r="AD360" s="108"/>
    </row>
    <row r="361" spans="1:30" ht="13.5" customHeight="1">
      <c r="A361" s="108"/>
      <c r="B361" s="49"/>
      <c r="C361" s="50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  <c r="AA361" s="108"/>
      <c r="AB361" s="108"/>
      <c r="AC361" s="108"/>
      <c r="AD361" s="108"/>
    </row>
    <row r="362" spans="1:30" ht="13.5" customHeight="1">
      <c r="A362" s="108"/>
      <c r="B362" s="49"/>
      <c r="C362" s="50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  <c r="AA362" s="108"/>
      <c r="AB362" s="108"/>
      <c r="AC362" s="108"/>
      <c r="AD362" s="108"/>
    </row>
    <row r="363" spans="1:30" ht="13.5" customHeight="1">
      <c r="A363" s="108"/>
      <c r="B363" s="49"/>
      <c r="C363" s="50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  <c r="AA363" s="108"/>
      <c r="AB363" s="108"/>
      <c r="AC363" s="108"/>
      <c r="AD363" s="108"/>
    </row>
    <row r="364" spans="1:30" ht="13.5" customHeight="1">
      <c r="A364" s="108"/>
      <c r="B364" s="49"/>
      <c r="C364" s="50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  <c r="AA364" s="108"/>
      <c r="AB364" s="108"/>
      <c r="AC364" s="108"/>
      <c r="AD364" s="108"/>
    </row>
    <row r="365" spans="1:30" ht="13.5" customHeight="1">
      <c r="A365" s="108"/>
      <c r="B365" s="49"/>
      <c r="C365" s="50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  <c r="AA365" s="108"/>
      <c r="AB365" s="108"/>
      <c r="AC365" s="108"/>
      <c r="AD365" s="108"/>
    </row>
    <row r="366" spans="1:30" ht="13.5" customHeight="1">
      <c r="A366" s="108"/>
      <c r="B366" s="49"/>
      <c r="C366" s="50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  <c r="AA366" s="108"/>
      <c r="AB366" s="108"/>
      <c r="AC366" s="108"/>
      <c r="AD366" s="108"/>
    </row>
    <row r="367" spans="1:30" ht="13.5" customHeight="1">
      <c r="A367" s="108"/>
      <c r="B367" s="49"/>
      <c r="C367" s="50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  <c r="AA367" s="108"/>
      <c r="AB367" s="108"/>
      <c r="AC367" s="108"/>
      <c r="AD367" s="108"/>
    </row>
    <row r="368" spans="1:30" ht="13.5" customHeight="1">
      <c r="A368" s="108"/>
      <c r="B368" s="49"/>
      <c r="C368" s="50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  <c r="AA368" s="108"/>
      <c r="AB368" s="108"/>
      <c r="AC368" s="108"/>
      <c r="AD368" s="108"/>
    </row>
    <row r="369" spans="1:30" ht="13.5" customHeight="1">
      <c r="A369" s="108"/>
      <c r="B369" s="49"/>
      <c r="C369" s="50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  <c r="AA369" s="108"/>
      <c r="AB369" s="108"/>
      <c r="AC369" s="108"/>
      <c r="AD369" s="108"/>
    </row>
    <row r="370" spans="1:30" ht="13.5" customHeight="1">
      <c r="A370" s="108"/>
      <c r="B370" s="49"/>
      <c r="C370" s="50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  <c r="AA370" s="108"/>
      <c r="AB370" s="108"/>
      <c r="AC370" s="108"/>
      <c r="AD370" s="108"/>
    </row>
    <row r="371" spans="1:30" ht="13.5" customHeight="1">
      <c r="A371" s="108"/>
      <c r="B371" s="49"/>
      <c r="C371" s="50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  <c r="AB371" s="108"/>
      <c r="AC371" s="108"/>
      <c r="AD371" s="108"/>
    </row>
    <row r="372" spans="1:30" ht="13.5" customHeight="1">
      <c r="A372" s="108"/>
      <c r="B372" s="49"/>
      <c r="C372" s="50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  <c r="AA372" s="108"/>
      <c r="AB372" s="108"/>
      <c r="AC372" s="108"/>
      <c r="AD372" s="108"/>
    </row>
    <row r="373" spans="1:30" ht="13.5" customHeight="1">
      <c r="A373" s="108"/>
      <c r="B373" s="49"/>
      <c r="C373" s="50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  <c r="AA373" s="108"/>
      <c r="AB373" s="108"/>
      <c r="AC373" s="108"/>
      <c r="AD373" s="108"/>
    </row>
    <row r="374" spans="1:30" ht="13.5" customHeight="1">
      <c r="A374" s="108"/>
      <c r="B374" s="49"/>
      <c r="C374" s="50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  <c r="AA374" s="108"/>
      <c r="AB374" s="108"/>
      <c r="AC374" s="108"/>
      <c r="AD374" s="108"/>
    </row>
    <row r="375" spans="1:30" ht="13.5" customHeight="1">
      <c r="A375" s="108"/>
      <c r="B375" s="49"/>
      <c r="C375" s="50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  <c r="AA375" s="108"/>
      <c r="AB375" s="108"/>
      <c r="AC375" s="108"/>
      <c r="AD375" s="108"/>
    </row>
    <row r="376" spans="1:30" ht="13.5" customHeight="1">
      <c r="A376" s="108"/>
      <c r="B376" s="49"/>
      <c r="C376" s="50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  <c r="AA376" s="108"/>
      <c r="AB376" s="108"/>
      <c r="AC376" s="108"/>
      <c r="AD376" s="108"/>
    </row>
    <row r="377" spans="1:30" ht="13.5" customHeight="1">
      <c r="A377" s="108"/>
      <c r="B377" s="49"/>
      <c r="C377" s="50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  <c r="AB377" s="108"/>
      <c r="AC377" s="108"/>
      <c r="AD377" s="108"/>
    </row>
    <row r="378" spans="1:30" ht="13.5" customHeight="1">
      <c r="A378" s="108"/>
      <c r="B378" s="49"/>
      <c r="C378" s="50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  <c r="AA378" s="108"/>
      <c r="AB378" s="108"/>
      <c r="AC378" s="108"/>
      <c r="AD378" s="108"/>
    </row>
    <row r="379" spans="1:30" ht="13.5" customHeight="1">
      <c r="A379" s="108"/>
      <c r="B379" s="49"/>
      <c r="C379" s="50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  <c r="AA379" s="108"/>
      <c r="AB379" s="108"/>
      <c r="AC379" s="108"/>
      <c r="AD379" s="108"/>
    </row>
    <row r="380" spans="1:30" ht="13.5" customHeight="1">
      <c r="A380" s="108"/>
      <c r="B380" s="49"/>
      <c r="C380" s="50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  <c r="AA380" s="108"/>
      <c r="AB380" s="108"/>
      <c r="AC380" s="108"/>
      <c r="AD380" s="108"/>
    </row>
    <row r="381" spans="1:30" ht="13.5" customHeight="1">
      <c r="A381" s="108"/>
      <c r="B381" s="49"/>
      <c r="C381" s="50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  <c r="AA381" s="108"/>
      <c r="AB381" s="108"/>
      <c r="AC381" s="108"/>
      <c r="AD381" s="108"/>
    </row>
    <row r="382" spans="1:30" ht="13.5" customHeight="1">
      <c r="A382" s="108"/>
      <c r="B382" s="49"/>
      <c r="C382" s="50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  <c r="AA382" s="108"/>
      <c r="AB382" s="108"/>
      <c r="AC382" s="108"/>
      <c r="AD382" s="108"/>
    </row>
    <row r="383" spans="1:30" ht="13.5" customHeight="1">
      <c r="A383" s="108"/>
      <c r="B383" s="49"/>
      <c r="C383" s="50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  <c r="AA383" s="108"/>
      <c r="AB383" s="108"/>
      <c r="AC383" s="108"/>
      <c r="AD383" s="108"/>
    </row>
    <row r="384" spans="1:30" ht="13.5" customHeight="1">
      <c r="A384" s="108"/>
      <c r="B384" s="49"/>
      <c r="C384" s="50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  <c r="AA384" s="108"/>
      <c r="AB384" s="108"/>
      <c r="AC384" s="108"/>
      <c r="AD384" s="108"/>
    </row>
    <row r="385" spans="1:30" ht="13.5" customHeight="1">
      <c r="A385" s="108"/>
      <c r="B385" s="49"/>
      <c r="C385" s="50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  <c r="AA385" s="108"/>
      <c r="AB385" s="108"/>
      <c r="AC385" s="108"/>
      <c r="AD385" s="108"/>
    </row>
    <row r="386" spans="1:30" ht="13.5" customHeight="1">
      <c r="A386" s="108"/>
      <c r="B386" s="49"/>
      <c r="C386" s="50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  <c r="AA386" s="108"/>
      <c r="AB386" s="108"/>
      <c r="AC386" s="108"/>
      <c r="AD386" s="108"/>
    </row>
    <row r="387" spans="1:30" ht="13.5" customHeight="1">
      <c r="A387" s="108"/>
      <c r="B387" s="49"/>
      <c r="C387" s="50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  <c r="AA387" s="108"/>
      <c r="AB387" s="108"/>
      <c r="AC387" s="108"/>
      <c r="AD387" s="108"/>
    </row>
    <row r="388" spans="1:30" ht="13.5" customHeight="1">
      <c r="A388" s="108"/>
      <c r="B388" s="49"/>
      <c r="C388" s="50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  <c r="AA388" s="108"/>
      <c r="AB388" s="108"/>
      <c r="AC388" s="108"/>
      <c r="AD388" s="108"/>
    </row>
    <row r="389" spans="1:30" ht="13.5" customHeight="1">
      <c r="A389" s="108"/>
      <c r="B389" s="49"/>
      <c r="C389" s="50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  <c r="AA389" s="108"/>
      <c r="AB389" s="108"/>
      <c r="AC389" s="108"/>
      <c r="AD389" s="108"/>
    </row>
    <row r="390" spans="1:30" ht="13.5" customHeight="1">
      <c r="A390" s="108"/>
      <c r="B390" s="49"/>
      <c r="C390" s="50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  <c r="AA390" s="108"/>
      <c r="AB390" s="108"/>
      <c r="AC390" s="108"/>
      <c r="AD390" s="108"/>
    </row>
    <row r="391" spans="1:30" ht="13.5" customHeight="1">
      <c r="A391" s="108"/>
      <c r="B391" s="49"/>
      <c r="C391" s="50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  <c r="AA391" s="108"/>
      <c r="AB391" s="108"/>
      <c r="AC391" s="108"/>
      <c r="AD391" s="108"/>
    </row>
    <row r="392" spans="1:30" ht="13.5" customHeight="1">
      <c r="A392" s="108"/>
      <c r="B392" s="49"/>
      <c r="C392" s="50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  <c r="AA392" s="108"/>
      <c r="AB392" s="108"/>
      <c r="AC392" s="108"/>
      <c r="AD392" s="108"/>
    </row>
    <row r="393" spans="1:30" ht="13.5" customHeight="1">
      <c r="A393" s="108"/>
      <c r="B393" s="49"/>
      <c r="C393" s="50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  <c r="AA393" s="108"/>
      <c r="AB393" s="108"/>
      <c r="AC393" s="108"/>
      <c r="AD393" s="108"/>
    </row>
    <row r="394" spans="1:30" ht="13.5" customHeight="1">
      <c r="A394" s="108"/>
      <c r="B394" s="49"/>
      <c r="C394" s="50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  <c r="AA394" s="108"/>
      <c r="AB394" s="108"/>
      <c r="AC394" s="108"/>
      <c r="AD394" s="108"/>
    </row>
    <row r="395" spans="1:30" ht="13.5" customHeight="1">
      <c r="A395" s="108"/>
      <c r="B395" s="49"/>
      <c r="C395" s="50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  <c r="AA395" s="108"/>
      <c r="AB395" s="108"/>
      <c r="AC395" s="108"/>
      <c r="AD395" s="108"/>
    </row>
    <row r="396" spans="1:30" ht="13.5" customHeight="1">
      <c r="A396" s="108"/>
      <c r="B396" s="49"/>
      <c r="C396" s="50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  <c r="AA396" s="108"/>
      <c r="AB396" s="108"/>
      <c r="AC396" s="108"/>
      <c r="AD396" s="108"/>
    </row>
    <row r="397" spans="1:30" ht="13.5" customHeight="1">
      <c r="A397" s="108"/>
      <c r="B397" s="49"/>
      <c r="C397" s="50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  <c r="AA397" s="108"/>
      <c r="AB397" s="108"/>
      <c r="AC397" s="108"/>
      <c r="AD397" s="108"/>
    </row>
    <row r="398" spans="1:30" ht="13.5" customHeight="1">
      <c r="A398" s="108"/>
      <c r="B398" s="49"/>
      <c r="C398" s="50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  <c r="AA398" s="108"/>
      <c r="AB398" s="108"/>
      <c r="AC398" s="108"/>
      <c r="AD398" s="108"/>
    </row>
    <row r="399" spans="1:30" ht="13.5" customHeight="1">
      <c r="A399" s="108"/>
      <c r="B399" s="49"/>
      <c r="C399" s="50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  <c r="AA399" s="108"/>
      <c r="AB399" s="108"/>
      <c r="AC399" s="108"/>
      <c r="AD399" s="108"/>
    </row>
    <row r="400" spans="1:30" ht="13.5" customHeight="1">
      <c r="A400" s="108"/>
      <c r="B400" s="49"/>
      <c r="C400" s="50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  <c r="AA400" s="108"/>
      <c r="AB400" s="108"/>
      <c r="AC400" s="108"/>
      <c r="AD400" s="108"/>
    </row>
    <row r="401" spans="1:30" ht="13.5" customHeight="1">
      <c r="A401" s="108"/>
      <c r="B401" s="49"/>
      <c r="C401" s="50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  <c r="AA401" s="108"/>
      <c r="AB401" s="108"/>
      <c r="AC401" s="108"/>
      <c r="AD401" s="108"/>
    </row>
    <row r="402" spans="1:30" ht="13.5" customHeight="1">
      <c r="A402" s="108"/>
      <c r="B402" s="49"/>
      <c r="C402" s="50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  <c r="AA402" s="108"/>
      <c r="AB402" s="108"/>
      <c r="AC402" s="108"/>
      <c r="AD402" s="108"/>
    </row>
    <row r="403" spans="1:30" ht="13.5" customHeight="1">
      <c r="A403" s="108"/>
      <c r="B403" s="49"/>
      <c r="C403" s="50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  <c r="AA403" s="108"/>
      <c r="AB403" s="108"/>
      <c r="AC403" s="108"/>
      <c r="AD403" s="108"/>
    </row>
    <row r="404" spans="1:30" ht="13.5" customHeight="1">
      <c r="A404" s="108"/>
      <c r="B404" s="49"/>
      <c r="C404" s="50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  <c r="AA404" s="108"/>
      <c r="AB404" s="108"/>
      <c r="AC404" s="108"/>
      <c r="AD404" s="108"/>
    </row>
    <row r="405" spans="1:30" ht="13.5" customHeight="1">
      <c r="A405" s="108"/>
      <c r="B405" s="49"/>
      <c r="C405" s="50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  <c r="AA405" s="108"/>
      <c r="AB405" s="108"/>
      <c r="AC405" s="108"/>
      <c r="AD405" s="108"/>
    </row>
    <row r="406" spans="1:30" ht="13.5" customHeight="1">
      <c r="A406" s="108"/>
      <c r="B406" s="49"/>
      <c r="C406" s="50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  <c r="AA406" s="108"/>
      <c r="AB406" s="108"/>
      <c r="AC406" s="108"/>
      <c r="AD406" s="108"/>
    </row>
    <row r="407" spans="1:30" ht="13.5" customHeight="1">
      <c r="A407" s="108"/>
      <c r="B407" s="49"/>
      <c r="C407" s="50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  <c r="AA407" s="108"/>
      <c r="AB407" s="108"/>
      <c r="AC407" s="108"/>
      <c r="AD407" s="108"/>
    </row>
    <row r="408" spans="1:30" ht="13.5" customHeight="1">
      <c r="A408" s="108"/>
      <c r="B408" s="49"/>
      <c r="C408" s="50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  <c r="AA408" s="108"/>
      <c r="AB408" s="108"/>
      <c r="AC408" s="108"/>
      <c r="AD408" s="108"/>
    </row>
    <row r="409" spans="1:30" ht="13.5" customHeight="1">
      <c r="A409" s="108"/>
      <c r="B409" s="49"/>
      <c r="C409" s="50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  <c r="AA409" s="108"/>
      <c r="AB409" s="108"/>
      <c r="AC409" s="108"/>
      <c r="AD409" s="108"/>
    </row>
    <row r="410" spans="1:30" ht="13.5" customHeight="1">
      <c r="A410" s="108"/>
      <c r="B410" s="49"/>
      <c r="C410" s="50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  <c r="AA410" s="108"/>
      <c r="AB410" s="108"/>
      <c r="AC410" s="108"/>
      <c r="AD410" s="108"/>
    </row>
    <row r="411" spans="1:30" ht="13.5" customHeight="1">
      <c r="A411" s="108"/>
      <c r="B411" s="49"/>
      <c r="C411" s="50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  <c r="AA411" s="108"/>
      <c r="AB411" s="108"/>
      <c r="AC411" s="108"/>
      <c r="AD411" s="108"/>
    </row>
    <row r="412" spans="1:30" ht="13.5" customHeight="1">
      <c r="A412" s="108"/>
      <c r="B412" s="49"/>
      <c r="C412" s="50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  <c r="AA412" s="108"/>
      <c r="AB412" s="108"/>
      <c r="AC412" s="108"/>
      <c r="AD412" s="108"/>
    </row>
    <row r="413" spans="1:30" ht="13.5" customHeight="1">
      <c r="A413" s="108"/>
      <c r="B413" s="49"/>
      <c r="C413" s="50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  <c r="AA413" s="108"/>
      <c r="AB413" s="108"/>
      <c r="AC413" s="108"/>
      <c r="AD413" s="108"/>
    </row>
    <row r="414" spans="1:30" ht="13.5" customHeight="1">
      <c r="A414" s="108"/>
      <c r="B414" s="49"/>
      <c r="C414" s="50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  <c r="AA414" s="108"/>
      <c r="AB414" s="108"/>
      <c r="AC414" s="108"/>
      <c r="AD414" s="108"/>
    </row>
    <row r="415" spans="1:30" ht="13.5" customHeight="1">
      <c r="A415" s="108"/>
      <c r="B415" s="49"/>
      <c r="C415" s="50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  <c r="AA415" s="108"/>
      <c r="AB415" s="108"/>
      <c r="AC415" s="108"/>
      <c r="AD415" s="108"/>
    </row>
    <row r="416" spans="1:30" ht="13.5" customHeight="1">
      <c r="A416" s="108"/>
      <c r="B416" s="49"/>
      <c r="C416" s="50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  <c r="AA416" s="108"/>
      <c r="AB416" s="108"/>
      <c r="AC416" s="108"/>
      <c r="AD416" s="108"/>
    </row>
    <row r="417" spans="1:30" ht="13.5" customHeight="1">
      <c r="A417" s="108"/>
      <c r="B417" s="49"/>
      <c r="C417" s="50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  <c r="AA417" s="108"/>
      <c r="AB417" s="108"/>
      <c r="AC417" s="108"/>
      <c r="AD417" s="108"/>
    </row>
    <row r="418" spans="1:30" ht="13.5" customHeight="1">
      <c r="A418" s="108"/>
      <c r="B418" s="49"/>
      <c r="C418" s="50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  <c r="AA418" s="108"/>
      <c r="AB418" s="108"/>
      <c r="AC418" s="108"/>
      <c r="AD418" s="108"/>
    </row>
    <row r="419" spans="1:30" ht="13.5" customHeight="1">
      <c r="A419" s="108"/>
      <c r="B419" s="49"/>
      <c r="C419" s="50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  <c r="AA419" s="108"/>
      <c r="AB419" s="108"/>
      <c r="AC419" s="108"/>
      <c r="AD419" s="108"/>
    </row>
    <row r="420" spans="1:30" ht="13.5" customHeight="1">
      <c r="A420" s="108"/>
      <c r="B420" s="49"/>
      <c r="C420" s="50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  <c r="AA420" s="108"/>
      <c r="AB420" s="108"/>
      <c r="AC420" s="108"/>
      <c r="AD420" s="108"/>
    </row>
    <row r="421" spans="1:30" ht="13.5" customHeight="1">
      <c r="A421" s="108"/>
      <c r="B421" s="49"/>
      <c r="C421" s="50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  <c r="AA421" s="108"/>
      <c r="AB421" s="108"/>
      <c r="AC421" s="108"/>
      <c r="AD421" s="108"/>
    </row>
    <row r="422" spans="1:30" ht="13.5" customHeight="1">
      <c r="A422" s="108"/>
      <c r="B422" s="49"/>
      <c r="C422" s="50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  <c r="AA422" s="108"/>
      <c r="AB422" s="108"/>
      <c r="AC422" s="108"/>
      <c r="AD422" s="108"/>
    </row>
    <row r="423" spans="1:30" ht="13.5" customHeight="1">
      <c r="A423" s="108"/>
      <c r="B423" s="49"/>
      <c r="C423" s="50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  <c r="AA423" s="108"/>
      <c r="AB423" s="108"/>
      <c r="AC423" s="108"/>
      <c r="AD423" s="108"/>
    </row>
    <row r="424" spans="1:30" ht="13.5" customHeight="1">
      <c r="A424" s="108"/>
      <c r="B424" s="49"/>
      <c r="C424" s="50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  <c r="AA424" s="108"/>
      <c r="AB424" s="108"/>
      <c r="AC424" s="108"/>
      <c r="AD424" s="108"/>
    </row>
    <row r="425" spans="1:30" ht="13.5" customHeight="1">
      <c r="A425" s="108"/>
      <c r="B425" s="49"/>
      <c r="C425" s="50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  <c r="AA425" s="108"/>
      <c r="AB425" s="108"/>
      <c r="AC425" s="108"/>
      <c r="AD425" s="108"/>
    </row>
    <row r="426" spans="1:30" ht="13.5" customHeight="1">
      <c r="A426" s="108"/>
      <c r="B426" s="49"/>
      <c r="C426" s="50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  <c r="AA426" s="108"/>
      <c r="AB426" s="108"/>
      <c r="AC426" s="108"/>
      <c r="AD426" s="108"/>
    </row>
    <row r="427" spans="1:30" ht="13.5" customHeight="1">
      <c r="A427" s="108"/>
      <c r="B427" s="49"/>
      <c r="C427" s="50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  <c r="AA427" s="108"/>
      <c r="AB427" s="108"/>
      <c r="AC427" s="108"/>
      <c r="AD427" s="108"/>
    </row>
    <row r="428" spans="1:30" ht="13.5" customHeight="1">
      <c r="A428" s="108"/>
      <c r="B428" s="49"/>
      <c r="C428" s="50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  <c r="AA428" s="108"/>
      <c r="AB428" s="108"/>
      <c r="AC428" s="108"/>
      <c r="AD428" s="108"/>
    </row>
    <row r="429" spans="1:30" ht="13.5" customHeight="1">
      <c r="A429" s="108"/>
      <c r="B429" s="49"/>
      <c r="C429" s="50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  <c r="AB429" s="108"/>
      <c r="AC429" s="108"/>
      <c r="AD429" s="108"/>
    </row>
    <row r="430" spans="1:30" ht="13.5" customHeight="1">
      <c r="A430" s="108"/>
      <c r="B430" s="49"/>
      <c r="C430" s="50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  <c r="AA430" s="108"/>
      <c r="AB430" s="108"/>
      <c r="AC430" s="108"/>
      <c r="AD430" s="108"/>
    </row>
    <row r="431" spans="1:30" ht="13.5" customHeight="1">
      <c r="A431" s="108"/>
      <c r="B431" s="49"/>
      <c r="C431" s="50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  <c r="AA431" s="108"/>
      <c r="AB431" s="108"/>
      <c r="AC431" s="108"/>
      <c r="AD431" s="108"/>
    </row>
    <row r="432" spans="1:30" ht="13.5" customHeight="1">
      <c r="A432" s="108"/>
      <c r="B432" s="49"/>
      <c r="C432" s="50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  <c r="AA432" s="108"/>
      <c r="AB432" s="108"/>
      <c r="AC432" s="108"/>
      <c r="AD432" s="108"/>
    </row>
    <row r="433" spans="1:30" ht="13.5" customHeight="1">
      <c r="A433" s="108"/>
      <c r="B433" s="49"/>
      <c r="C433" s="50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  <c r="AB433" s="108"/>
      <c r="AC433" s="108"/>
      <c r="AD433" s="108"/>
    </row>
    <row r="434" spans="1:30" ht="13.5" customHeight="1">
      <c r="A434" s="108"/>
      <c r="B434" s="49"/>
      <c r="C434" s="50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  <c r="AA434" s="108"/>
      <c r="AB434" s="108"/>
      <c r="AC434" s="108"/>
      <c r="AD434" s="108"/>
    </row>
    <row r="435" spans="1:30" ht="13.5" customHeight="1">
      <c r="A435" s="108"/>
      <c r="B435" s="49"/>
      <c r="C435" s="50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  <c r="AA435" s="108"/>
      <c r="AB435" s="108"/>
      <c r="AC435" s="108"/>
      <c r="AD435" s="108"/>
    </row>
    <row r="436" spans="1:30" ht="13.5" customHeight="1">
      <c r="A436" s="108"/>
      <c r="B436" s="49"/>
      <c r="C436" s="50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  <c r="AA436" s="108"/>
      <c r="AB436" s="108"/>
      <c r="AC436" s="108"/>
      <c r="AD436" s="108"/>
    </row>
    <row r="437" spans="1:30" ht="13.5" customHeight="1">
      <c r="A437" s="108"/>
      <c r="B437" s="49"/>
      <c r="C437" s="50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  <c r="AA437" s="108"/>
      <c r="AB437" s="108"/>
      <c r="AC437" s="108"/>
      <c r="AD437" s="108"/>
    </row>
    <row r="438" spans="1:30" ht="13.5" customHeight="1">
      <c r="A438" s="108"/>
      <c r="B438" s="49"/>
      <c r="C438" s="50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  <c r="AA438" s="108"/>
      <c r="AB438" s="108"/>
      <c r="AC438" s="108"/>
      <c r="AD438" s="108"/>
    </row>
    <row r="439" spans="1:30" ht="13.5" customHeight="1">
      <c r="A439" s="108"/>
      <c r="B439" s="49"/>
      <c r="C439" s="50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  <c r="AA439" s="108"/>
      <c r="AB439" s="108"/>
      <c r="AC439" s="108"/>
      <c r="AD439" s="108"/>
    </row>
    <row r="440" spans="1:30" ht="13.5" customHeight="1">
      <c r="A440" s="108"/>
      <c r="B440" s="49"/>
      <c r="C440" s="50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  <c r="AA440" s="108"/>
      <c r="AB440" s="108"/>
      <c r="AC440" s="108"/>
      <c r="AD440" s="108"/>
    </row>
    <row r="441" spans="1:30" ht="13.5" customHeight="1">
      <c r="A441" s="108"/>
      <c r="B441" s="49"/>
      <c r="C441" s="50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  <c r="AA441" s="108"/>
      <c r="AB441" s="108"/>
      <c r="AC441" s="108"/>
      <c r="AD441" s="108"/>
    </row>
    <row r="442" spans="1:30" ht="13.5" customHeight="1">
      <c r="A442" s="108"/>
      <c r="B442" s="49"/>
      <c r="C442" s="50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  <c r="AA442" s="108"/>
      <c r="AB442" s="108"/>
      <c r="AC442" s="108"/>
      <c r="AD442" s="108"/>
    </row>
    <row r="443" spans="1:30" ht="13.5" customHeight="1">
      <c r="A443" s="108"/>
      <c r="B443" s="49"/>
      <c r="C443" s="50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  <c r="AA443" s="108"/>
      <c r="AB443" s="108"/>
      <c r="AC443" s="108"/>
      <c r="AD443" s="108"/>
    </row>
    <row r="444" spans="1:30" ht="13.5" customHeight="1">
      <c r="A444" s="108"/>
      <c r="B444" s="49"/>
      <c r="C444" s="50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  <c r="AA444" s="108"/>
      <c r="AB444" s="108"/>
      <c r="AC444" s="108"/>
      <c r="AD444" s="108"/>
    </row>
    <row r="445" spans="1:30" ht="13.5" customHeight="1">
      <c r="A445" s="108"/>
      <c r="B445" s="49"/>
      <c r="C445" s="50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  <c r="AA445" s="108"/>
      <c r="AB445" s="108"/>
      <c r="AC445" s="108"/>
      <c r="AD445" s="108"/>
    </row>
    <row r="446" spans="1:30" ht="13.5" customHeight="1">
      <c r="A446" s="108"/>
      <c r="B446" s="49"/>
      <c r="C446" s="50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  <c r="AA446" s="108"/>
      <c r="AB446" s="108"/>
      <c r="AC446" s="108"/>
      <c r="AD446" s="108"/>
    </row>
    <row r="447" spans="1:30" ht="13.5" customHeight="1">
      <c r="A447" s="108"/>
      <c r="B447" s="49"/>
      <c r="C447" s="50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  <c r="AA447" s="108"/>
      <c r="AB447" s="108"/>
      <c r="AC447" s="108"/>
      <c r="AD447" s="108"/>
    </row>
    <row r="448" spans="1:30" ht="13.5" customHeight="1">
      <c r="A448" s="108"/>
      <c r="B448" s="49"/>
      <c r="C448" s="50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  <c r="AB448" s="108"/>
      <c r="AC448" s="108"/>
      <c r="AD448" s="108"/>
    </row>
    <row r="449" spans="1:30" ht="13.5" customHeight="1">
      <c r="A449" s="108"/>
      <c r="B449" s="49"/>
      <c r="C449" s="50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</row>
    <row r="450" spans="1:30" ht="13.5" customHeight="1">
      <c r="A450" s="108"/>
      <c r="B450" s="49"/>
      <c r="C450" s="50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  <c r="AA450" s="108"/>
      <c r="AB450" s="108"/>
      <c r="AC450" s="108"/>
      <c r="AD450" s="108"/>
    </row>
    <row r="451" spans="1:30" ht="13.5" customHeight="1">
      <c r="A451" s="108"/>
      <c r="B451" s="49"/>
      <c r="C451" s="50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</row>
    <row r="452" spans="1:30" ht="13.5" customHeight="1">
      <c r="A452" s="108"/>
      <c r="B452" s="49"/>
      <c r="C452" s="50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  <c r="AA452" s="108"/>
      <c r="AB452" s="108"/>
      <c r="AC452" s="108"/>
      <c r="AD452" s="108"/>
    </row>
    <row r="453" spans="1:30" ht="13.5" customHeight="1">
      <c r="A453" s="108"/>
      <c r="B453" s="49"/>
      <c r="C453" s="50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  <c r="AA453" s="108"/>
      <c r="AB453" s="108"/>
      <c r="AC453" s="108"/>
      <c r="AD453" s="108"/>
    </row>
    <row r="454" spans="1:30" ht="13.5" customHeight="1">
      <c r="A454" s="108"/>
      <c r="B454" s="49"/>
      <c r="C454" s="50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  <c r="AA454" s="108"/>
      <c r="AB454" s="108"/>
      <c r="AC454" s="108"/>
      <c r="AD454" s="108"/>
    </row>
    <row r="455" spans="1:30" ht="13.5" customHeight="1">
      <c r="A455" s="108"/>
      <c r="B455" s="49"/>
      <c r="C455" s="50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  <c r="AA455" s="108"/>
      <c r="AB455" s="108"/>
      <c r="AC455" s="108"/>
      <c r="AD455" s="108"/>
    </row>
    <row r="456" spans="1:30" ht="13.5" customHeight="1">
      <c r="A456" s="108"/>
      <c r="B456" s="49"/>
      <c r="C456" s="50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  <c r="AA456" s="108"/>
      <c r="AB456" s="108"/>
      <c r="AC456" s="108"/>
      <c r="AD456" s="108"/>
    </row>
    <row r="457" spans="1:30" ht="13.5" customHeight="1">
      <c r="A457" s="108"/>
      <c r="B457" s="49"/>
      <c r="C457" s="50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  <c r="AA457" s="108"/>
      <c r="AB457" s="108"/>
      <c r="AC457" s="108"/>
      <c r="AD457" s="108"/>
    </row>
    <row r="458" spans="1:30" ht="13.5" customHeight="1">
      <c r="A458" s="108"/>
      <c r="B458" s="49"/>
      <c r="C458" s="50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  <c r="AA458" s="108"/>
      <c r="AB458" s="108"/>
      <c r="AC458" s="108"/>
      <c r="AD458" s="108"/>
    </row>
    <row r="459" spans="1:30" ht="13.5" customHeight="1">
      <c r="A459" s="108"/>
      <c r="B459" s="49"/>
      <c r="C459" s="50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  <c r="AA459" s="108"/>
      <c r="AB459" s="108"/>
      <c r="AC459" s="108"/>
      <c r="AD459" s="108"/>
    </row>
    <row r="460" spans="1:30" ht="13.5" customHeight="1">
      <c r="A460" s="108"/>
      <c r="B460" s="49"/>
      <c r="C460" s="50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  <c r="AC460" s="108"/>
      <c r="AD460" s="108"/>
    </row>
    <row r="461" spans="1:30" ht="13.5" customHeight="1">
      <c r="A461" s="108"/>
      <c r="B461" s="49"/>
      <c r="C461" s="50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  <c r="AC461" s="108"/>
      <c r="AD461" s="108"/>
    </row>
    <row r="462" spans="1:30" ht="13.5" customHeight="1">
      <c r="A462" s="108"/>
      <c r="B462" s="49"/>
      <c r="C462" s="50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</row>
    <row r="463" spans="1:30" ht="13.5" customHeight="1">
      <c r="A463" s="108"/>
      <c r="B463" s="49"/>
      <c r="C463" s="50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</row>
    <row r="464" spans="1:30" ht="13.5" customHeight="1">
      <c r="A464" s="108"/>
      <c r="B464" s="49"/>
      <c r="C464" s="50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  <c r="AC464" s="108"/>
      <c r="AD464" s="108"/>
    </row>
    <row r="465" spans="1:30" ht="13.5" customHeight="1">
      <c r="A465" s="108"/>
      <c r="B465" s="49"/>
      <c r="C465" s="50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  <c r="AA465" s="108"/>
      <c r="AB465" s="108"/>
      <c r="AC465" s="108"/>
      <c r="AD465" s="108"/>
    </row>
    <row r="466" spans="1:30" ht="13.5" customHeight="1">
      <c r="A466" s="108"/>
      <c r="B466" s="49"/>
      <c r="C466" s="50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  <c r="AA466" s="108"/>
      <c r="AB466" s="108"/>
      <c r="AC466" s="108"/>
      <c r="AD466" s="108"/>
    </row>
    <row r="467" spans="1:30" ht="13.5" customHeight="1">
      <c r="A467" s="108"/>
      <c r="B467" s="49"/>
      <c r="C467" s="50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  <c r="AA467" s="108"/>
      <c r="AB467" s="108"/>
      <c r="AC467" s="108"/>
      <c r="AD467" s="108"/>
    </row>
    <row r="468" spans="1:30" ht="13.5" customHeight="1">
      <c r="A468" s="108"/>
      <c r="B468" s="49"/>
      <c r="C468" s="50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  <c r="AA468" s="108"/>
      <c r="AB468" s="108"/>
      <c r="AC468" s="108"/>
      <c r="AD468" s="108"/>
    </row>
    <row r="469" spans="1:30" ht="13.5" customHeight="1">
      <c r="A469" s="108"/>
      <c r="B469" s="49"/>
      <c r="C469" s="50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  <c r="AA469" s="108"/>
      <c r="AB469" s="108"/>
      <c r="AC469" s="108"/>
      <c r="AD469" s="108"/>
    </row>
    <row r="470" spans="1:30" ht="13.5" customHeight="1">
      <c r="A470" s="108"/>
      <c r="B470" s="49"/>
      <c r="C470" s="50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  <c r="AA470" s="108"/>
      <c r="AB470" s="108"/>
      <c r="AC470" s="108"/>
      <c r="AD470" s="108"/>
    </row>
    <row r="471" spans="1:30" ht="13.5" customHeight="1">
      <c r="A471" s="108"/>
      <c r="B471" s="49"/>
      <c r="C471" s="50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  <c r="AA471" s="108"/>
      <c r="AB471" s="108"/>
      <c r="AC471" s="108"/>
      <c r="AD471" s="108"/>
    </row>
    <row r="472" spans="1:30" ht="13.5" customHeight="1">
      <c r="A472" s="108"/>
      <c r="B472" s="49"/>
      <c r="C472" s="50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  <c r="AA472" s="108"/>
      <c r="AB472" s="108"/>
      <c r="AC472" s="108"/>
      <c r="AD472" s="108"/>
    </row>
    <row r="473" spans="1:30" ht="13.5" customHeight="1">
      <c r="A473" s="108"/>
      <c r="B473" s="49"/>
      <c r="C473" s="50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  <c r="AA473" s="108"/>
      <c r="AB473" s="108"/>
      <c r="AC473" s="108"/>
      <c r="AD473" s="108"/>
    </row>
    <row r="474" spans="1:30" ht="13.5" customHeight="1">
      <c r="A474" s="108"/>
      <c r="B474" s="49"/>
      <c r="C474" s="50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  <c r="AA474" s="108"/>
      <c r="AB474" s="108"/>
      <c r="AC474" s="108"/>
      <c r="AD474" s="108"/>
    </row>
    <row r="475" spans="1:30" ht="13.5" customHeight="1">
      <c r="A475" s="108"/>
      <c r="B475" s="49"/>
      <c r="C475" s="50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  <c r="AA475" s="108"/>
      <c r="AB475" s="108"/>
      <c r="AC475" s="108"/>
      <c r="AD475" s="108"/>
    </row>
    <row r="476" spans="1:30" ht="13.5" customHeight="1">
      <c r="A476" s="108"/>
      <c r="B476" s="49"/>
      <c r="C476" s="50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  <c r="AA476" s="108"/>
      <c r="AB476" s="108"/>
      <c r="AC476" s="108"/>
      <c r="AD476" s="108"/>
    </row>
    <row r="477" spans="1:30" ht="13.5" customHeight="1">
      <c r="A477" s="108"/>
      <c r="B477" s="49"/>
      <c r="C477" s="50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  <c r="AA477" s="108"/>
      <c r="AB477" s="108"/>
      <c r="AC477" s="108"/>
      <c r="AD477" s="108"/>
    </row>
    <row r="478" spans="1:30" ht="13.5" customHeight="1">
      <c r="A478" s="108"/>
      <c r="B478" s="49"/>
      <c r="C478" s="50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  <c r="AA478" s="108"/>
      <c r="AB478" s="108"/>
      <c r="AC478" s="108"/>
      <c r="AD478" s="108"/>
    </row>
    <row r="479" spans="1:30" ht="13.5" customHeight="1">
      <c r="A479" s="108"/>
      <c r="B479" s="49"/>
      <c r="C479" s="50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  <c r="AA479" s="108"/>
      <c r="AB479" s="108"/>
      <c r="AC479" s="108"/>
      <c r="AD479" s="108"/>
    </row>
    <row r="480" spans="1:30" ht="13.5" customHeight="1">
      <c r="A480" s="108"/>
      <c r="B480" s="49"/>
      <c r="C480" s="50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  <c r="AA480" s="108"/>
      <c r="AB480" s="108"/>
      <c r="AC480" s="108"/>
      <c r="AD480" s="108"/>
    </row>
    <row r="481" spans="1:30" ht="13.5" customHeight="1">
      <c r="A481" s="108"/>
      <c r="B481" s="49"/>
      <c r="C481" s="50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  <c r="AB481" s="108"/>
      <c r="AC481" s="108"/>
      <c r="AD481" s="108"/>
    </row>
    <row r="482" spans="1:30" ht="13.5" customHeight="1">
      <c r="A482" s="108"/>
      <c r="B482" s="49"/>
      <c r="C482" s="50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  <c r="AA482" s="108"/>
      <c r="AB482" s="108"/>
      <c r="AC482" s="108"/>
      <c r="AD482" s="108"/>
    </row>
    <row r="483" spans="1:30" ht="13.5" customHeight="1">
      <c r="A483" s="108"/>
      <c r="B483" s="49"/>
      <c r="C483" s="50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  <c r="AA483" s="108"/>
      <c r="AB483" s="108"/>
      <c r="AC483" s="108"/>
      <c r="AD483" s="108"/>
    </row>
    <row r="484" spans="1:30" ht="13.5" customHeight="1">
      <c r="A484" s="108"/>
      <c r="B484" s="49"/>
      <c r="C484" s="50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  <c r="AA484" s="108"/>
      <c r="AB484" s="108"/>
      <c r="AC484" s="108"/>
      <c r="AD484" s="108"/>
    </row>
    <row r="485" spans="1:30" ht="13.5" customHeight="1">
      <c r="A485" s="108"/>
      <c r="B485" s="49"/>
      <c r="C485" s="50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  <c r="AA485" s="108"/>
      <c r="AB485" s="108"/>
      <c r="AC485" s="108"/>
      <c r="AD485" s="108"/>
    </row>
    <row r="486" spans="1:30" ht="13.5" customHeight="1">
      <c r="A486" s="108"/>
      <c r="B486" s="49"/>
      <c r="C486" s="50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  <c r="AA486" s="108"/>
      <c r="AB486" s="108"/>
      <c r="AC486" s="108"/>
      <c r="AD486" s="108"/>
    </row>
    <row r="487" spans="1:30" ht="13.5" customHeight="1">
      <c r="A487" s="108"/>
      <c r="B487" s="49"/>
      <c r="C487" s="50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  <c r="AA487" s="108"/>
      <c r="AB487" s="108"/>
      <c r="AC487" s="108"/>
      <c r="AD487" s="108"/>
    </row>
    <row r="488" spans="1:30" ht="13.5" customHeight="1">
      <c r="A488" s="108"/>
      <c r="B488" s="49"/>
      <c r="C488" s="50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  <c r="AA488" s="108"/>
      <c r="AB488" s="108"/>
      <c r="AC488" s="108"/>
      <c r="AD488" s="108"/>
    </row>
    <row r="489" spans="1:30" ht="13.5" customHeight="1">
      <c r="A489" s="108"/>
      <c r="B489" s="49"/>
      <c r="C489" s="50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  <c r="AA489" s="108"/>
      <c r="AB489" s="108"/>
      <c r="AC489" s="108"/>
      <c r="AD489" s="108"/>
    </row>
    <row r="490" spans="1:30" ht="13.5" customHeight="1">
      <c r="A490" s="108"/>
      <c r="B490" s="49"/>
      <c r="C490" s="50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  <c r="AA490" s="108"/>
      <c r="AB490" s="108"/>
      <c r="AC490" s="108"/>
      <c r="AD490" s="108"/>
    </row>
    <row r="491" spans="1:30" ht="13.5" customHeight="1">
      <c r="A491" s="108"/>
      <c r="B491" s="49"/>
      <c r="C491" s="50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  <c r="AA491" s="108"/>
      <c r="AB491" s="108"/>
      <c r="AC491" s="108"/>
      <c r="AD491" s="108"/>
    </row>
    <row r="492" spans="1:30" ht="13.5" customHeight="1">
      <c r="A492" s="108"/>
      <c r="B492" s="49"/>
      <c r="C492" s="50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  <c r="AA492" s="108"/>
      <c r="AB492" s="108"/>
      <c r="AC492" s="108"/>
      <c r="AD492" s="108"/>
    </row>
    <row r="493" spans="1:30" ht="13.5" customHeight="1">
      <c r="A493" s="108"/>
      <c r="B493" s="49"/>
      <c r="C493" s="50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  <c r="AA493" s="108"/>
      <c r="AB493" s="108"/>
      <c r="AC493" s="108"/>
      <c r="AD493" s="108"/>
    </row>
    <row r="494" spans="1:30" ht="13.5" customHeight="1">
      <c r="A494" s="108"/>
      <c r="B494" s="49"/>
      <c r="C494" s="50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  <c r="AB494" s="108"/>
      <c r="AC494" s="108"/>
      <c r="AD494" s="108"/>
    </row>
    <row r="495" spans="1:30" ht="13.5" customHeight="1">
      <c r="A495" s="108"/>
      <c r="B495" s="49"/>
      <c r="C495" s="50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  <c r="AA495" s="108"/>
      <c r="AB495" s="108"/>
      <c r="AC495" s="108"/>
      <c r="AD495" s="108"/>
    </row>
    <row r="496" spans="1:30" ht="13.5" customHeight="1">
      <c r="A496" s="108"/>
      <c r="B496" s="49"/>
      <c r="C496" s="50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  <c r="AA496" s="108"/>
      <c r="AB496" s="108"/>
      <c r="AC496" s="108"/>
      <c r="AD496" s="108"/>
    </row>
    <row r="497" spans="1:30" ht="13.5" customHeight="1">
      <c r="A497" s="108"/>
      <c r="B497" s="49"/>
      <c r="C497" s="50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  <c r="AA497" s="108"/>
      <c r="AB497" s="108"/>
      <c r="AC497" s="108"/>
      <c r="AD497" s="108"/>
    </row>
    <row r="498" spans="1:30" ht="13.5" customHeight="1">
      <c r="A498" s="108"/>
      <c r="B498" s="49"/>
      <c r="C498" s="50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  <c r="AA498" s="108"/>
      <c r="AB498" s="108"/>
      <c r="AC498" s="108"/>
      <c r="AD498" s="108"/>
    </row>
    <row r="499" spans="1:30" ht="13.5" customHeight="1">
      <c r="A499" s="108"/>
      <c r="B499" s="49"/>
      <c r="C499" s="50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  <c r="AA499" s="108"/>
      <c r="AB499" s="108"/>
      <c r="AC499" s="108"/>
      <c r="AD499" s="108"/>
    </row>
    <row r="500" spans="1:30" ht="13.5" customHeight="1">
      <c r="A500" s="108"/>
      <c r="B500" s="49"/>
      <c r="C500" s="50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  <c r="AA500" s="108"/>
      <c r="AB500" s="108"/>
      <c r="AC500" s="108"/>
      <c r="AD500" s="108"/>
    </row>
    <row r="501" spans="1:30" ht="13.5" customHeight="1">
      <c r="A501" s="108"/>
      <c r="B501" s="49"/>
      <c r="C501" s="50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  <c r="AA501" s="108"/>
      <c r="AB501" s="108"/>
      <c r="AC501" s="108"/>
      <c r="AD501" s="108"/>
    </row>
    <row r="502" spans="1:30" ht="13.5" customHeight="1">
      <c r="A502" s="108"/>
      <c r="B502" s="49"/>
      <c r="C502" s="50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  <c r="AA502" s="108"/>
      <c r="AB502" s="108"/>
      <c r="AC502" s="108"/>
      <c r="AD502" s="108"/>
    </row>
    <row r="503" spans="1:30" ht="13.5" customHeight="1">
      <c r="A503" s="108"/>
      <c r="B503" s="49"/>
      <c r="C503" s="50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  <c r="AB503" s="108"/>
      <c r="AC503" s="108"/>
      <c r="AD503" s="108"/>
    </row>
    <row r="504" spans="1:30" ht="13.5" customHeight="1">
      <c r="A504" s="108"/>
      <c r="B504" s="49"/>
      <c r="C504" s="50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  <c r="AA504" s="108"/>
      <c r="AB504" s="108"/>
      <c r="AC504" s="108"/>
      <c r="AD504" s="108"/>
    </row>
    <row r="505" spans="1:30" ht="13.5" customHeight="1">
      <c r="A505" s="108"/>
      <c r="B505" s="49"/>
      <c r="C505" s="50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  <c r="AA505" s="108"/>
      <c r="AB505" s="108"/>
      <c r="AC505" s="108"/>
      <c r="AD505" s="108"/>
    </row>
    <row r="506" spans="1:30" ht="13.5" customHeight="1">
      <c r="A506" s="108"/>
      <c r="B506" s="49"/>
      <c r="C506" s="50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  <c r="AA506" s="108"/>
      <c r="AB506" s="108"/>
      <c r="AC506" s="108"/>
      <c r="AD506" s="108"/>
    </row>
    <row r="507" spans="1:30" ht="13.5" customHeight="1">
      <c r="A507" s="108"/>
      <c r="B507" s="49"/>
      <c r="C507" s="50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  <c r="AA507" s="108"/>
      <c r="AB507" s="108"/>
      <c r="AC507" s="108"/>
      <c r="AD507" s="108"/>
    </row>
    <row r="508" spans="1:30" ht="13.5" customHeight="1">
      <c r="A508" s="108"/>
      <c r="B508" s="49"/>
      <c r="C508" s="50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  <c r="AA508" s="108"/>
      <c r="AB508" s="108"/>
      <c r="AC508" s="108"/>
      <c r="AD508" s="108"/>
    </row>
    <row r="509" spans="1:30" ht="13.5" customHeight="1">
      <c r="A509" s="108"/>
      <c r="B509" s="49"/>
      <c r="C509" s="50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  <c r="AA509" s="108"/>
      <c r="AB509" s="108"/>
      <c r="AC509" s="108"/>
      <c r="AD509" s="108"/>
    </row>
    <row r="510" spans="1:30" ht="13.5" customHeight="1">
      <c r="A510" s="108"/>
      <c r="B510" s="49"/>
      <c r="C510" s="50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  <c r="AA510" s="108"/>
      <c r="AB510" s="108"/>
      <c r="AC510" s="108"/>
      <c r="AD510" s="108"/>
    </row>
    <row r="511" spans="1:30" ht="13.5" customHeight="1">
      <c r="A511" s="108"/>
      <c r="B511" s="49"/>
      <c r="C511" s="50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  <c r="AA511" s="108"/>
      <c r="AB511" s="108"/>
      <c r="AC511" s="108"/>
      <c r="AD511" s="108"/>
    </row>
    <row r="512" spans="1:30" ht="13.5" customHeight="1">
      <c r="A512" s="108"/>
      <c r="B512" s="49"/>
      <c r="C512" s="50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  <c r="AA512" s="108"/>
      <c r="AB512" s="108"/>
      <c r="AC512" s="108"/>
      <c r="AD512" s="108"/>
    </row>
    <row r="513" spans="1:30" ht="13.5" customHeight="1">
      <c r="A513" s="108"/>
      <c r="B513" s="49"/>
      <c r="C513" s="50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  <c r="AA513" s="108"/>
      <c r="AB513" s="108"/>
      <c r="AC513" s="108"/>
      <c r="AD513" s="108"/>
    </row>
    <row r="514" spans="1:30" ht="13.5" customHeight="1">
      <c r="A514" s="108"/>
      <c r="B514" s="49"/>
      <c r="C514" s="50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  <c r="AA514" s="108"/>
      <c r="AB514" s="108"/>
      <c r="AC514" s="108"/>
      <c r="AD514" s="108"/>
    </row>
    <row r="515" spans="1:30" ht="13.5" customHeight="1">
      <c r="A515" s="108"/>
      <c r="B515" s="49"/>
      <c r="C515" s="50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  <c r="AA515" s="108"/>
      <c r="AB515" s="108"/>
      <c r="AC515" s="108"/>
      <c r="AD515" s="108"/>
    </row>
    <row r="516" spans="1:30" ht="13.5" customHeight="1">
      <c r="A516" s="108"/>
      <c r="B516" s="49"/>
      <c r="C516" s="50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  <c r="AA516" s="108"/>
      <c r="AB516" s="108"/>
      <c r="AC516" s="108"/>
      <c r="AD516" s="108"/>
    </row>
    <row r="517" spans="1:30" ht="13.5" customHeight="1">
      <c r="A517" s="108"/>
      <c r="B517" s="49"/>
      <c r="C517" s="50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  <c r="AA517" s="108"/>
      <c r="AB517" s="108"/>
      <c r="AC517" s="108"/>
      <c r="AD517" s="108"/>
    </row>
    <row r="518" spans="1:30" ht="13.5" customHeight="1">
      <c r="A518" s="108"/>
      <c r="B518" s="49"/>
      <c r="C518" s="50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  <c r="AA518" s="108"/>
      <c r="AB518" s="108"/>
      <c r="AC518" s="108"/>
      <c r="AD518" s="108"/>
    </row>
    <row r="519" spans="1:30" ht="13.5" customHeight="1">
      <c r="A519" s="108"/>
      <c r="B519" s="49"/>
      <c r="C519" s="50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  <c r="AA519" s="108"/>
      <c r="AB519" s="108"/>
      <c r="AC519" s="108"/>
      <c r="AD519" s="108"/>
    </row>
    <row r="520" spans="1:30" ht="13.5" customHeight="1">
      <c r="A520" s="108"/>
      <c r="B520" s="49"/>
      <c r="C520" s="50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  <c r="AA520" s="108"/>
      <c r="AB520" s="108"/>
      <c r="AC520" s="108"/>
      <c r="AD520" s="108"/>
    </row>
    <row r="521" spans="1:30" ht="13.5" customHeight="1">
      <c r="A521" s="108"/>
      <c r="B521" s="49"/>
      <c r="C521" s="50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  <c r="AA521" s="108"/>
      <c r="AB521" s="108"/>
      <c r="AC521" s="108"/>
      <c r="AD521" s="108"/>
    </row>
    <row r="522" spans="1:30" ht="13.5" customHeight="1">
      <c r="A522" s="108"/>
      <c r="B522" s="49"/>
      <c r="C522" s="50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  <c r="AA522" s="108"/>
      <c r="AB522" s="108"/>
      <c r="AC522" s="108"/>
      <c r="AD522" s="108"/>
    </row>
    <row r="523" spans="1:30" ht="13.5" customHeight="1">
      <c r="A523" s="108"/>
      <c r="B523" s="49"/>
      <c r="C523" s="50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  <c r="AA523" s="108"/>
      <c r="AB523" s="108"/>
      <c r="AC523" s="108"/>
      <c r="AD523" s="108"/>
    </row>
    <row r="524" spans="1:30" ht="13.5" customHeight="1">
      <c r="A524" s="108"/>
      <c r="B524" s="49"/>
      <c r="C524" s="50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  <c r="AA524" s="108"/>
      <c r="AB524" s="108"/>
      <c r="AC524" s="108"/>
      <c r="AD524" s="108"/>
    </row>
    <row r="525" spans="1:30" ht="13.5" customHeight="1">
      <c r="A525" s="108"/>
      <c r="B525" s="49"/>
      <c r="C525" s="50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  <c r="AA525" s="108"/>
      <c r="AB525" s="108"/>
      <c r="AC525" s="108"/>
      <c r="AD525" s="108"/>
    </row>
    <row r="526" spans="1:30" ht="13.5" customHeight="1">
      <c r="A526" s="108"/>
      <c r="B526" s="49"/>
      <c r="C526" s="50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  <c r="AA526" s="108"/>
      <c r="AB526" s="108"/>
      <c r="AC526" s="108"/>
      <c r="AD526" s="108"/>
    </row>
    <row r="527" spans="1:30" ht="13.5" customHeight="1">
      <c r="A527" s="108"/>
      <c r="B527" s="49"/>
      <c r="C527" s="50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  <c r="AA527" s="108"/>
      <c r="AB527" s="108"/>
      <c r="AC527" s="108"/>
      <c r="AD527" s="108"/>
    </row>
    <row r="528" spans="1:30" ht="13.5" customHeight="1">
      <c r="A528" s="108"/>
      <c r="B528" s="49"/>
      <c r="C528" s="50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  <c r="AA528" s="108"/>
      <c r="AB528" s="108"/>
      <c r="AC528" s="108"/>
      <c r="AD528" s="108"/>
    </row>
    <row r="529" spans="1:30" ht="13.5" customHeight="1">
      <c r="A529" s="108"/>
      <c r="B529" s="49"/>
      <c r="C529" s="50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  <c r="AA529" s="108"/>
      <c r="AB529" s="108"/>
      <c r="AC529" s="108"/>
      <c r="AD529" s="108"/>
    </row>
    <row r="530" spans="1:30" ht="13.5" customHeight="1">
      <c r="A530" s="108"/>
      <c r="B530" s="49"/>
      <c r="C530" s="50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  <c r="AA530" s="108"/>
      <c r="AB530" s="108"/>
      <c r="AC530" s="108"/>
      <c r="AD530" s="108"/>
    </row>
    <row r="531" spans="1:30" ht="13.5" customHeight="1">
      <c r="A531" s="108"/>
      <c r="B531" s="49"/>
      <c r="C531" s="50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  <c r="AA531" s="108"/>
      <c r="AB531" s="108"/>
      <c r="AC531" s="108"/>
      <c r="AD531" s="108"/>
    </row>
    <row r="532" spans="1:30" ht="13.5" customHeight="1">
      <c r="A532" s="108"/>
      <c r="B532" s="49"/>
      <c r="C532" s="50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  <c r="AA532" s="108"/>
      <c r="AB532" s="108"/>
      <c r="AC532" s="108"/>
      <c r="AD532" s="108"/>
    </row>
    <row r="533" spans="1:30" ht="13.5" customHeight="1">
      <c r="A533" s="108"/>
      <c r="B533" s="49"/>
      <c r="C533" s="50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  <c r="AA533" s="108"/>
      <c r="AB533" s="108"/>
      <c r="AC533" s="108"/>
      <c r="AD533" s="108"/>
    </row>
    <row r="534" spans="1:30" ht="13.5" customHeight="1">
      <c r="A534" s="108"/>
      <c r="B534" s="49"/>
      <c r="C534" s="50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  <c r="AB534" s="108"/>
      <c r="AC534" s="108"/>
      <c r="AD534" s="108"/>
    </row>
    <row r="535" spans="1:30" ht="13.5" customHeight="1">
      <c r="A535" s="108"/>
      <c r="B535" s="49"/>
      <c r="C535" s="50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  <c r="AA535" s="108"/>
      <c r="AB535" s="108"/>
      <c r="AC535" s="108"/>
      <c r="AD535" s="108"/>
    </row>
    <row r="536" spans="1:30" ht="13.5" customHeight="1">
      <c r="A536" s="108"/>
      <c r="B536" s="49"/>
      <c r="C536" s="50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  <c r="AA536" s="108"/>
      <c r="AB536" s="108"/>
      <c r="AC536" s="108"/>
      <c r="AD536" s="108"/>
    </row>
    <row r="537" spans="1:30" ht="13.5" customHeight="1">
      <c r="A537" s="108"/>
      <c r="B537" s="49"/>
      <c r="C537" s="50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  <c r="AA537" s="108"/>
      <c r="AB537" s="108"/>
      <c r="AC537" s="108"/>
      <c r="AD537" s="108"/>
    </row>
    <row r="538" spans="1:30" ht="13.5" customHeight="1">
      <c r="A538" s="108"/>
      <c r="B538" s="49"/>
      <c r="C538" s="50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  <c r="AA538" s="108"/>
      <c r="AB538" s="108"/>
      <c r="AC538" s="108"/>
      <c r="AD538" s="108"/>
    </row>
    <row r="539" spans="1:30" ht="13.5" customHeight="1">
      <c r="A539" s="108"/>
      <c r="B539" s="49"/>
      <c r="C539" s="50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  <c r="AA539" s="108"/>
      <c r="AB539" s="108"/>
      <c r="AC539" s="108"/>
      <c r="AD539" s="108"/>
    </row>
    <row r="540" spans="1:30" ht="13.5" customHeight="1">
      <c r="A540" s="108"/>
      <c r="B540" s="49"/>
      <c r="C540" s="50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  <c r="AA540" s="108"/>
      <c r="AB540" s="108"/>
      <c r="AC540" s="108"/>
      <c r="AD540" s="108"/>
    </row>
    <row r="541" spans="1:30" ht="13.5" customHeight="1">
      <c r="A541" s="108"/>
      <c r="B541" s="49"/>
      <c r="C541" s="50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  <c r="AA541" s="108"/>
      <c r="AB541" s="108"/>
      <c r="AC541" s="108"/>
      <c r="AD541" s="108"/>
    </row>
    <row r="542" spans="1:30" ht="13.5" customHeight="1">
      <c r="A542" s="108"/>
      <c r="B542" s="49"/>
      <c r="C542" s="50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  <c r="AA542" s="108"/>
      <c r="AB542" s="108"/>
      <c r="AC542" s="108"/>
      <c r="AD542" s="108"/>
    </row>
    <row r="543" spans="1:30" ht="13.5" customHeight="1">
      <c r="A543" s="108"/>
      <c r="B543" s="49"/>
      <c r="C543" s="50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  <c r="AA543" s="108"/>
      <c r="AB543" s="108"/>
      <c r="AC543" s="108"/>
      <c r="AD543" s="108"/>
    </row>
    <row r="544" spans="1:30" ht="13.5" customHeight="1">
      <c r="A544" s="108"/>
      <c r="B544" s="49"/>
      <c r="C544" s="50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  <c r="AA544" s="108"/>
      <c r="AB544" s="108"/>
      <c r="AC544" s="108"/>
      <c r="AD544" s="108"/>
    </row>
    <row r="545" spans="1:30" ht="13.5" customHeight="1">
      <c r="A545" s="108"/>
      <c r="B545" s="49"/>
      <c r="C545" s="50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  <c r="AA545" s="108"/>
      <c r="AB545" s="108"/>
      <c r="AC545" s="108"/>
      <c r="AD545" s="108"/>
    </row>
    <row r="546" spans="1:30" ht="13.5" customHeight="1">
      <c r="A546" s="108"/>
      <c r="B546" s="49"/>
      <c r="C546" s="50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  <c r="AA546" s="108"/>
      <c r="AB546" s="108"/>
      <c r="AC546" s="108"/>
      <c r="AD546" s="108"/>
    </row>
    <row r="547" spans="1:30" ht="13.5" customHeight="1">
      <c r="A547" s="108"/>
      <c r="B547" s="49"/>
      <c r="C547" s="50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  <c r="AA547" s="108"/>
      <c r="AB547" s="108"/>
      <c r="AC547" s="108"/>
      <c r="AD547" s="108"/>
    </row>
    <row r="548" spans="1:30" ht="13.5" customHeight="1">
      <c r="A548" s="108"/>
      <c r="B548" s="49"/>
      <c r="C548" s="50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  <c r="AA548" s="108"/>
      <c r="AB548" s="108"/>
      <c r="AC548" s="108"/>
      <c r="AD548" s="108"/>
    </row>
    <row r="549" spans="1:30" ht="13.5" customHeight="1">
      <c r="A549" s="108"/>
      <c r="B549" s="49"/>
      <c r="C549" s="50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  <c r="AA549" s="108"/>
      <c r="AB549" s="108"/>
      <c r="AC549" s="108"/>
      <c r="AD549" s="108"/>
    </row>
    <row r="550" spans="1:30" ht="13.5" customHeight="1">
      <c r="A550" s="108"/>
      <c r="B550" s="49"/>
      <c r="C550" s="50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  <c r="AA550" s="108"/>
      <c r="AB550" s="108"/>
      <c r="AC550" s="108"/>
      <c r="AD550" s="108"/>
    </row>
    <row r="551" spans="1:30" ht="13.5" customHeight="1">
      <c r="A551" s="108"/>
      <c r="B551" s="49"/>
      <c r="C551" s="50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  <c r="AA551" s="108"/>
      <c r="AB551" s="108"/>
      <c r="AC551" s="108"/>
      <c r="AD551" s="108"/>
    </row>
    <row r="552" spans="1:30" ht="13.5" customHeight="1">
      <c r="A552" s="108"/>
      <c r="B552" s="49"/>
      <c r="C552" s="50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  <c r="AA552" s="108"/>
      <c r="AB552" s="108"/>
      <c r="AC552" s="108"/>
      <c r="AD552" s="108"/>
    </row>
    <row r="553" spans="1:30" ht="13.5" customHeight="1">
      <c r="A553" s="108"/>
      <c r="B553" s="49"/>
      <c r="C553" s="50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  <c r="AB553" s="108"/>
      <c r="AC553" s="108"/>
      <c r="AD553" s="108"/>
    </row>
    <row r="554" spans="1:30" ht="13.5" customHeight="1">
      <c r="A554" s="108"/>
      <c r="B554" s="49"/>
      <c r="C554" s="50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  <c r="AA554" s="108"/>
      <c r="AB554" s="108"/>
      <c r="AC554" s="108"/>
      <c r="AD554" s="108"/>
    </row>
    <row r="555" spans="1:30" ht="13.5" customHeight="1">
      <c r="A555" s="108"/>
      <c r="B555" s="49"/>
      <c r="C555" s="50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  <c r="AC555" s="108"/>
      <c r="AD555" s="108"/>
    </row>
    <row r="556" spans="1:30" ht="13.5" customHeight="1">
      <c r="A556" s="108"/>
      <c r="B556" s="49"/>
      <c r="C556" s="50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  <c r="AA556" s="108"/>
      <c r="AB556" s="108"/>
      <c r="AC556" s="108"/>
      <c r="AD556" s="108"/>
    </row>
    <row r="557" spans="1:30" ht="13.5" customHeight="1">
      <c r="A557" s="108"/>
      <c r="B557" s="49"/>
      <c r="C557" s="50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  <c r="AA557" s="108"/>
      <c r="AB557" s="108"/>
      <c r="AC557" s="108"/>
      <c r="AD557" s="108"/>
    </row>
    <row r="558" spans="1:30" ht="13.5" customHeight="1">
      <c r="A558" s="108"/>
      <c r="B558" s="49"/>
      <c r="C558" s="50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  <c r="AA558" s="108"/>
      <c r="AB558" s="108"/>
      <c r="AC558" s="108"/>
      <c r="AD558" s="108"/>
    </row>
    <row r="559" spans="1:30" ht="13.5" customHeight="1">
      <c r="A559" s="108"/>
      <c r="B559" s="49"/>
      <c r="C559" s="50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  <c r="AA559" s="108"/>
      <c r="AB559" s="108"/>
      <c r="AC559" s="108"/>
      <c r="AD559" s="108"/>
    </row>
    <row r="560" spans="1:30" ht="13.5" customHeight="1">
      <c r="A560" s="108"/>
      <c r="B560" s="49"/>
      <c r="C560" s="50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  <c r="AA560" s="108"/>
      <c r="AB560" s="108"/>
      <c r="AC560" s="108"/>
      <c r="AD560" s="108"/>
    </row>
    <row r="561" spans="1:30" ht="13.5" customHeight="1">
      <c r="A561" s="108"/>
      <c r="B561" s="49"/>
      <c r="C561" s="50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  <c r="AA561" s="108"/>
      <c r="AB561" s="108"/>
      <c r="AC561" s="108"/>
      <c r="AD561" s="108"/>
    </row>
    <row r="562" spans="1:30" ht="13.5" customHeight="1">
      <c r="A562" s="108"/>
      <c r="B562" s="49"/>
      <c r="C562" s="50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  <c r="AA562" s="108"/>
      <c r="AB562" s="108"/>
      <c r="AC562" s="108"/>
      <c r="AD562" s="108"/>
    </row>
    <row r="563" spans="1:30" ht="13.5" customHeight="1">
      <c r="A563" s="108"/>
      <c r="B563" s="49"/>
      <c r="C563" s="50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  <c r="AA563" s="108"/>
      <c r="AB563" s="108"/>
      <c r="AC563" s="108"/>
      <c r="AD563" s="108"/>
    </row>
    <row r="564" spans="1:30" ht="13.5" customHeight="1">
      <c r="A564" s="108"/>
      <c r="B564" s="49"/>
      <c r="C564" s="50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  <c r="AC564" s="108"/>
      <c r="AD564" s="108"/>
    </row>
    <row r="565" spans="1:30" ht="13.5" customHeight="1">
      <c r="A565" s="108"/>
      <c r="B565" s="49"/>
      <c r="C565" s="50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  <c r="AB565" s="108"/>
      <c r="AC565" s="108"/>
      <c r="AD565" s="108"/>
    </row>
    <row r="566" spans="1:30" ht="13.5" customHeight="1">
      <c r="A566" s="108"/>
      <c r="B566" s="49"/>
      <c r="C566" s="50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  <c r="AA566" s="108"/>
      <c r="AB566" s="108"/>
      <c r="AC566" s="108"/>
      <c r="AD566" s="108"/>
    </row>
    <row r="567" spans="1:30" ht="13.5" customHeight="1">
      <c r="A567" s="108"/>
      <c r="B567" s="49"/>
      <c r="C567" s="50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  <c r="AA567" s="108"/>
      <c r="AB567" s="108"/>
      <c r="AC567" s="108"/>
      <c r="AD567" s="108"/>
    </row>
    <row r="568" spans="1:30" ht="13.5" customHeight="1">
      <c r="A568" s="108"/>
      <c r="B568" s="49"/>
      <c r="C568" s="50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  <c r="AA568" s="108"/>
      <c r="AB568" s="108"/>
      <c r="AC568" s="108"/>
      <c r="AD568" s="108"/>
    </row>
    <row r="569" spans="1:30" ht="13.5" customHeight="1">
      <c r="A569" s="108"/>
      <c r="B569" s="49"/>
      <c r="C569" s="50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  <c r="AA569" s="108"/>
      <c r="AB569" s="108"/>
      <c r="AC569" s="108"/>
      <c r="AD569" s="108"/>
    </row>
    <row r="570" spans="1:30" ht="13.5" customHeight="1">
      <c r="A570" s="108"/>
      <c r="B570" s="49"/>
      <c r="C570" s="50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  <c r="AA570" s="108"/>
      <c r="AB570" s="108"/>
      <c r="AC570" s="108"/>
      <c r="AD570" s="108"/>
    </row>
    <row r="571" spans="1:30" ht="13.5" customHeight="1">
      <c r="A571" s="108"/>
      <c r="B571" s="49"/>
      <c r="C571" s="50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</row>
    <row r="572" spans="1:30" ht="13.5" customHeight="1">
      <c r="A572" s="108"/>
      <c r="B572" s="49"/>
      <c r="C572" s="50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</row>
    <row r="573" spans="1:30" ht="13.5" customHeight="1">
      <c r="A573" s="108"/>
      <c r="B573" s="49"/>
      <c r="C573" s="50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  <c r="AC573" s="108"/>
      <c r="AD573" s="108"/>
    </row>
    <row r="574" spans="1:30" ht="13.5" customHeight="1">
      <c r="A574" s="108"/>
      <c r="B574" s="49"/>
      <c r="C574" s="50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  <c r="AC574" s="108"/>
      <c r="AD574" s="108"/>
    </row>
    <row r="575" spans="1:30" ht="13.5" customHeight="1">
      <c r="A575" s="108"/>
      <c r="B575" s="49"/>
      <c r="C575" s="50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  <c r="AC575" s="108"/>
      <c r="AD575" s="108"/>
    </row>
    <row r="576" spans="1:30" ht="13.5" customHeight="1">
      <c r="A576" s="108"/>
      <c r="B576" s="49"/>
      <c r="C576" s="50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</row>
    <row r="577" spans="1:30" ht="13.5" customHeight="1">
      <c r="A577" s="108"/>
      <c r="B577" s="49"/>
      <c r="C577" s="50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  <c r="AA577" s="108"/>
      <c r="AB577" s="108"/>
      <c r="AC577" s="108"/>
      <c r="AD577" s="108"/>
    </row>
    <row r="578" spans="1:30" ht="13.5" customHeight="1">
      <c r="A578" s="108"/>
      <c r="B578" s="49"/>
      <c r="C578" s="50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  <c r="AA578" s="108"/>
      <c r="AB578" s="108"/>
      <c r="AC578" s="108"/>
      <c r="AD578" s="108"/>
    </row>
    <row r="579" spans="1:30" ht="13.5" customHeight="1">
      <c r="A579" s="108"/>
      <c r="B579" s="49"/>
      <c r="C579" s="50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  <c r="AA579" s="108"/>
      <c r="AB579" s="108"/>
      <c r="AC579" s="108"/>
      <c r="AD579" s="108"/>
    </row>
    <row r="580" spans="1:30" ht="13.5" customHeight="1">
      <c r="A580" s="108"/>
      <c r="B580" s="49"/>
      <c r="C580" s="50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  <c r="AA580" s="108"/>
      <c r="AB580" s="108"/>
      <c r="AC580" s="108"/>
      <c r="AD580" s="108"/>
    </row>
    <row r="581" spans="1:30" ht="13.5" customHeight="1">
      <c r="A581" s="108"/>
      <c r="B581" s="49"/>
      <c r="C581" s="50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  <c r="AA581" s="108"/>
      <c r="AB581" s="108"/>
      <c r="AC581" s="108"/>
      <c r="AD581" s="108"/>
    </row>
    <row r="582" spans="1:30" ht="13.5" customHeight="1">
      <c r="A582" s="108"/>
      <c r="B582" s="49"/>
      <c r="C582" s="50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  <c r="AA582" s="108"/>
      <c r="AB582" s="108"/>
      <c r="AC582" s="108"/>
      <c r="AD582" s="108"/>
    </row>
    <row r="583" spans="1:30" ht="13.5" customHeight="1">
      <c r="A583" s="108"/>
      <c r="B583" s="49"/>
      <c r="C583" s="50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  <c r="AA583" s="108"/>
      <c r="AB583" s="108"/>
      <c r="AC583" s="108"/>
      <c r="AD583" s="108"/>
    </row>
    <row r="584" spans="1:30" ht="13.5" customHeight="1">
      <c r="A584" s="108"/>
      <c r="B584" s="49"/>
      <c r="C584" s="50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  <c r="AA584" s="108"/>
      <c r="AB584" s="108"/>
      <c r="AC584" s="108"/>
      <c r="AD584" s="108"/>
    </row>
    <row r="585" spans="1:30" ht="13.5" customHeight="1">
      <c r="A585" s="108"/>
      <c r="B585" s="49"/>
      <c r="C585" s="50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  <c r="AA585" s="108"/>
      <c r="AB585" s="108"/>
      <c r="AC585" s="108"/>
      <c r="AD585" s="108"/>
    </row>
    <row r="586" spans="1:30" ht="13.5" customHeight="1">
      <c r="A586" s="108"/>
      <c r="B586" s="49"/>
      <c r="C586" s="50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  <c r="AB586" s="108"/>
      <c r="AC586" s="108"/>
      <c r="AD586" s="108"/>
    </row>
    <row r="587" spans="1:30" ht="13.5" customHeight="1">
      <c r="A587" s="108"/>
      <c r="B587" s="49"/>
      <c r="C587" s="50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  <c r="AA587" s="108"/>
      <c r="AB587" s="108"/>
      <c r="AC587" s="108"/>
      <c r="AD587" s="108"/>
    </row>
    <row r="588" spans="1:30" ht="13.5" customHeight="1">
      <c r="A588" s="108"/>
      <c r="B588" s="49"/>
      <c r="C588" s="50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  <c r="AC588" s="108"/>
      <c r="AD588" s="108"/>
    </row>
    <row r="589" spans="1:30" ht="13.5" customHeight="1">
      <c r="A589" s="108"/>
      <c r="B589" s="49"/>
      <c r="C589" s="50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  <c r="AA589" s="108"/>
      <c r="AB589" s="108"/>
      <c r="AC589" s="108"/>
      <c r="AD589" s="108"/>
    </row>
    <row r="590" spans="1:30" ht="13.5" customHeight="1">
      <c r="A590" s="108"/>
      <c r="B590" s="49"/>
      <c r="C590" s="50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  <c r="AA590" s="108"/>
      <c r="AB590" s="108"/>
      <c r="AC590" s="108"/>
      <c r="AD590" s="108"/>
    </row>
    <row r="591" spans="1:30" ht="13.5" customHeight="1">
      <c r="A591" s="108"/>
      <c r="B591" s="49"/>
      <c r="C591" s="50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  <c r="AA591" s="108"/>
      <c r="AB591" s="108"/>
      <c r="AC591" s="108"/>
      <c r="AD591" s="108"/>
    </row>
    <row r="592" spans="1:30" ht="13.5" customHeight="1">
      <c r="A592" s="108"/>
      <c r="B592" s="49"/>
      <c r="C592" s="50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  <c r="AA592" s="108"/>
      <c r="AB592" s="108"/>
      <c r="AC592" s="108"/>
      <c r="AD592" s="108"/>
    </row>
    <row r="593" spans="1:30" ht="13.5" customHeight="1">
      <c r="A593" s="108"/>
      <c r="B593" s="49"/>
      <c r="C593" s="50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  <c r="AA593" s="108"/>
      <c r="AB593" s="108"/>
      <c r="AC593" s="108"/>
      <c r="AD593" s="108"/>
    </row>
    <row r="594" spans="1:30" ht="13.5" customHeight="1">
      <c r="A594" s="108"/>
      <c r="B594" s="49"/>
      <c r="C594" s="50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  <c r="AA594" s="108"/>
      <c r="AB594" s="108"/>
      <c r="AC594" s="108"/>
      <c r="AD594" s="108"/>
    </row>
    <row r="595" spans="1:30" ht="13.5" customHeight="1">
      <c r="A595" s="108"/>
      <c r="B595" s="49"/>
      <c r="C595" s="50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  <c r="AA595" s="108"/>
      <c r="AB595" s="108"/>
      <c r="AC595" s="108"/>
      <c r="AD595" s="108"/>
    </row>
    <row r="596" spans="1:30" ht="13.5" customHeight="1">
      <c r="A596" s="108"/>
      <c r="B596" s="49"/>
      <c r="C596" s="50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  <c r="AA596" s="108"/>
      <c r="AB596" s="108"/>
      <c r="AC596" s="108"/>
      <c r="AD596" s="108"/>
    </row>
    <row r="597" spans="1:30" ht="13.5" customHeight="1">
      <c r="A597" s="108"/>
      <c r="B597" s="49"/>
      <c r="C597" s="50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  <c r="AA597" s="108"/>
      <c r="AB597" s="108"/>
      <c r="AC597" s="108"/>
      <c r="AD597" s="108"/>
    </row>
    <row r="598" spans="1:30" ht="13.5" customHeight="1">
      <c r="A598" s="108"/>
      <c r="B598" s="49"/>
      <c r="C598" s="50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  <c r="AA598" s="108"/>
      <c r="AB598" s="108"/>
      <c r="AC598" s="108"/>
      <c r="AD598" s="108"/>
    </row>
    <row r="599" spans="1:30" ht="13.5" customHeight="1">
      <c r="A599" s="108"/>
      <c r="B599" s="49"/>
      <c r="C599" s="50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  <c r="AA599" s="108"/>
      <c r="AB599" s="108"/>
      <c r="AC599" s="108"/>
      <c r="AD599" s="108"/>
    </row>
    <row r="600" spans="1:30" ht="13.5" customHeight="1">
      <c r="A600" s="108"/>
      <c r="B600" s="49"/>
      <c r="C600" s="50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  <c r="AA600" s="108"/>
      <c r="AB600" s="108"/>
      <c r="AC600" s="108"/>
      <c r="AD600" s="108"/>
    </row>
    <row r="601" spans="1:30" ht="13.5" customHeight="1">
      <c r="A601" s="108"/>
      <c r="B601" s="49"/>
      <c r="C601" s="50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  <c r="AA601" s="108"/>
      <c r="AB601" s="108"/>
      <c r="AC601" s="108"/>
      <c r="AD601" s="108"/>
    </row>
    <row r="602" spans="1:30" ht="13.5" customHeight="1">
      <c r="A602" s="108"/>
      <c r="B602" s="49"/>
      <c r="C602" s="50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  <c r="AA602" s="108"/>
      <c r="AB602" s="108"/>
      <c r="AC602" s="108"/>
      <c r="AD602" s="108"/>
    </row>
    <row r="603" spans="1:30" ht="13.5" customHeight="1">
      <c r="A603" s="108"/>
      <c r="B603" s="49"/>
      <c r="C603" s="50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  <c r="AA603" s="108"/>
      <c r="AB603" s="108"/>
      <c r="AC603" s="108"/>
      <c r="AD603" s="108"/>
    </row>
    <row r="604" spans="1:30" ht="13.5" customHeight="1">
      <c r="A604" s="108"/>
      <c r="B604" s="49"/>
      <c r="C604" s="50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  <c r="AA604" s="108"/>
      <c r="AB604" s="108"/>
      <c r="AC604" s="108"/>
      <c r="AD604" s="108"/>
    </row>
    <row r="605" spans="1:30" ht="13.5" customHeight="1">
      <c r="A605" s="108"/>
      <c r="B605" s="49"/>
      <c r="C605" s="50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  <c r="AA605" s="108"/>
      <c r="AB605" s="108"/>
      <c r="AC605" s="108"/>
      <c r="AD605" s="108"/>
    </row>
    <row r="606" spans="1:30" ht="13.5" customHeight="1">
      <c r="A606" s="108"/>
      <c r="B606" s="49"/>
      <c r="C606" s="50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  <c r="AA606" s="108"/>
      <c r="AB606" s="108"/>
      <c r="AC606" s="108"/>
      <c r="AD606" s="108"/>
    </row>
    <row r="607" spans="1:30" ht="13.5" customHeight="1">
      <c r="A607" s="108"/>
      <c r="B607" s="49"/>
      <c r="C607" s="50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  <c r="AA607" s="108"/>
      <c r="AB607" s="108"/>
      <c r="AC607" s="108"/>
      <c r="AD607" s="108"/>
    </row>
    <row r="608" spans="1:30" ht="13.5" customHeight="1">
      <c r="A608" s="108"/>
      <c r="B608" s="49"/>
      <c r="C608" s="50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  <c r="AA608" s="108"/>
      <c r="AB608" s="108"/>
      <c r="AC608" s="108"/>
      <c r="AD608" s="108"/>
    </row>
    <row r="609" spans="1:30" ht="13.5" customHeight="1">
      <c r="A609" s="108"/>
      <c r="B609" s="49"/>
      <c r="C609" s="50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  <c r="AA609" s="108"/>
      <c r="AB609" s="108"/>
      <c r="AC609" s="108"/>
      <c r="AD609" s="108"/>
    </row>
    <row r="610" spans="1:30" ht="13.5" customHeight="1">
      <c r="A610" s="108"/>
      <c r="B610" s="49"/>
      <c r="C610" s="50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  <c r="AA610" s="108"/>
      <c r="AB610" s="108"/>
      <c r="AC610" s="108"/>
      <c r="AD610" s="108"/>
    </row>
    <row r="611" spans="1:30" ht="13.5" customHeight="1">
      <c r="A611" s="108"/>
      <c r="B611" s="49"/>
      <c r="C611" s="50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  <c r="AA611" s="108"/>
      <c r="AB611" s="108"/>
      <c r="AC611" s="108"/>
      <c r="AD611" s="108"/>
    </row>
    <row r="612" spans="1:30" ht="13.5" customHeight="1">
      <c r="A612" s="108"/>
      <c r="B612" s="49"/>
      <c r="C612" s="50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  <c r="AA612" s="108"/>
      <c r="AB612" s="108"/>
      <c r="AC612" s="108"/>
      <c r="AD612" s="108"/>
    </row>
    <row r="613" spans="1:30" ht="13.5" customHeight="1">
      <c r="A613" s="108"/>
      <c r="B613" s="49"/>
      <c r="C613" s="50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  <c r="AA613" s="108"/>
      <c r="AB613" s="108"/>
      <c r="AC613" s="108"/>
      <c r="AD613" s="108"/>
    </row>
    <row r="614" spans="1:30" ht="13.5" customHeight="1">
      <c r="A614" s="108"/>
      <c r="B614" s="49"/>
      <c r="C614" s="50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  <c r="AA614" s="108"/>
      <c r="AB614" s="108"/>
      <c r="AC614" s="108"/>
      <c r="AD614" s="108"/>
    </row>
    <row r="615" spans="1:30" ht="13.5" customHeight="1">
      <c r="A615" s="108"/>
      <c r="B615" s="49"/>
      <c r="C615" s="50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  <c r="AA615" s="108"/>
      <c r="AB615" s="108"/>
      <c r="AC615" s="108"/>
      <c r="AD615" s="108"/>
    </row>
    <row r="616" spans="1:30" ht="13.5" customHeight="1">
      <c r="A616" s="108"/>
      <c r="B616" s="49"/>
      <c r="C616" s="50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  <c r="AB616" s="108"/>
      <c r="AC616" s="108"/>
      <c r="AD616" s="108"/>
    </row>
    <row r="617" spans="1:30" ht="13.5" customHeight="1">
      <c r="A617" s="108"/>
      <c r="B617" s="49"/>
      <c r="C617" s="50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  <c r="AA617" s="108"/>
      <c r="AB617" s="108"/>
      <c r="AC617" s="108"/>
      <c r="AD617" s="108"/>
    </row>
    <row r="618" spans="1:30" ht="13.5" customHeight="1">
      <c r="A618" s="108"/>
      <c r="B618" s="49"/>
      <c r="C618" s="50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  <c r="AA618" s="108"/>
      <c r="AB618" s="108"/>
      <c r="AC618" s="108"/>
      <c r="AD618" s="108"/>
    </row>
    <row r="619" spans="1:30" ht="13.5" customHeight="1">
      <c r="A619" s="108"/>
      <c r="B619" s="49"/>
      <c r="C619" s="50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  <c r="AA619" s="108"/>
      <c r="AB619" s="108"/>
      <c r="AC619" s="108"/>
      <c r="AD619" s="108"/>
    </row>
    <row r="620" spans="1:30" ht="13.5" customHeight="1">
      <c r="A620" s="108"/>
      <c r="B620" s="49"/>
      <c r="C620" s="50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  <c r="AA620" s="108"/>
      <c r="AB620" s="108"/>
      <c r="AC620" s="108"/>
      <c r="AD620" s="108"/>
    </row>
    <row r="621" spans="1:30" ht="13.5" customHeight="1">
      <c r="A621" s="108"/>
      <c r="B621" s="49"/>
      <c r="C621" s="50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  <c r="AA621" s="108"/>
      <c r="AB621" s="108"/>
      <c r="AC621" s="108"/>
      <c r="AD621" s="108"/>
    </row>
    <row r="622" spans="1:30" ht="13.5" customHeight="1">
      <c r="A622" s="108"/>
      <c r="B622" s="49"/>
      <c r="C622" s="50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  <c r="AA622" s="108"/>
      <c r="AB622" s="108"/>
      <c r="AC622" s="108"/>
      <c r="AD622" s="108"/>
    </row>
    <row r="623" spans="1:30" ht="13.5" customHeight="1">
      <c r="A623" s="108"/>
      <c r="B623" s="49"/>
      <c r="C623" s="50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  <c r="AA623" s="108"/>
      <c r="AB623" s="108"/>
      <c r="AC623" s="108"/>
      <c r="AD623" s="108"/>
    </row>
    <row r="624" spans="1:30" ht="13.5" customHeight="1">
      <c r="A624" s="108"/>
      <c r="B624" s="49"/>
      <c r="C624" s="50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  <c r="AA624" s="108"/>
      <c r="AB624" s="108"/>
      <c r="AC624" s="108"/>
      <c r="AD624" s="108"/>
    </row>
    <row r="625" spans="1:30" ht="13.5" customHeight="1">
      <c r="A625" s="108"/>
      <c r="B625" s="49"/>
      <c r="C625" s="50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  <c r="AA625" s="108"/>
      <c r="AB625" s="108"/>
      <c r="AC625" s="108"/>
      <c r="AD625" s="108"/>
    </row>
    <row r="626" spans="1:30" ht="13.5" customHeight="1">
      <c r="A626" s="108"/>
      <c r="B626" s="49"/>
      <c r="C626" s="50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  <c r="AA626" s="108"/>
      <c r="AB626" s="108"/>
      <c r="AC626" s="108"/>
      <c r="AD626" s="108"/>
    </row>
    <row r="627" spans="1:30" ht="13.5" customHeight="1">
      <c r="A627" s="108"/>
      <c r="B627" s="49"/>
      <c r="C627" s="50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  <c r="AA627" s="108"/>
      <c r="AB627" s="108"/>
      <c r="AC627" s="108"/>
      <c r="AD627" s="108"/>
    </row>
    <row r="628" spans="1:30" ht="13.5" customHeight="1">
      <c r="A628" s="108"/>
      <c r="B628" s="49"/>
      <c r="C628" s="50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  <c r="AA628" s="108"/>
      <c r="AB628" s="108"/>
      <c r="AC628" s="108"/>
      <c r="AD628" s="108"/>
    </row>
    <row r="629" spans="1:30" ht="13.5" customHeight="1">
      <c r="A629" s="108"/>
      <c r="B629" s="49"/>
      <c r="C629" s="50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  <c r="AA629" s="108"/>
      <c r="AB629" s="108"/>
      <c r="AC629" s="108"/>
      <c r="AD629" s="108"/>
    </row>
    <row r="630" spans="1:30" ht="13.5" customHeight="1">
      <c r="A630" s="108"/>
      <c r="B630" s="49"/>
      <c r="C630" s="50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  <c r="AA630" s="108"/>
      <c r="AB630" s="108"/>
      <c r="AC630" s="108"/>
      <c r="AD630" s="108"/>
    </row>
    <row r="631" spans="1:30" ht="13.5" customHeight="1">
      <c r="A631" s="108"/>
      <c r="B631" s="49"/>
      <c r="C631" s="50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  <c r="AA631" s="108"/>
      <c r="AB631" s="108"/>
      <c r="AC631" s="108"/>
      <c r="AD631" s="108"/>
    </row>
    <row r="632" spans="1:30" ht="13.5" customHeight="1">
      <c r="A632" s="108"/>
      <c r="B632" s="49"/>
      <c r="C632" s="50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  <c r="AA632" s="108"/>
      <c r="AB632" s="108"/>
      <c r="AC632" s="108"/>
      <c r="AD632" s="108"/>
    </row>
    <row r="633" spans="1:30" ht="13.5" customHeight="1">
      <c r="A633" s="108"/>
      <c r="B633" s="49"/>
      <c r="C633" s="50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  <c r="AA633" s="108"/>
      <c r="AB633" s="108"/>
      <c r="AC633" s="108"/>
      <c r="AD633" s="108"/>
    </row>
    <row r="634" spans="1:30" ht="13.5" customHeight="1">
      <c r="A634" s="108"/>
      <c r="B634" s="49"/>
      <c r="C634" s="50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  <c r="AA634" s="108"/>
      <c r="AB634" s="108"/>
      <c r="AC634" s="108"/>
      <c r="AD634" s="108"/>
    </row>
    <row r="635" spans="1:30" ht="13.5" customHeight="1">
      <c r="A635" s="108"/>
      <c r="B635" s="49"/>
      <c r="C635" s="50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  <c r="AA635" s="108"/>
      <c r="AB635" s="108"/>
      <c r="AC635" s="108"/>
      <c r="AD635" s="108"/>
    </row>
    <row r="636" spans="1:30" ht="13.5" customHeight="1">
      <c r="A636" s="108"/>
      <c r="B636" s="49"/>
      <c r="C636" s="50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  <c r="AA636" s="108"/>
      <c r="AB636" s="108"/>
      <c r="AC636" s="108"/>
      <c r="AD636" s="108"/>
    </row>
    <row r="637" spans="1:30" ht="13.5" customHeight="1">
      <c r="A637" s="108"/>
      <c r="B637" s="49"/>
      <c r="C637" s="50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  <c r="AB637" s="108"/>
      <c r="AC637" s="108"/>
      <c r="AD637" s="108"/>
    </row>
    <row r="638" spans="1:30" ht="13.5" customHeight="1">
      <c r="A638" s="108"/>
      <c r="B638" s="49"/>
      <c r="C638" s="50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  <c r="AA638" s="108"/>
      <c r="AB638" s="108"/>
      <c r="AC638" s="108"/>
      <c r="AD638" s="108"/>
    </row>
    <row r="639" spans="1:30" ht="13.5" customHeight="1">
      <c r="A639" s="108"/>
      <c r="B639" s="49"/>
      <c r="C639" s="50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  <c r="AA639" s="108"/>
      <c r="AB639" s="108"/>
      <c r="AC639" s="108"/>
      <c r="AD639" s="108"/>
    </row>
    <row r="640" spans="1:30" ht="13.5" customHeight="1">
      <c r="A640" s="108"/>
      <c r="B640" s="49"/>
      <c r="C640" s="50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  <c r="AA640" s="108"/>
      <c r="AB640" s="108"/>
      <c r="AC640" s="108"/>
      <c r="AD640" s="108"/>
    </row>
    <row r="641" spans="1:30" ht="13.5" customHeight="1">
      <c r="A641" s="108"/>
      <c r="B641" s="49"/>
      <c r="C641" s="50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  <c r="AA641" s="108"/>
      <c r="AB641" s="108"/>
      <c r="AC641" s="108"/>
      <c r="AD641" s="108"/>
    </row>
    <row r="642" spans="1:30" ht="13.5" customHeight="1">
      <c r="A642" s="108"/>
      <c r="B642" s="49"/>
      <c r="C642" s="50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  <c r="AA642" s="108"/>
      <c r="AB642" s="108"/>
      <c r="AC642" s="108"/>
      <c r="AD642" s="108"/>
    </row>
    <row r="643" spans="1:30" ht="13.5" customHeight="1">
      <c r="A643" s="108"/>
      <c r="B643" s="49"/>
      <c r="C643" s="50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  <c r="AA643" s="108"/>
      <c r="AB643" s="108"/>
      <c r="AC643" s="108"/>
      <c r="AD643" s="108"/>
    </row>
    <row r="644" spans="1:30" ht="13.5" customHeight="1">
      <c r="A644" s="108"/>
      <c r="B644" s="49"/>
      <c r="C644" s="50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  <c r="AA644" s="108"/>
      <c r="AB644" s="108"/>
      <c r="AC644" s="108"/>
      <c r="AD644" s="108"/>
    </row>
    <row r="645" spans="1:30" ht="13.5" customHeight="1">
      <c r="A645" s="108"/>
      <c r="B645" s="49"/>
      <c r="C645" s="50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  <c r="AA645" s="108"/>
      <c r="AB645" s="108"/>
      <c r="AC645" s="108"/>
      <c r="AD645" s="108"/>
    </row>
    <row r="646" spans="1:30" ht="13.5" customHeight="1">
      <c r="A646" s="108"/>
      <c r="B646" s="49"/>
      <c r="C646" s="50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  <c r="AA646" s="108"/>
      <c r="AB646" s="108"/>
      <c r="AC646" s="108"/>
      <c r="AD646" s="108"/>
    </row>
    <row r="647" spans="1:30" ht="13.5" customHeight="1">
      <c r="A647" s="108"/>
      <c r="B647" s="49"/>
      <c r="C647" s="50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  <c r="AA647" s="108"/>
      <c r="AB647" s="108"/>
      <c r="AC647" s="108"/>
      <c r="AD647" s="108"/>
    </row>
    <row r="648" spans="1:30" ht="13.5" customHeight="1">
      <c r="A648" s="108"/>
      <c r="B648" s="49"/>
      <c r="C648" s="50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  <c r="AA648" s="108"/>
      <c r="AB648" s="108"/>
      <c r="AC648" s="108"/>
      <c r="AD648" s="108"/>
    </row>
    <row r="649" spans="1:30" ht="13.5" customHeight="1">
      <c r="A649" s="108"/>
      <c r="B649" s="49"/>
      <c r="C649" s="50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  <c r="AA649" s="108"/>
      <c r="AB649" s="108"/>
      <c r="AC649" s="108"/>
      <c r="AD649" s="108"/>
    </row>
    <row r="650" spans="1:30" ht="13.5" customHeight="1">
      <c r="A650" s="108"/>
      <c r="B650" s="49"/>
      <c r="C650" s="50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  <c r="AA650" s="108"/>
      <c r="AB650" s="108"/>
      <c r="AC650" s="108"/>
      <c r="AD650" s="108"/>
    </row>
    <row r="651" spans="1:30" ht="13.5" customHeight="1">
      <c r="A651" s="108"/>
      <c r="B651" s="49"/>
      <c r="C651" s="50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  <c r="AA651" s="108"/>
      <c r="AB651" s="108"/>
      <c r="AC651" s="108"/>
      <c r="AD651" s="108"/>
    </row>
    <row r="652" spans="1:30" ht="13.5" customHeight="1">
      <c r="A652" s="108"/>
      <c r="B652" s="49"/>
      <c r="C652" s="50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  <c r="AA652" s="108"/>
      <c r="AB652" s="108"/>
      <c r="AC652" s="108"/>
      <c r="AD652" s="108"/>
    </row>
    <row r="653" spans="1:30" ht="13.5" customHeight="1">
      <c r="A653" s="108"/>
      <c r="B653" s="49"/>
      <c r="C653" s="50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  <c r="AA653" s="108"/>
      <c r="AB653" s="108"/>
      <c r="AC653" s="108"/>
      <c r="AD653" s="108"/>
    </row>
    <row r="654" spans="1:30" ht="13.5" customHeight="1">
      <c r="A654" s="108"/>
      <c r="B654" s="49"/>
      <c r="C654" s="50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  <c r="AA654" s="108"/>
      <c r="AB654" s="108"/>
      <c r="AC654" s="108"/>
      <c r="AD654" s="108"/>
    </row>
    <row r="655" spans="1:30" ht="13.5" customHeight="1">
      <c r="A655" s="108"/>
      <c r="B655" s="49"/>
      <c r="C655" s="50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  <c r="AA655" s="108"/>
      <c r="AB655" s="108"/>
      <c r="AC655" s="108"/>
      <c r="AD655" s="108"/>
    </row>
    <row r="656" spans="1:30" ht="13.5" customHeight="1">
      <c r="A656" s="108"/>
      <c r="B656" s="49"/>
      <c r="C656" s="50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  <c r="AB656" s="108"/>
      <c r="AC656" s="108"/>
      <c r="AD656" s="108"/>
    </row>
    <row r="657" spans="1:30" ht="13.5" customHeight="1">
      <c r="A657" s="108"/>
      <c r="B657" s="49"/>
      <c r="C657" s="50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  <c r="AC657" s="108"/>
      <c r="AD657" s="108"/>
    </row>
    <row r="658" spans="1:30" ht="13.5" customHeight="1">
      <c r="A658" s="108"/>
      <c r="B658" s="49"/>
      <c r="C658" s="50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</row>
    <row r="659" spans="1:30" ht="13.5" customHeight="1">
      <c r="A659" s="108"/>
      <c r="B659" s="49"/>
      <c r="C659" s="50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  <c r="AA659" s="108"/>
      <c r="AB659" s="108"/>
      <c r="AC659" s="108"/>
      <c r="AD659" s="108"/>
    </row>
    <row r="660" spans="1:30" ht="13.5" customHeight="1">
      <c r="A660" s="108"/>
      <c r="B660" s="49"/>
      <c r="C660" s="50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  <c r="AC660" s="108"/>
      <c r="AD660" s="108"/>
    </row>
    <row r="661" spans="1:30" ht="13.5" customHeight="1">
      <c r="A661" s="108"/>
      <c r="B661" s="49"/>
      <c r="C661" s="50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  <c r="AA661" s="108"/>
      <c r="AB661" s="108"/>
      <c r="AC661" s="108"/>
      <c r="AD661" s="108"/>
    </row>
    <row r="662" spans="1:30" ht="13.5" customHeight="1">
      <c r="A662" s="108"/>
      <c r="B662" s="49"/>
      <c r="C662" s="50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  <c r="AC662" s="108"/>
      <c r="AD662" s="108"/>
    </row>
    <row r="663" spans="1:30" ht="13.5" customHeight="1">
      <c r="A663" s="108"/>
      <c r="B663" s="49"/>
      <c r="C663" s="50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  <c r="AA663" s="108"/>
      <c r="AB663" s="108"/>
      <c r="AC663" s="108"/>
      <c r="AD663" s="108"/>
    </row>
    <row r="664" spans="1:30" ht="13.5" customHeight="1">
      <c r="A664" s="108"/>
      <c r="B664" s="49"/>
      <c r="C664" s="50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  <c r="AA664" s="108"/>
      <c r="AB664" s="108"/>
      <c r="AC664" s="108"/>
      <c r="AD664" s="108"/>
    </row>
    <row r="665" spans="1:30" ht="13.5" customHeight="1">
      <c r="A665" s="108"/>
      <c r="B665" s="49"/>
      <c r="C665" s="50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  <c r="AA665" s="108"/>
      <c r="AB665" s="108"/>
      <c r="AC665" s="108"/>
      <c r="AD665" s="108"/>
    </row>
    <row r="666" spans="1:30" ht="13.5" customHeight="1">
      <c r="A666" s="108"/>
      <c r="B666" s="49"/>
      <c r="C666" s="50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  <c r="AA666" s="108"/>
      <c r="AB666" s="108"/>
      <c r="AC666" s="108"/>
      <c r="AD666" s="108"/>
    </row>
    <row r="667" spans="1:30" ht="13.5" customHeight="1">
      <c r="A667" s="108"/>
      <c r="B667" s="49"/>
      <c r="C667" s="50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  <c r="AA667" s="108"/>
      <c r="AB667" s="108"/>
      <c r="AC667" s="108"/>
      <c r="AD667" s="108"/>
    </row>
    <row r="668" spans="1:30" ht="13.5" customHeight="1">
      <c r="A668" s="108"/>
      <c r="B668" s="49"/>
      <c r="C668" s="50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  <c r="AB668" s="108"/>
      <c r="AC668" s="108"/>
      <c r="AD668" s="108"/>
    </row>
    <row r="669" spans="1:30" ht="13.5" customHeight="1">
      <c r="A669" s="108"/>
      <c r="B669" s="49"/>
      <c r="C669" s="50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  <c r="AC669" s="108"/>
      <c r="AD669" s="108"/>
    </row>
    <row r="670" spans="1:30" ht="13.5" customHeight="1">
      <c r="A670" s="108"/>
      <c r="B670" s="49"/>
      <c r="C670" s="50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</row>
    <row r="671" spans="1:30" ht="13.5" customHeight="1">
      <c r="A671" s="108"/>
      <c r="B671" s="49"/>
      <c r="C671" s="50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  <c r="AC671" s="108"/>
      <c r="AD671" s="108"/>
    </row>
    <row r="672" spans="1:30" ht="13.5" customHeight="1">
      <c r="A672" s="108"/>
      <c r="B672" s="49"/>
      <c r="C672" s="50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  <c r="AC672" s="108"/>
      <c r="AD672" s="108"/>
    </row>
    <row r="673" spans="1:30" ht="13.5" customHeight="1">
      <c r="A673" s="108"/>
      <c r="B673" s="49"/>
      <c r="C673" s="50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  <c r="AA673" s="108"/>
      <c r="AB673" s="108"/>
      <c r="AC673" s="108"/>
      <c r="AD673" s="108"/>
    </row>
    <row r="674" spans="1:30" ht="13.5" customHeight="1">
      <c r="A674" s="108"/>
      <c r="B674" s="49"/>
      <c r="C674" s="50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  <c r="AA674" s="108"/>
      <c r="AB674" s="108"/>
      <c r="AC674" s="108"/>
      <c r="AD674" s="108"/>
    </row>
    <row r="675" spans="1:30" ht="13.5" customHeight="1">
      <c r="A675" s="108"/>
      <c r="B675" s="49"/>
      <c r="C675" s="50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  <c r="AA675" s="108"/>
      <c r="AB675" s="108"/>
      <c r="AC675" s="108"/>
      <c r="AD675" s="108"/>
    </row>
    <row r="676" spans="1:30" ht="13.5" customHeight="1">
      <c r="A676" s="108"/>
      <c r="B676" s="49"/>
      <c r="C676" s="50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  <c r="AA676" s="108"/>
      <c r="AB676" s="108"/>
      <c r="AC676" s="108"/>
      <c r="AD676" s="108"/>
    </row>
    <row r="677" spans="1:30" ht="13.5" customHeight="1">
      <c r="A677" s="108"/>
      <c r="B677" s="49"/>
      <c r="C677" s="50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  <c r="AB677" s="108"/>
      <c r="AC677" s="108"/>
      <c r="AD677" s="108"/>
    </row>
    <row r="678" spans="1:30" ht="13.5" customHeight="1">
      <c r="A678" s="108"/>
      <c r="B678" s="49"/>
      <c r="C678" s="50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  <c r="AA678" s="108"/>
      <c r="AB678" s="108"/>
      <c r="AC678" s="108"/>
      <c r="AD678" s="108"/>
    </row>
    <row r="679" spans="1:30" ht="13.5" customHeight="1">
      <c r="A679" s="108"/>
      <c r="B679" s="49"/>
      <c r="C679" s="50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  <c r="AA679" s="108"/>
      <c r="AB679" s="108"/>
      <c r="AC679" s="108"/>
      <c r="AD679" s="108"/>
    </row>
    <row r="680" spans="1:30" ht="13.5" customHeight="1">
      <c r="A680" s="108"/>
      <c r="B680" s="49"/>
      <c r="C680" s="50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  <c r="AA680" s="108"/>
      <c r="AB680" s="108"/>
      <c r="AC680" s="108"/>
      <c r="AD680" s="108"/>
    </row>
    <row r="681" spans="1:30" ht="13.5" customHeight="1">
      <c r="A681" s="108"/>
      <c r="B681" s="49"/>
      <c r="C681" s="50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  <c r="AA681" s="108"/>
      <c r="AB681" s="108"/>
      <c r="AC681" s="108"/>
      <c r="AD681" s="108"/>
    </row>
    <row r="682" spans="1:30" ht="13.5" customHeight="1">
      <c r="A682" s="108"/>
      <c r="B682" s="49"/>
      <c r="C682" s="50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  <c r="AA682" s="108"/>
      <c r="AB682" s="108"/>
      <c r="AC682" s="108"/>
      <c r="AD682" s="108"/>
    </row>
    <row r="683" spans="1:30" ht="13.5" customHeight="1">
      <c r="A683" s="108"/>
      <c r="B683" s="49"/>
      <c r="C683" s="50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  <c r="AA683" s="108"/>
      <c r="AB683" s="108"/>
      <c r="AC683" s="108"/>
      <c r="AD683" s="108"/>
    </row>
    <row r="684" spans="1:30" ht="13.5" customHeight="1">
      <c r="A684" s="108"/>
      <c r="B684" s="49"/>
      <c r="C684" s="50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  <c r="AA684" s="108"/>
      <c r="AB684" s="108"/>
      <c r="AC684" s="108"/>
      <c r="AD684" s="108"/>
    </row>
    <row r="685" spans="1:30" ht="13.5" customHeight="1">
      <c r="A685" s="108"/>
      <c r="B685" s="49"/>
      <c r="C685" s="50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  <c r="AA685" s="108"/>
      <c r="AB685" s="108"/>
      <c r="AC685" s="108"/>
      <c r="AD685" s="108"/>
    </row>
    <row r="686" spans="1:30" ht="13.5" customHeight="1">
      <c r="A686" s="108"/>
      <c r="B686" s="49"/>
      <c r="C686" s="50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  <c r="AA686" s="108"/>
      <c r="AB686" s="108"/>
      <c r="AC686" s="108"/>
      <c r="AD686" s="108"/>
    </row>
    <row r="687" spans="1:30" ht="13.5" customHeight="1">
      <c r="A687" s="108"/>
      <c r="B687" s="49"/>
      <c r="C687" s="50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  <c r="AA687" s="108"/>
      <c r="AB687" s="108"/>
      <c r="AC687" s="108"/>
      <c r="AD687" s="108"/>
    </row>
    <row r="688" spans="1:30" ht="13.5" customHeight="1">
      <c r="A688" s="108"/>
      <c r="B688" s="49"/>
      <c r="C688" s="50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  <c r="AA688" s="108"/>
      <c r="AB688" s="108"/>
      <c r="AC688" s="108"/>
      <c r="AD688" s="108"/>
    </row>
    <row r="689" spans="1:30" ht="13.5" customHeight="1">
      <c r="A689" s="108"/>
      <c r="B689" s="49"/>
      <c r="C689" s="50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  <c r="AB689" s="108"/>
      <c r="AC689" s="108"/>
      <c r="AD689" s="108"/>
    </row>
    <row r="690" spans="1:30" ht="13.5" customHeight="1">
      <c r="A690" s="108"/>
      <c r="B690" s="49"/>
      <c r="C690" s="50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  <c r="AA690" s="108"/>
      <c r="AB690" s="108"/>
      <c r="AC690" s="108"/>
      <c r="AD690" s="108"/>
    </row>
    <row r="691" spans="1:30" ht="13.5" customHeight="1">
      <c r="A691" s="108"/>
      <c r="B691" s="49"/>
      <c r="C691" s="50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  <c r="AA691" s="108"/>
      <c r="AB691" s="108"/>
      <c r="AC691" s="108"/>
      <c r="AD691" s="108"/>
    </row>
    <row r="692" spans="1:30" ht="13.5" customHeight="1">
      <c r="A692" s="108"/>
      <c r="B692" s="49"/>
      <c r="C692" s="50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  <c r="AC692" s="108"/>
      <c r="AD692" s="108"/>
    </row>
    <row r="693" spans="1:30" ht="13.5" customHeight="1">
      <c r="A693" s="108"/>
      <c r="B693" s="49"/>
      <c r="C693" s="50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  <c r="AA693" s="108"/>
      <c r="AB693" s="108"/>
      <c r="AC693" s="108"/>
      <c r="AD693" s="108"/>
    </row>
    <row r="694" spans="1:30" ht="13.5" customHeight="1">
      <c r="A694" s="108"/>
      <c r="B694" s="49"/>
      <c r="C694" s="50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  <c r="AA694" s="108"/>
      <c r="AB694" s="108"/>
      <c r="AC694" s="108"/>
      <c r="AD694" s="108"/>
    </row>
    <row r="695" spans="1:30" ht="13.5" customHeight="1">
      <c r="A695" s="108"/>
      <c r="B695" s="49"/>
      <c r="C695" s="50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  <c r="AA695" s="108"/>
      <c r="AB695" s="108"/>
      <c r="AC695" s="108"/>
      <c r="AD695" s="108"/>
    </row>
    <row r="696" spans="1:30" ht="13.5" customHeight="1">
      <c r="A696" s="108"/>
      <c r="B696" s="49"/>
      <c r="C696" s="50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  <c r="AA696" s="108"/>
      <c r="AB696" s="108"/>
      <c r="AC696" s="108"/>
      <c r="AD696" s="108"/>
    </row>
    <row r="697" spans="1:30" ht="13.5" customHeight="1">
      <c r="A697" s="108"/>
      <c r="B697" s="49"/>
      <c r="C697" s="50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  <c r="AA697" s="108"/>
      <c r="AB697" s="108"/>
      <c r="AC697" s="108"/>
      <c r="AD697" s="108"/>
    </row>
    <row r="698" spans="1:30" ht="13.5" customHeight="1">
      <c r="A698" s="108"/>
      <c r="B698" s="49"/>
      <c r="C698" s="50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  <c r="AA698" s="108"/>
      <c r="AB698" s="108"/>
      <c r="AC698" s="108"/>
      <c r="AD698" s="108"/>
    </row>
    <row r="699" spans="1:30" ht="13.5" customHeight="1">
      <c r="A699" s="108"/>
      <c r="B699" s="49"/>
      <c r="C699" s="50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  <c r="AA699" s="108"/>
      <c r="AB699" s="108"/>
      <c r="AC699" s="108"/>
      <c r="AD699" s="108"/>
    </row>
    <row r="700" spans="1:30" ht="13.5" customHeight="1">
      <c r="A700" s="108"/>
      <c r="B700" s="49"/>
      <c r="C700" s="50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  <c r="AA700" s="108"/>
      <c r="AB700" s="108"/>
      <c r="AC700" s="108"/>
      <c r="AD700" s="108"/>
    </row>
    <row r="701" spans="1:30" ht="13.5" customHeight="1">
      <c r="A701" s="108"/>
      <c r="B701" s="49"/>
      <c r="C701" s="50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  <c r="AA701" s="108"/>
      <c r="AB701" s="108"/>
      <c r="AC701" s="108"/>
      <c r="AD701" s="108"/>
    </row>
    <row r="702" spans="1:30" ht="13.5" customHeight="1">
      <c r="A702" s="108"/>
      <c r="B702" s="49"/>
      <c r="C702" s="50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  <c r="AA702" s="108"/>
      <c r="AB702" s="108"/>
      <c r="AC702" s="108"/>
      <c r="AD702" s="108"/>
    </row>
    <row r="703" spans="1:30" ht="13.5" customHeight="1">
      <c r="A703" s="108"/>
      <c r="B703" s="49"/>
      <c r="C703" s="50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  <c r="AA703" s="108"/>
      <c r="AB703" s="108"/>
      <c r="AC703" s="108"/>
      <c r="AD703" s="108"/>
    </row>
    <row r="704" spans="1:30" ht="13.5" customHeight="1">
      <c r="A704" s="108"/>
      <c r="B704" s="49"/>
      <c r="C704" s="50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  <c r="AA704" s="108"/>
      <c r="AB704" s="108"/>
      <c r="AC704" s="108"/>
      <c r="AD704" s="108"/>
    </row>
    <row r="705" spans="1:30" ht="13.5" customHeight="1">
      <c r="A705" s="108"/>
      <c r="B705" s="49"/>
      <c r="C705" s="50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  <c r="AA705" s="108"/>
      <c r="AB705" s="108"/>
      <c r="AC705" s="108"/>
      <c r="AD705" s="108"/>
    </row>
    <row r="706" spans="1:30" ht="13.5" customHeight="1">
      <c r="A706" s="108"/>
      <c r="B706" s="49"/>
      <c r="C706" s="50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  <c r="AA706" s="108"/>
      <c r="AB706" s="108"/>
      <c r="AC706" s="108"/>
      <c r="AD706" s="108"/>
    </row>
    <row r="707" spans="1:30" ht="13.5" customHeight="1">
      <c r="A707" s="108"/>
      <c r="B707" s="49"/>
      <c r="C707" s="50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  <c r="AA707" s="108"/>
      <c r="AB707" s="108"/>
      <c r="AC707" s="108"/>
      <c r="AD707" s="108"/>
    </row>
    <row r="708" spans="1:30" ht="13.5" customHeight="1">
      <c r="A708" s="108"/>
      <c r="B708" s="49"/>
      <c r="C708" s="50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  <c r="AA708" s="108"/>
      <c r="AB708" s="108"/>
      <c r="AC708" s="108"/>
      <c r="AD708" s="108"/>
    </row>
    <row r="709" spans="1:30" ht="13.5" customHeight="1">
      <c r="A709" s="108"/>
      <c r="B709" s="49"/>
      <c r="C709" s="50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  <c r="AA709" s="108"/>
      <c r="AB709" s="108"/>
      <c r="AC709" s="108"/>
      <c r="AD709" s="108"/>
    </row>
    <row r="710" spans="1:30" ht="13.5" customHeight="1">
      <c r="A710" s="108"/>
      <c r="B710" s="49"/>
      <c r="C710" s="50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  <c r="AA710" s="108"/>
      <c r="AB710" s="108"/>
      <c r="AC710" s="108"/>
      <c r="AD710" s="108"/>
    </row>
    <row r="711" spans="1:30" ht="13.5" customHeight="1">
      <c r="A711" s="108"/>
      <c r="B711" s="49"/>
      <c r="C711" s="50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  <c r="AA711" s="108"/>
      <c r="AB711" s="108"/>
      <c r="AC711" s="108"/>
      <c r="AD711" s="108"/>
    </row>
    <row r="712" spans="1:30" ht="13.5" customHeight="1">
      <c r="A712" s="108"/>
      <c r="B712" s="49"/>
      <c r="C712" s="50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  <c r="AA712" s="108"/>
      <c r="AB712" s="108"/>
      <c r="AC712" s="108"/>
      <c r="AD712" s="108"/>
    </row>
    <row r="713" spans="1:30" ht="13.5" customHeight="1">
      <c r="A713" s="108"/>
      <c r="B713" s="49"/>
      <c r="C713" s="50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  <c r="AA713" s="108"/>
      <c r="AB713" s="108"/>
      <c r="AC713" s="108"/>
      <c r="AD713" s="108"/>
    </row>
    <row r="714" spans="1:30" ht="13.5" customHeight="1">
      <c r="A714" s="108"/>
      <c r="B714" s="49"/>
      <c r="C714" s="50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  <c r="AA714" s="108"/>
      <c r="AB714" s="108"/>
      <c r="AC714" s="108"/>
      <c r="AD714" s="108"/>
    </row>
    <row r="715" spans="1:30" ht="13.5" customHeight="1">
      <c r="A715" s="108"/>
      <c r="B715" s="49"/>
      <c r="C715" s="50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  <c r="AA715" s="108"/>
      <c r="AB715" s="108"/>
      <c r="AC715" s="108"/>
      <c r="AD715" s="108"/>
    </row>
    <row r="716" spans="1:30" ht="13.5" customHeight="1">
      <c r="A716" s="108"/>
      <c r="B716" s="49"/>
      <c r="C716" s="50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  <c r="AA716" s="108"/>
      <c r="AB716" s="108"/>
      <c r="AC716" s="108"/>
      <c r="AD716" s="108"/>
    </row>
    <row r="717" spans="1:30" ht="13.5" customHeight="1">
      <c r="A717" s="108"/>
      <c r="B717" s="49"/>
      <c r="C717" s="50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  <c r="AA717" s="108"/>
      <c r="AB717" s="108"/>
      <c r="AC717" s="108"/>
      <c r="AD717" s="108"/>
    </row>
    <row r="718" spans="1:30" ht="13.5" customHeight="1">
      <c r="A718" s="108"/>
      <c r="B718" s="49"/>
      <c r="C718" s="50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  <c r="AA718" s="108"/>
      <c r="AB718" s="108"/>
      <c r="AC718" s="108"/>
      <c r="AD718" s="108"/>
    </row>
    <row r="719" spans="1:30" ht="13.5" customHeight="1">
      <c r="A719" s="108"/>
      <c r="B719" s="49"/>
      <c r="C719" s="50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  <c r="AA719" s="108"/>
      <c r="AB719" s="108"/>
      <c r="AC719" s="108"/>
      <c r="AD719" s="108"/>
    </row>
    <row r="720" spans="1:30" ht="13.5" customHeight="1">
      <c r="A720" s="108"/>
      <c r="B720" s="49"/>
      <c r="C720" s="50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  <c r="AA720" s="108"/>
      <c r="AB720" s="108"/>
      <c r="AC720" s="108"/>
      <c r="AD720" s="108"/>
    </row>
    <row r="721" spans="1:30" ht="13.5" customHeight="1">
      <c r="A721" s="108"/>
      <c r="B721" s="49"/>
      <c r="C721" s="50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  <c r="AA721" s="108"/>
      <c r="AB721" s="108"/>
      <c r="AC721" s="108"/>
      <c r="AD721" s="108"/>
    </row>
    <row r="722" spans="1:30" ht="13.5" customHeight="1">
      <c r="A722" s="108"/>
      <c r="B722" s="49"/>
      <c r="C722" s="50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  <c r="AA722" s="108"/>
      <c r="AB722" s="108"/>
      <c r="AC722" s="108"/>
      <c r="AD722" s="108"/>
    </row>
    <row r="723" spans="1:30" ht="13.5" customHeight="1">
      <c r="A723" s="108"/>
      <c r="B723" s="49"/>
      <c r="C723" s="50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  <c r="AC723" s="108"/>
      <c r="AD723" s="108"/>
    </row>
    <row r="724" spans="1:30" ht="13.5" customHeight="1">
      <c r="A724" s="108"/>
      <c r="B724" s="49"/>
      <c r="C724" s="50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  <c r="AA724" s="108"/>
      <c r="AB724" s="108"/>
      <c r="AC724" s="108"/>
      <c r="AD724" s="108"/>
    </row>
    <row r="725" spans="1:30" ht="13.5" customHeight="1">
      <c r="A725" s="108"/>
      <c r="B725" s="49"/>
      <c r="C725" s="50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  <c r="AA725" s="108"/>
      <c r="AB725" s="108"/>
      <c r="AC725" s="108"/>
      <c r="AD725" s="108"/>
    </row>
    <row r="726" spans="1:30" ht="13.5" customHeight="1">
      <c r="A726" s="108"/>
      <c r="B726" s="49"/>
      <c r="C726" s="50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  <c r="AA726" s="108"/>
      <c r="AB726" s="108"/>
      <c r="AC726" s="108"/>
      <c r="AD726" s="108"/>
    </row>
    <row r="727" spans="1:30" ht="13.5" customHeight="1">
      <c r="A727" s="108"/>
      <c r="B727" s="49"/>
      <c r="C727" s="50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  <c r="AA727" s="108"/>
      <c r="AB727" s="108"/>
      <c r="AC727" s="108"/>
      <c r="AD727" s="108"/>
    </row>
    <row r="728" spans="1:30" ht="13.5" customHeight="1">
      <c r="A728" s="108"/>
      <c r="B728" s="49"/>
      <c r="C728" s="50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  <c r="AC728" s="108"/>
      <c r="AD728" s="108"/>
    </row>
    <row r="729" spans="1:30" ht="13.5" customHeight="1">
      <c r="A729" s="108"/>
      <c r="B729" s="49"/>
      <c r="C729" s="50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  <c r="AA729" s="108"/>
      <c r="AB729" s="108"/>
      <c r="AC729" s="108"/>
      <c r="AD729" s="108"/>
    </row>
    <row r="730" spans="1:30" ht="13.5" customHeight="1">
      <c r="A730" s="108"/>
      <c r="B730" s="49"/>
      <c r="C730" s="50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  <c r="AA730" s="108"/>
      <c r="AB730" s="108"/>
      <c r="AC730" s="108"/>
      <c r="AD730" s="108"/>
    </row>
    <row r="731" spans="1:30" ht="13.5" customHeight="1">
      <c r="A731" s="108"/>
      <c r="B731" s="49"/>
      <c r="C731" s="50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  <c r="AA731" s="108"/>
      <c r="AB731" s="108"/>
      <c r="AC731" s="108"/>
      <c r="AD731" s="108"/>
    </row>
    <row r="732" spans="1:30" ht="13.5" customHeight="1">
      <c r="A732" s="108"/>
      <c r="B732" s="49"/>
      <c r="C732" s="50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  <c r="AA732" s="108"/>
      <c r="AB732" s="108"/>
      <c r="AC732" s="108"/>
      <c r="AD732" s="108"/>
    </row>
    <row r="733" spans="1:30" ht="13.5" customHeight="1">
      <c r="A733" s="108"/>
      <c r="B733" s="49"/>
      <c r="C733" s="50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  <c r="AA733" s="108"/>
      <c r="AB733" s="108"/>
      <c r="AC733" s="108"/>
      <c r="AD733" s="108"/>
    </row>
    <row r="734" spans="1:30" ht="13.5" customHeight="1">
      <c r="A734" s="108"/>
      <c r="B734" s="49"/>
      <c r="C734" s="50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</row>
    <row r="735" spans="1:30" ht="13.5" customHeight="1">
      <c r="A735" s="108"/>
      <c r="B735" s="49"/>
      <c r="C735" s="50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  <c r="AA735" s="108"/>
      <c r="AB735" s="108"/>
      <c r="AC735" s="108"/>
      <c r="AD735" s="108"/>
    </row>
    <row r="736" spans="1:30" ht="13.5" customHeight="1">
      <c r="A736" s="108"/>
      <c r="B736" s="49"/>
      <c r="C736" s="50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  <c r="AA736" s="108"/>
      <c r="AB736" s="108"/>
      <c r="AC736" s="108"/>
      <c r="AD736" s="108"/>
    </row>
    <row r="737" spans="1:30" ht="13.5" customHeight="1">
      <c r="A737" s="108"/>
      <c r="B737" s="49"/>
      <c r="C737" s="50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  <c r="AA737" s="108"/>
      <c r="AB737" s="108"/>
      <c r="AC737" s="108"/>
      <c r="AD737" s="108"/>
    </row>
    <row r="738" spans="1:30" ht="13.5" customHeight="1">
      <c r="A738" s="108"/>
      <c r="B738" s="49"/>
      <c r="C738" s="50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  <c r="AA738" s="108"/>
      <c r="AB738" s="108"/>
      <c r="AC738" s="108"/>
      <c r="AD738" s="108"/>
    </row>
    <row r="739" spans="1:30" ht="13.5" customHeight="1">
      <c r="A739" s="108"/>
      <c r="B739" s="49"/>
      <c r="C739" s="50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  <c r="AB739" s="108"/>
      <c r="AC739" s="108"/>
      <c r="AD739" s="108"/>
    </row>
    <row r="740" spans="1:30" ht="13.5" customHeight="1">
      <c r="A740" s="108"/>
      <c r="B740" s="49"/>
      <c r="C740" s="50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  <c r="AA740" s="108"/>
      <c r="AB740" s="108"/>
      <c r="AC740" s="108"/>
      <c r="AD740" s="108"/>
    </row>
    <row r="741" spans="1:30" ht="13.5" customHeight="1">
      <c r="A741" s="108"/>
      <c r="B741" s="49"/>
      <c r="C741" s="50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  <c r="AA741" s="108"/>
      <c r="AB741" s="108"/>
      <c r="AC741" s="108"/>
      <c r="AD741" s="108"/>
    </row>
    <row r="742" spans="1:30" ht="13.5" customHeight="1">
      <c r="A742" s="108"/>
      <c r="B742" s="49"/>
      <c r="C742" s="50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  <c r="AA742" s="108"/>
      <c r="AB742" s="108"/>
      <c r="AC742" s="108"/>
      <c r="AD742" s="108"/>
    </row>
    <row r="743" spans="1:30" ht="13.5" customHeight="1">
      <c r="A743" s="108"/>
      <c r="B743" s="49"/>
      <c r="C743" s="50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  <c r="AA743" s="108"/>
      <c r="AB743" s="108"/>
      <c r="AC743" s="108"/>
      <c r="AD743" s="108"/>
    </row>
    <row r="744" spans="1:30" ht="13.5" customHeight="1">
      <c r="A744" s="108"/>
      <c r="B744" s="49"/>
      <c r="C744" s="50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  <c r="AA744" s="108"/>
      <c r="AB744" s="108"/>
      <c r="AC744" s="108"/>
      <c r="AD744" s="108"/>
    </row>
    <row r="745" spans="1:30" ht="13.5" customHeight="1">
      <c r="A745" s="108"/>
      <c r="B745" s="49"/>
      <c r="C745" s="50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  <c r="AA745" s="108"/>
      <c r="AB745" s="108"/>
      <c r="AC745" s="108"/>
      <c r="AD745" s="108"/>
    </row>
    <row r="746" spans="1:30" ht="13.5" customHeight="1">
      <c r="A746" s="108"/>
      <c r="B746" s="49"/>
      <c r="C746" s="50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  <c r="AA746" s="108"/>
      <c r="AB746" s="108"/>
      <c r="AC746" s="108"/>
      <c r="AD746" s="108"/>
    </row>
    <row r="747" spans="1:30" ht="13.5" customHeight="1">
      <c r="A747" s="108"/>
      <c r="B747" s="49"/>
      <c r="C747" s="50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  <c r="AA747" s="108"/>
      <c r="AB747" s="108"/>
      <c r="AC747" s="108"/>
      <c r="AD747" s="108"/>
    </row>
    <row r="748" spans="1:30" ht="13.5" customHeight="1">
      <c r="A748" s="108"/>
      <c r="B748" s="49"/>
      <c r="C748" s="50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  <c r="AA748" s="108"/>
      <c r="AB748" s="108"/>
      <c r="AC748" s="108"/>
      <c r="AD748" s="108"/>
    </row>
    <row r="749" spans="1:30" ht="13.5" customHeight="1">
      <c r="A749" s="108"/>
      <c r="B749" s="49"/>
      <c r="C749" s="50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  <c r="AA749" s="108"/>
      <c r="AB749" s="108"/>
      <c r="AC749" s="108"/>
      <c r="AD749" s="108"/>
    </row>
    <row r="750" spans="1:30" ht="13.5" customHeight="1">
      <c r="A750" s="108"/>
      <c r="B750" s="49"/>
      <c r="C750" s="50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  <c r="AA750" s="108"/>
      <c r="AB750" s="108"/>
      <c r="AC750" s="108"/>
      <c r="AD750" s="108"/>
    </row>
    <row r="751" spans="1:30" ht="13.5" customHeight="1">
      <c r="A751" s="108"/>
      <c r="B751" s="49"/>
      <c r="C751" s="50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  <c r="AA751" s="108"/>
      <c r="AB751" s="108"/>
      <c r="AC751" s="108"/>
      <c r="AD751" s="108"/>
    </row>
    <row r="752" spans="1:30" ht="13.5" customHeight="1">
      <c r="A752" s="108"/>
      <c r="B752" s="49"/>
      <c r="C752" s="50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  <c r="AA752" s="108"/>
      <c r="AB752" s="108"/>
      <c r="AC752" s="108"/>
      <c r="AD752" s="108"/>
    </row>
    <row r="753" spans="1:30" ht="13.5" customHeight="1">
      <c r="A753" s="108"/>
      <c r="B753" s="49"/>
      <c r="C753" s="50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  <c r="AB753" s="108"/>
      <c r="AC753" s="108"/>
      <c r="AD753" s="108"/>
    </row>
    <row r="754" spans="1:30" ht="13.5" customHeight="1">
      <c r="A754" s="108"/>
      <c r="B754" s="49"/>
      <c r="C754" s="50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  <c r="AA754" s="108"/>
      <c r="AB754" s="108"/>
      <c r="AC754" s="108"/>
      <c r="AD754" s="108"/>
    </row>
    <row r="755" spans="1:30" ht="13.5" customHeight="1">
      <c r="A755" s="108"/>
      <c r="B755" s="49"/>
      <c r="C755" s="50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  <c r="AA755" s="108"/>
      <c r="AB755" s="108"/>
      <c r="AC755" s="108"/>
      <c r="AD755" s="108"/>
    </row>
    <row r="756" spans="1:30" ht="13.5" customHeight="1">
      <c r="A756" s="108"/>
      <c r="B756" s="49"/>
      <c r="C756" s="50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  <c r="AA756" s="108"/>
      <c r="AB756" s="108"/>
      <c r="AC756" s="108"/>
      <c r="AD756" s="108"/>
    </row>
    <row r="757" spans="1:30" ht="13.5" customHeight="1">
      <c r="A757" s="108"/>
      <c r="B757" s="49"/>
      <c r="C757" s="50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  <c r="AA757" s="108"/>
      <c r="AB757" s="108"/>
      <c r="AC757" s="108"/>
      <c r="AD757" s="108"/>
    </row>
    <row r="758" spans="1:30" ht="13.5" customHeight="1">
      <c r="A758" s="108"/>
      <c r="B758" s="49"/>
      <c r="C758" s="50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  <c r="AA758" s="108"/>
      <c r="AB758" s="108"/>
      <c r="AC758" s="108"/>
      <c r="AD758" s="108"/>
    </row>
    <row r="759" spans="1:30" ht="13.5" customHeight="1">
      <c r="A759" s="108"/>
      <c r="B759" s="49"/>
      <c r="C759" s="50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  <c r="AA759" s="108"/>
      <c r="AB759" s="108"/>
      <c r="AC759" s="108"/>
      <c r="AD759" s="108"/>
    </row>
    <row r="760" spans="1:30" ht="13.5" customHeight="1">
      <c r="A760" s="108"/>
      <c r="B760" s="49"/>
      <c r="C760" s="50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  <c r="AA760" s="108"/>
      <c r="AB760" s="108"/>
      <c r="AC760" s="108"/>
      <c r="AD760" s="108"/>
    </row>
    <row r="761" spans="1:30" ht="13.5" customHeight="1">
      <c r="A761" s="108"/>
      <c r="B761" s="49"/>
      <c r="C761" s="50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  <c r="AA761" s="108"/>
      <c r="AB761" s="108"/>
      <c r="AC761" s="108"/>
      <c r="AD761" s="108"/>
    </row>
    <row r="762" spans="1:30" ht="13.5" customHeight="1">
      <c r="A762" s="108"/>
      <c r="B762" s="49"/>
      <c r="C762" s="50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  <c r="AA762" s="108"/>
      <c r="AB762" s="108"/>
      <c r="AC762" s="108"/>
      <c r="AD762" s="108"/>
    </row>
    <row r="763" spans="1:30" ht="13.5" customHeight="1">
      <c r="A763" s="108"/>
      <c r="B763" s="49"/>
      <c r="C763" s="50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  <c r="AA763" s="108"/>
      <c r="AB763" s="108"/>
      <c r="AC763" s="108"/>
      <c r="AD763" s="108"/>
    </row>
    <row r="764" spans="1:30" ht="13.5" customHeight="1">
      <c r="A764" s="108"/>
      <c r="B764" s="49"/>
      <c r="C764" s="50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  <c r="AA764" s="108"/>
      <c r="AB764" s="108"/>
      <c r="AC764" s="108"/>
      <c r="AD764" s="108"/>
    </row>
    <row r="765" spans="1:30" ht="13.5" customHeight="1">
      <c r="A765" s="108"/>
      <c r="B765" s="49"/>
      <c r="C765" s="50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  <c r="AB765" s="108"/>
      <c r="AC765" s="108"/>
      <c r="AD765" s="108"/>
    </row>
    <row r="766" spans="1:30" ht="13.5" customHeight="1">
      <c r="A766" s="108"/>
      <c r="B766" s="49"/>
      <c r="C766" s="50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  <c r="AA766" s="108"/>
      <c r="AB766" s="108"/>
      <c r="AC766" s="108"/>
      <c r="AD766" s="108"/>
    </row>
    <row r="767" spans="1:30" ht="13.5" customHeight="1">
      <c r="A767" s="108"/>
      <c r="B767" s="49"/>
      <c r="C767" s="50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  <c r="AA767" s="108"/>
      <c r="AB767" s="108"/>
      <c r="AC767" s="108"/>
      <c r="AD767" s="108"/>
    </row>
    <row r="768" spans="1:30" ht="13.5" customHeight="1">
      <c r="A768" s="108"/>
      <c r="B768" s="49"/>
      <c r="C768" s="50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  <c r="AA768" s="108"/>
      <c r="AB768" s="108"/>
      <c r="AC768" s="108"/>
      <c r="AD768" s="108"/>
    </row>
    <row r="769" spans="1:30" ht="13.5" customHeight="1">
      <c r="A769" s="108"/>
      <c r="B769" s="49"/>
      <c r="C769" s="50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  <c r="AA769" s="108"/>
      <c r="AB769" s="108"/>
      <c r="AC769" s="108"/>
      <c r="AD769" s="108"/>
    </row>
    <row r="770" spans="1:30" ht="13.5" customHeight="1">
      <c r="A770" s="108"/>
      <c r="B770" s="49"/>
      <c r="C770" s="50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  <c r="AA770" s="108"/>
      <c r="AB770" s="108"/>
      <c r="AC770" s="108"/>
      <c r="AD770" s="108"/>
    </row>
    <row r="771" spans="1:30" ht="13.5" customHeight="1">
      <c r="A771" s="108"/>
      <c r="B771" s="49"/>
      <c r="C771" s="50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  <c r="AA771" s="108"/>
      <c r="AB771" s="108"/>
      <c r="AC771" s="108"/>
      <c r="AD771" s="108"/>
    </row>
    <row r="772" spans="1:30" ht="13.5" customHeight="1">
      <c r="A772" s="108"/>
      <c r="B772" s="49"/>
      <c r="C772" s="50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  <c r="AA772" s="108"/>
      <c r="AB772" s="108"/>
      <c r="AC772" s="108"/>
      <c r="AD772" s="108"/>
    </row>
    <row r="773" spans="1:30" ht="13.5" customHeight="1">
      <c r="A773" s="108"/>
      <c r="B773" s="49"/>
      <c r="C773" s="50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  <c r="AA773" s="108"/>
      <c r="AB773" s="108"/>
      <c r="AC773" s="108"/>
      <c r="AD773" s="108"/>
    </row>
    <row r="774" spans="1:30" ht="13.5" customHeight="1">
      <c r="A774" s="108"/>
      <c r="B774" s="49"/>
      <c r="C774" s="50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  <c r="AA774" s="108"/>
      <c r="AB774" s="108"/>
      <c r="AC774" s="108"/>
      <c r="AD774" s="108"/>
    </row>
    <row r="775" spans="1:30" ht="13.5" customHeight="1">
      <c r="A775" s="108"/>
      <c r="B775" s="49"/>
      <c r="C775" s="50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  <c r="AA775" s="108"/>
      <c r="AB775" s="108"/>
      <c r="AC775" s="108"/>
      <c r="AD775" s="108"/>
    </row>
    <row r="776" spans="1:30" ht="13.5" customHeight="1">
      <c r="A776" s="108"/>
      <c r="B776" s="49"/>
      <c r="C776" s="50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  <c r="AA776" s="108"/>
      <c r="AB776" s="108"/>
      <c r="AC776" s="108"/>
      <c r="AD776" s="108"/>
    </row>
    <row r="777" spans="1:30" ht="13.5" customHeight="1">
      <c r="A777" s="108"/>
      <c r="B777" s="49"/>
      <c r="C777" s="50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  <c r="AA777" s="108"/>
      <c r="AB777" s="108"/>
      <c r="AC777" s="108"/>
      <c r="AD777" s="108"/>
    </row>
    <row r="778" spans="1:30" ht="13.5" customHeight="1">
      <c r="A778" s="108"/>
      <c r="B778" s="49"/>
      <c r="C778" s="50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  <c r="AA778" s="108"/>
      <c r="AB778" s="108"/>
      <c r="AC778" s="108"/>
      <c r="AD778" s="108"/>
    </row>
    <row r="779" spans="1:30" ht="13.5" customHeight="1">
      <c r="A779" s="108"/>
      <c r="B779" s="49"/>
      <c r="C779" s="50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  <c r="AA779" s="108"/>
      <c r="AB779" s="108"/>
      <c r="AC779" s="108"/>
      <c r="AD779" s="108"/>
    </row>
    <row r="780" spans="1:30" ht="13.5" customHeight="1">
      <c r="A780" s="108"/>
      <c r="B780" s="49"/>
      <c r="C780" s="50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  <c r="AA780" s="108"/>
      <c r="AB780" s="108"/>
      <c r="AC780" s="108"/>
      <c r="AD780" s="108"/>
    </row>
    <row r="781" spans="1:30" ht="13.5" customHeight="1">
      <c r="A781" s="108"/>
      <c r="B781" s="49"/>
      <c r="C781" s="50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  <c r="AA781" s="108"/>
      <c r="AB781" s="108"/>
      <c r="AC781" s="108"/>
      <c r="AD781" s="108"/>
    </row>
    <row r="782" spans="1:30" ht="13.5" customHeight="1">
      <c r="A782" s="108"/>
      <c r="B782" s="49"/>
      <c r="C782" s="50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  <c r="AA782" s="108"/>
      <c r="AB782" s="108"/>
      <c r="AC782" s="108"/>
      <c r="AD782" s="108"/>
    </row>
    <row r="783" spans="1:30" ht="13.5" customHeight="1">
      <c r="A783" s="108"/>
      <c r="B783" s="49"/>
      <c r="C783" s="50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  <c r="AA783" s="108"/>
      <c r="AB783" s="108"/>
      <c r="AC783" s="108"/>
      <c r="AD783" s="108"/>
    </row>
    <row r="784" spans="1:30" ht="13.5" customHeight="1">
      <c r="A784" s="108"/>
      <c r="B784" s="49"/>
      <c r="C784" s="50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  <c r="AA784" s="108"/>
      <c r="AB784" s="108"/>
      <c r="AC784" s="108"/>
      <c r="AD784" s="108"/>
    </row>
    <row r="785" spans="1:30" ht="13.5" customHeight="1">
      <c r="A785" s="108"/>
      <c r="B785" s="49"/>
      <c r="C785" s="50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  <c r="AA785" s="108"/>
      <c r="AB785" s="108"/>
      <c r="AC785" s="108"/>
      <c r="AD785" s="108"/>
    </row>
    <row r="786" spans="1:30" ht="13.5" customHeight="1">
      <c r="A786" s="108"/>
      <c r="B786" s="49"/>
      <c r="C786" s="50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  <c r="AB786" s="108"/>
      <c r="AC786" s="108"/>
      <c r="AD786" s="108"/>
    </row>
    <row r="787" spans="1:30" ht="13.5" customHeight="1">
      <c r="A787" s="108"/>
      <c r="B787" s="49"/>
      <c r="C787" s="50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  <c r="AA787" s="108"/>
      <c r="AB787" s="108"/>
      <c r="AC787" s="108"/>
      <c r="AD787" s="108"/>
    </row>
    <row r="788" spans="1:30" ht="13.5" customHeight="1">
      <c r="A788" s="108"/>
      <c r="B788" s="49"/>
      <c r="C788" s="50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  <c r="AA788" s="108"/>
      <c r="AB788" s="108"/>
      <c r="AC788" s="108"/>
      <c r="AD788" s="108"/>
    </row>
    <row r="789" spans="1:30" ht="13.5" customHeight="1">
      <c r="A789" s="108"/>
      <c r="B789" s="49"/>
      <c r="C789" s="50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  <c r="AA789" s="108"/>
      <c r="AB789" s="108"/>
      <c r="AC789" s="108"/>
      <c r="AD789" s="108"/>
    </row>
    <row r="790" spans="1:30" ht="13.5" customHeight="1">
      <c r="A790" s="108"/>
      <c r="B790" s="49"/>
      <c r="C790" s="50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  <c r="AA790" s="108"/>
      <c r="AB790" s="108"/>
      <c r="AC790" s="108"/>
      <c r="AD790" s="108"/>
    </row>
    <row r="791" spans="1:30" ht="13.5" customHeight="1">
      <c r="A791" s="108"/>
      <c r="B791" s="49"/>
      <c r="C791" s="50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  <c r="AA791" s="108"/>
      <c r="AB791" s="108"/>
      <c r="AC791" s="108"/>
      <c r="AD791" s="108"/>
    </row>
    <row r="792" spans="1:30" ht="13.5" customHeight="1">
      <c r="A792" s="108"/>
      <c r="B792" s="49"/>
      <c r="C792" s="50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  <c r="AA792" s="108"/>
      <c r="AB792" s="108"/>
      <c r="AC792" s="108"/>
      <c r="AD792" s="108"/>
    </row>
    <row r="793" spans="1:30" ht="13.5" customHeight="1">
      <c r="A793" s="108"/>
      <c r="B793" s="49"/>
      <c r="C793" s="50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  <c r="AA793" s="108"/>
      <c r="AB793" s="108"/>
      <c r="AC793" s="108"/>
      <c r="AD793" s="108"/>
    </row>
    <row r="794" spans="1:30" ht="13.5" customHeight="1">
      <c r="A794" s="108"/>
      <c r="B794" s="49"/>
      <c r="C794" s="50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  <c r="AA794" s="108"/>
      <c r="AB794" s="108"/>
      <c r="AC794" s="108"/>
      <c r="AD794" s="108"/>
    </row>
    <row r="795" spans="1:30" ht="13.5" customHeight="1">
      <c r="A795" s="108"/>
      <c r="B795" s="49"/>
      <c r="C795" s="50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  <c r="AA795" s="108"/>
      <c r="AB795" s="108"/>
      <c r="AC795" s="108"/>
      <c r="AD795" s="108"/>
    </row>
    <row r="796" spans="1:30" ht="13.5" customHeight="1">
      <c r="A796" s="108"/>
      <c r="B796" s="49"/>
      <c r="C796" s="50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  <c r="AA796" s="108"/>
      <c r="AB796" s="108"/>
      <c r="AC796" s="108"/>
      <c r="AD796" s="108"/>
    </row>
    <row r="797" spans="1:30" ht="13.5" customHeight="1">
      <c r="A797" s="108"/>
      <c r="B797" s="49"/>
      <c r="C797" s="50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  <c r="AA797" s="108"/>
      <c r="AB797" s="108"/>
      <c r="AC797" s="108"/>
      <c r="AD797" s="108"/>
    </row>
    <row r="798" spans="1:30" ht="13.5" customHeight="1">
      <c r="A798" s="108"/>
      <c r="B798" s="49"/>
      <c r="C798" s="50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  <c r="AA798" s="108"/>
      <c r="AB798" s="108"/>
      <c r="AC798" s="108"/>
      <c r="AD798" s="108"/>
    </row>
    <row r="799" spans="1:30" ht="13.5" customHeight="1">
      <c r="A799" s="108"/>
      <c r="B799" s="49"/>
      <c r="C799" s="50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  <c r="AA799" s="108"/>
      <c r="AB799" s="108"/>
      <c r="AC799" s="108"/>
      <c r="AD799" s="108"/>
    </row>
    <row r="800" spans="1:30" ht="13.5" customHeight="1">
      <c r="A800" s="108"/>
      <c r="B800" s="49"/>
      <c r="C800" s="50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  <c r="AA800" s="108"/>
      <c r="AB800" s="108"/>
      <c r="AC800" s="108"/>
      <c r="AD800" s="108"/>
    </row>
    <row r="801" spans="1:30" ht="13.5" customHeight="1">
      <c r="A801" s="108"/>
      <c r="B801" s="49"/>
      <c r="C801" s="50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  <c r="AA801" s="108"/>
      <c r="AB801" s="108"/>
      <c r="AC801" s="108"/>
      <c r="AD801" s="108"/>
    </row>
    <row r="802" spans="1:30" ht="13.5" customHeight="1">
      <c r="A802" s="108"/>
      <c r="B802" s="49"/>
      <c r="C802" s="50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  <c r="AA802" s="108"/>
      <c r="AB802" s="108"/>
      <c r="AC802" s="108"/>
      <c r="AD802" s="108"/>
    </row>
    <row r="803" spans="1:30" ht="13.5" customHeight="1">
      <c r="A803" s="108"/>
      <c r="B803" s="49"/>
      <c r="C803" s="50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  <c r="AA803" s="108"/>
      <c r="AB803" s="108"/>
      <c r="AC803" s="108"/>
      <c r="AD803" s="108"/>
    </row>
    <row r="804" spans="1:30" ht="13.5" customHeight="1">
      <c r="A804" s="108"/>
      <c r="B804" s="49"/>
      <c r="C804" s="50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  <c r="AA804" s="108"/>
      <c r="AB804" s="108"/>
      <c r="AC804" s="108"/>
      <c r="AD804" s="108"/>
    </row>
    <row r="805" spans="1:30" ht="13.5" customHeight="1">
      <c r="A805" s="108"/>
      <c r="B805" s="49"/>
      <c r="C805" s="50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  <c r="AA805" s="108"/>
      <c r="AB805" s="108"/>
      <c r="AC805" s="108"/>
      <c r="AD805" s="108"/>
    </row>
    <row r="806" spans="1:30" ht="13.5" customHeight="1">
      <c r="A806" s="108"/>
      <c r="B806" s="49"/>
      <c r="C806" s="50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  <c r="AA806" s="108"/>
      <c r="AB806" s="108"/>
      <c r="AC806" s="108"/>
      <c r="AD806" s="108"/>
    </row>
    <row r="807" spans="1:30" ht="13.5" customHeight="1">
      <c r="A807" s="108"/>
      <c r="B807" s="49"/>
      <c r="C807" s="50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  <c r="AA807" s="108"/>
      <c r="AB807" s="108"/>
      <c r="AC807" s="108"/>
      <c r="AD807" s="108"/>
    </row>
    <row r="808" spans="1:30" ht="13.5" customHeight="1">
      <c r="A808" s="108"/>
      <c r="B808" s="49"/>
      <c r="C808" s="50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  <c r="AA808" s="108"/>
      <c r="AB808" s="108"/>
      <c r="AC808" s="108"/>
      <c r="AD808" s="108"/>
    </row>
    <row r="809" spans="1:30" ht="13.5" customHeight="1">
      <c r="A809" s="108"/>
      <c r="B809" s="49"/>
      <c r="C809" s="50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  <c r="AA809" s="108"/>
      <c r="AB809" s="108"/>
      <c r="AC809" s="108"/>
      <c r="AD809" s="108"/>
    </row>
    <row r="810" spans="1:30" ht="13.5" customHeight="1">
      <c r="A810" s="108"/>
      <c r="B810" s="49"/>
      <c r="C810" s="50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  <c r="AA810" s="108"/>
      <c r="AB810" s="108"/>
      <c r="AC810" s="108"/>
      <c r="AD810" s="108"/>
    </row>
    <row r="811" spans="1:30" ht="13.5" customHeight="1">
      <c r="A811" s="108"/>
      <c r="B811" s="49"/>
      <c r="C811" s="50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  <c r="AA811" s="108"/>
      <c r="AB811" s="108"/>
      <c r="AC811" s="108"/>
      <c r="AD811" s="108"/>
    </row>
    <row r="812" spans="1:30" ht="13.5" customHeight="1">
      <c r="A812" s="108"/>
      <c r="B812" s="49"/>
      <c r="C812" s="50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  <c r="AA812" s="108"/>
      <c r="AB812" s="108"/>
      <c r="AC812" s="108"/>
      <c r="AD812" s="108"/>
    </row>
    <row r="813" spans="1:30" ht="13.5" customHeight="1">
      <c r="A813" s="108"/>
      <c r="B813" s="49"/>
      <c r="C813" s="50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  <c r="AA813" s="108"/>
      <c r="AB813" s="108"/>
      <c r="AC813" s="108"/>
      <c r="AD813" s="108"/>
    </row>
    <row r="814" spans="1:30" ht="13.5" customHeight="1">
      <c r="A814" s="108"/>
      <c r="B814" s="49"/>
      <c r="C814" s="50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  <c r="AA814" s="108"/>
      <c r="AB814" s="108"/>
      <c r="AC814" s="108"/>
      <c r="AD814" s="108"/>
    </row>
    <row r="815" spans="1:30" ht="13.5" customHeight="1">
      <c r="A815" s="108"/>
      <c r="B815" s="49"/>
      <c r="C815" s="50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  <c r="AA815" s="108"/>
      <c r="AB815" s="108"/>
      <c r="AC815" s="108"/>
      <c r="AD815" s="108"/>
    </row>
    <row r="816" spans="1:30" ht="13.5" customHeight="1">
      <c r="A816" s="108"/>
      <c r="B816" s="49"/>
      <c r="C816" s="50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  <c r="AA816" s="108"/>
      <c r="AB816" s="108"/>
      <c r="AC816" s="108"/>
      <c r="AD816" s="108"/>
    </row>
    <row r="817" spans="1:30" ht="13.5" customHeight="1">
      <c r="A817" s="108"/>
      <c r="B817" s="49"/>
      <c r="C817" s="50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  <c r="AA817" s="108"/>
      <c r="AB817" s="108"/>
      <c r="AC817" s="108"/>
      <c r="AD817" s="108"/>
    </row>
    <row r="818" spans="1:30" ht="13.5" customHeight="1">
      <c r="A818" s="108"/>
      <c r="B818" s="49"/>
      <c r="C818" s="50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  <c r="AA818" s="108"/>
      <c r="AB818" s="108"/>
      <c r="AC818" s="108"/>
      <c r="AD818" s="108"/>
    </row>
    <row r="819" spans="1:30" ht="13.5" customHeight="1">
      <c r="A819" s="108"/>
      <c r="B819" s="49"/>
      <c r="C819" s="50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  <c r="AA819" s="108"/>
      <c r="AB819" s="108"/>
      <c r="AC819" s="108"/>
      <c r="AD819" s="108"/>
    </row>
    <row r="820" spans="1:30" ht="13.5" customHeight="1">
      <c r="A820" s="108"/>
      <c r="B820" s="49"/>
      <c r="C820" s="50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  <c r="AA820" s="108"/>
      <c r="AB820" s="108"/>
      <c r="AC820" s="108"/>
      <c r="AD820" s="108"/>
    </row>
    <row r="821" spans="1:30" ht="13.5" customHeight="1">
      <c r="A821" s="108"/>
      <c r="B821" s="49"/>
      <c r="C821" s="50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  <c r="AA821" s="108"/>
      <c r="AB821" s="108"/>
      <c r="AC821" s="108"/>
      <c r="AD821" s="108"/>
    </row>
    <row r="822" spans="1:30" ht="13.5" customHeight="1">
      <c r="A822" s="108"/>
      <c r="B822" s="49"/>
      <c r="C822" s="50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  <c r="AA822" s="108"/>
      <c r="AB822" s="108"/>
      <c r="AC822" s="108"/>
      <c r="AD822" s="108"/>
    </row>
    <row r="823" spans="1:30" ht="13.5" customHeight="1">
      <c r="A823" s="108"/>
      <c r="B823" s="49"/>
      <c r="C823" s="50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  <c r="AA823" s="108"/>
      <c r="AB823" s="108"/>
      <c r="AC823" s="108"/>
      <c r="AD823" s="108"/>
    </row>
    <row r="824" spans="1:30" ht="13.5" customHeight="1">
      <c r="A824" s="108"/>
      <c r="B824" s="49"/>
      <c r="C824" s="50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  <c r="AA824" s="108"/>
      <c r="AB824" s="108"/>
      <c r="AC824" s="108"/>
      <c r="AD824" s="108"/>
    </row>
    <row r="825" spans="1:30" ht="13.5" customHeight="1">
      <c r="A825" s="108"/>
      <c r="B825" s="49"/>
      <c r="C825" s="50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  <c r="AA825" s="108"/>
      <c r="AB825" s="108"/>
      <c r="AC825" s="108"/>
      <c r="AD825" s="108"/>
    </row>
    <row r="826" spans="1:30" ht="13.5" customHeight="1">
      <c r="A826" s="108"/>
      <c r="B826" s="49"/>
      <c r="C826" s="50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  <c r="AA826" s="108"/>
      <c r="AB826" s="108"/>
      <c r="AC826" s="108"/>
      <c r="AD826" s="108"/>
    </row>
    <row r="827" spans="1:30" ht="13.5" customHeight="1">
      <c r="A827" s="108"/>
      <c r="B827" s="49"/>
      <c r="C827" s="50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  <c r="AA827" s="108"/>
      <c r="AB827" s="108"/>
      <c r="AC827" s="108"/>
      <c r="AD827" s="108"/>
    </row>
    <row r="828" spans="1:30" ht="13.5" customHeight="1">
      <c r="A828" s="108"/>
      <c r="B828" s="49"/>
      <c r="C828" s="50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  <c r="AA828" s="108"/>
      <c r="AB828" s="108"/>
      <c r="AC828" s="108"/>
      <c r="AD828" s="108"/>
    </row>
    <row r="829" spans="1:30" ht="13.5" customHeight="1">
      <c r="A829" s="108"/>
      <c r="B829" s="49"/>
      <c r="C829" s="50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  <c r="AA829" s="108"/>
      <c r="AB829" s="108"/>
      <c r="AC829" s="108"/>
      <c r="AD829" s="108"/>
    </row>
    <row r="830" spans="1:30" ht="13.5" customHeight="1">
      <c r="A830" s="108"/>
      <c r="B830" s="49"/>
      <c r="C830" s="50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  <c r="AA830" s="108"/>
      <c r="AB830" s="108"/>
      <c r="AC830" s="108"/>
      <c r="AD830" s="108"/>
    </row>
    <row r="831" spans="1:30" ht="13.5" customHeight="1">
      <c r="A831" s="108"/>
      <c r="B831" s="49"/>
      <c r="C831" s="50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  <c r="AA831" s="108"/>
      <c r="AB831" s="108"/>
      <c r="AC831" s="108"/>
      <c r="AD831" s="108"/>
    </row>
    <row r="832" spans="1:30" ht="13.5" customHeight="1">
      <c r="A832" s="108"/>
      <c r="B832" s="49"/>
      <c r="C832" s="50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  <c r="AA832" s="108"/>
      <c r="AB832" s="108"/>
      <c r="AC832" s="108"/>
      <c r="AD832" s="108"/>
    </row>
    <row r="833" spans="1:30" ht="13.5" customHeight="1">
      <c r="A833" s="108"/>
      <c r="B833" s="49"/>
      <c r="C833" s="50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  <c r="AA833" s="108"/>
      <c r="AB833" s="108"/>
      <c r="AC833" s="108"/>
      <c r="AD833" s="108"/>
    </row>
    <row r="834" spans="1:30" ht="13.5" customHeight="1">
      <c r="A834" s="108"/>
      <c r="B834" s="49"/>
      <c r="C834" s="50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  <c r="AA834" s="108"/>
      <c r="AB834" s="108"/>
      <c r="AC834" s="108"/>
      <c r="AD834" s="108"/>
    </row>
    <row r="835" spans="1:30" ht="13.5" customHeight="1">
      <c r="A835" s="108"/>
      <c r="B835" s="49"/>
      <c r="C835" s="50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  <c r="AA835" s="108"/>
      <c r="AB835" s="108"/>
      <c r="AC835" s="108"/>
      <c r="AD835" s="108"/>
    </row>
    <row r="836" spans="1:30" ht="13.5" customHeight="1">
      <c r="A836" s="108"/>
      <c r="B836" s="49"/>
      <c r="C836" s="50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  <c r="AA836" s="108"/>
      <c r="AB836" s="108"/>
      <c r="AC836" s="108"/>
      <c r="AD836" s="108"/>
    </row>
    <row r="837" spans="1:30" ht="13.5" customHeight="1">
      <c r="A837" s="108"/>
      <c r="B837" s="49"/>
      <c r="C837" s="50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  <c r="AA837" s="108"/>
      <c r="AB837" s="108"/>
      <c r="AC837" s="108"/>
      <c r="AD837" s="108"/>
    </row>
    <row r="838" spans="1:30" ht="13.5" customHeight="1">
      <c r="A838" s="108"/>
      <c r="B838" s="49"/>
      <c r="C838" s="50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  <c r="AA838" s="108"/>
      <c r="AB838" s="108"/>
      <c r="AC838" s="108"/>
      <c r="AD838" s="108"/>
    </row>
    <row r="839" spans="1:30" ht="13.5" customHeight="1">
      <c r="A839" s="108"/>
      <c r="B839" s="49"/>
      <c r="C839" s="50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  <c r="AA839" s="108"/>
      <c r="AB839" s="108"/>
      <c r="AC839" s="108"/>
      <c r="AD839" s="108"/>
    </row>
    <row r="840" spans="1:30" ht="13.5" customHeight="1">
      <c r="A840" s="108"/>
      <c r="B840" s="49"/>
      <c r="C840" s="50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  <c r="AA840" s="108"/>
      <c r="AB840" s="108"/>
      <c r="AC840" s="108"/>
      <c r="AD840" s="108"/>
    </row>
    <row r="841" spans="1:30" ht="13.5" customHeight="1">
      <c r="A841" s="108"/>
      <c r="B841" s="49"/>
      <c r="C841" s="50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  <c r="AA841" s="108"/>
      <c r="AB841" s="108"/>
      <c r="AC841" s="108"/>
      <c r="AD841" s="108"/>
    </row>
    <row r="842" spans="1:30" ht="13.5" customHeight="1">
      <c r="A842" s="108"/>
      <c r="B842" s="49"/>
      <c r="C842" s="50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  <c r="AA842" s="108"/>
      <c r="AB842" s="108"/>
      <c r="AC842" s="108"/>
      <c r="AD842" s="108"/>
    </row>
    <row r="843" spans="1:30" ht="13.5" customHeight="1">
      <c r="A843" s="108"/>
      <c r="B843" s="49"/>
      <c r="C843" s="50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  <c r="AA843" s="108"/>
      <c r="AB843" s="108"/>
      <c r="AC843" s="108"/>
      <c r="AD843" s="108"/>
    </row>
    <row r="844" spans="1:30" ht="13.5" customHeight="1">
      <c r="A844" s="108"/>
      <c r="B844" s="49"/>
      <c r="C844" s="50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  <c r="AA844" s="108"/>
      <c r="AB844" s="108"/>
      <c r="AC844" s="108"/>
      <c r="AD844" s="108"/>
    </row>
    <row r="845" spans="1:30" ht="13.5" customHeight="1">
      <c r="A845" s="108"/>
      <c r="B845" s="49"/>
      <c r="C845" s="50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  <c r="AA845" s="108"/>
      <c r="AB845" s="108"/>
      <c r="AC845" s="108"/>
      <c r="AD845" s="108"/>
    </row>
    <row r="846" spans="1:30" ht="13.5" customHeight="1">
      <c r="A846" s="108"/>
      <c r="B846" s="49"/>
      <c r="C846" s="50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  <c r="AA846" s="108"/>
      <c r="AB846" s="108"/>
      <c r="AC846" s="108"/>
      <c r="AD846" s="108"/>
    </row>
    <row r="847" spans="1:30" ht="13.5" customHeight="1">
      <c r="A847" s="108"/>
      <c r="B847" s="49"/>
      <c r="C847" s="50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  <c r="AA847" s="108"/>
      <c r="AB847" s="108"/>
      <c r="AC847" s="108"/>
      <c r="AD847" s="108"/>
    </row>
    <row r="848" spans="1:30" ht="13.5" customHeight="1">
      <c r="A848" s="108"/>
      <c r="B848" s="49"/>
      <c r="C848" s="50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  <c r="AA848" s="108"/>
      <c r="AB848" s="108"/>
      <c r="AC848" s="108"/>
      <c r="AD848" s="108"/>
    </row>
    <row r="849" spans="1:30" ht="13.5" customHeight="1">
      <c r="A849" s="108"/>
      <c r="B849" s="49"/>
      <c r="C849" s="50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  <c r="AA849" s="108"/>
      <c r="AB849" s="108"/>
      <c r="AC849" s="108"/>
      <c r="AD849" s="108"/>
    </row>
    <row r="850" spans="1:30" ht="13.5" customHeight="1">
      <c r="A850" s="108"/>
      <c r="B850" s="49"/>
      <c r="C850" s="50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  <c r="AA850" s="108"/>
      <c r="AB850" s="108"/>
      <c r="AC850" s="108"/>
      <c r="AD850" s="108"/>
    </row>
    <row r="851" spans="1:30" ht="13.5" customHeight="1">
      <c r="A851" s="108"/>
      <c r="B851" s="49"/>
      <c r="C851" s="50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  <c r="AA851" s="108"/>
      <c r="AB851" s="108"/>
      <c r="AC851" s="108"/>
      <c r="AD851" s="108"/>
    </row>
    <row r="852" spans="1:30" ht="13.5" customHeight="1">
      <c r="A852" s="108"/>
      <c r="B852" s="49"/>
      <c r="C852" s="50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  <c r="AA852" s="108"/>
      <c r="AB852" s="108"/>
      <c r="AC852" s="108"/>
      <c r="AD852" s="108"/>
    </row>
    <row r="853" spans="1:30" ht="13.5" customHeight="1">
      <c r="A853" s="108"/>
      <c r="B853" s="49"/>
      <c r="C853" s="50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  <c r="AA853" s="108"/>
      <c r="AB853" s="108"/>
      <c r="AC853" s="108"/>
      <c r="AD853" s="108"/>
    </row>
    <row r="854" spans="1:30" ht="13.5" customHeight="1">
      <c r="A854" s="108"/>
      <c r="B854" s="49"/>
      <c r="C854" s="50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  <c r="AA854" s="108"/>
      <c r="AB854" s="108"/>
      <c r="AC854" s="108"/>
      <c r="AD854" s="108"/>
    </row>
    <row r="855" spans="1:30" ht="13.5" customHeight="1">
      <c r="A855" s="108"/>
      <c r="B855" s="49"/>
      <c r="C855" s="50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  <c r="AA855" s="108"/>
      <c r="AB855" s="108"/>
      <c r="AC855" s="108"/>
      <c r="AD855" s="108"/>
    </row>
    <row r="856" spans="1:30" ht="13.5" customHeight="1">
      <c r="A856" s="108"/>
      <c r="B856" s="49"/>
      <c r="C856" s="50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  <c r="AA856" s="108"/>
      <c r="AB856" s="108"/>
      <c r="AC856" s="108"/>
      <c r="AD856" s="108"/>
    </row>
    <row r="857" spans="1:30" ht="13.5" customHeight="1">
      <c r="A857" s="108"/>
      <c r="B857" s="49"/>
      <c r="C857" s="50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  <c r="AA857" s="108"/>
      <c r="AB857" s="108"/>
      <c r="AC857" s="108"/>
      <c r="AD857" s="108"/>
    </row>
    <row r="858" spans="1:30" ht="13.5" customHeight="1">
      <c r="A858" s="108"/>
      <c r="B858" s="49"/>
      <c r="C858" s="50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  <c r="AA858" s="108"/>
      <c r="AB858" s="108"/>
      <c r="AC858" s="108"/>
      <c r="AD858" s="108"/>
    </row>
    <row r="859" spans="1:30" ht="13.5" customHeight="1">
      <c r="A859" s="108"/>
      <c r="B859" s="49"/>
      <c r="C859" s="50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  <c r="AA859" s="108"/>
      <c r="AB859" s="108"/>
      <c r="AC859" s="108"/>
      <c r="AD859" s="108"/>
    </row>
    <row r="860" spans="1:30" ht="13.5" customHeight="1">
      <c r="A860" s="108"/>
      <c r="B860" s="49"/>
      <c r="C860" s="50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  <c r="AA860" s="108"/>
      <c r="AB860" s="108"/>
      <c r="AC860" s="108"/>
      <c r="AD860" s="108"/>
    </row>
    <row r="861" spans="1:30" ht="13.5" customHeight="1">
      <c r="A861" s="108"/>
      <c r="B861" s="49"/>
      <c r="C861" s="50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  <c r="AA861" s="108"/>
      <c r="AB861" s="108"/>
      <c r="AC861" s="108"/>
      <c r="AD861" s="108"/>
    </row>
    <row r="862" spans="1:30" ht="13.5" customHeight="1">
      <c r="A862" s="108"/>
      <c r="B862" s="49"/>
      <c r="C862" s="50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  <c r="AA862" s="108"/>
      <c r="AB862" s="108"/>
      <c r="AC862" s="108"/>
      <c r="AD862" s="108"/>
    </row>
    <row r="863" spans="1:30" ht="13.5" customHeight="1">
      <c r="A863" s="108"/>
      <c r="B863" s="49"/>
      <c r="C863" s="50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  <c r="AA863" s="108"/>
      <c r="AB863" s="108"/>
      <c r="AC863" s="108"/>
      <c r="AD863" s="108"/>
    </row>
    <row r="864" spans="1:30" ht="13.5" customHeight="1">
      <c r="A864" s="108"/>
      <c r="B864" s="49"/>
      <c r="C864" s="50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  <c r="AA864" s="108"/>
      <c r="AB864" s="108"/>
      <c r="AC864" s="108"/>
      <c r="AD864" s="108"/>
    </row>
    <row r="865" spans="1:30" ht="13.5" customHeight="1">
      <c r="A865" s="108"/>
      <c r="B865" s="49"/>
      <c r="C865" s="50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  <c r="AA865" s="108"/>
      <c r="AB865" s="108"/>
      <c r="AC865" s="108"/>
      <c r="AD865" s="108"/>
    </row>
    <row r="866" spans="1:30" ht="13.5" customHeight="1">
      <c r="A866" s="108"/>
      <c r="B866" s="49"/>
      <c r="C866" s="50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  <c r="AA866" s="108"/>
      <c r="AB866" s="108"/>
      <c r="AC866" s="108"/>
      <c r="AD866" s="108"/>
    </row>
    <row r="867" spans="1:30" ht="13.5" customHeight="1">
      <c r="A867" s="108"/>
      <c r="B867" s="49"/>
      <c r="C867" s="50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  <c r="AA867" s="108"/>
      <c r="AB867" s="108"/>
      <c r="AC867" s="108"/>
      <c r="AD867" s="108"/>
    </row>
    <row r="868" spans="1:30" ht="13.5" customHeight="1">
      <c r="A868" s="108"/>
      <c r="B868" s="49"/>
      <c r="C868" s="50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  <c r="AA868" s="108"/>
      <c r="AB868" s="108"/>
      <c r="AC868" s="108"/>
      <c r="AD868" s="108"/>
    </row>
    <row r="869" spans="1:30" ht="13.5" customHeight="1">
      <c r="A869" s="108"/>
      <c r="B869" s="49"/>
      <c r="C869" s="50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  <c r="AA869" s="108"/>
      <c r="AB869" s="108"/>
      <c r="AC869" s="108"/>
      <c r="AD869" s="108"/>
    </row>
    <row r="870" spans="1:30" ht="13.5" customHeight="1">
      <c r="A870" s="108"/>
      <c r="B870" s="49"/>
      <c r="C870" s="50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  <c r="AA870" s="108"/>
      <c r="AB870" s="108"/>
      <c r="AC870" s="108"/>
      <c r="AD870" s="108"/>
    </row>
    <row r="871" spans="1:30" ht="13.5" customHeight="1">
      <c r="A871" s="108"/>
      <c r="B871" s="49"/>
      <c r="C871" s="50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  <c r="AA871" s="108"/>
      <c r="AB871" s="108"/>
      <c r="AC871" s="108"/>
      <c r="AD871" s="108"/>
    </row>
    <row r="872" spans="1:30" ht="13.5" customHeight="1">
      <c r="A872" s="108"/>
      <c r="B872" s="49"/>
      <c r="C872" s="50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  <c r="AA872" s="108"/>
      <c r="AB872" s="108"/>
      <c r="AC872" s="108"/>
      <c r="AD872" s="108"/>
    </row>
    <row r="873" spans="1:30" ht="13.5" customHeight="1">
      <c r="A873" s="108"/>
      <c r="B873" s="49"/>
      <c r="C873" s="50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  <c r="AA873" s="108"/>
      <c r="AB873" s="108"/>
      <c r="AC873" s="108"/>
      <c r="AD873" s="108"/>
    </row>
    <row r="874" spans="1:30" ht="13.5" customHeight="1">
      <c r="A874" s="108"/>
      <c r="B874" s="49"/>
      <c r="C874" s="50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  <c r="AA874" s="108"/>
      <c r="AB874" s="108"/>
      <c r="AC874" s="108"/>
      <c r="AD874" s="108"/>
    </row>
    <row r="875" spans="1:30" ht="13.5" customHeight="1">
      <c r="A875" s="108"/>
      <c r="B875" s="49"/>
      <c r="C875" s="50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  <c r="AA875" s="108"/>
      <c r="AB875" s="108"/>
      <c r="AC875" s="108"/>
      <c r="AD875" s="108"/>
    </row>
    <row r="876" spans="1:30" ht="13.5" customHeight="1">
      <c r="A876" s="108"/>
      <c r="B876" s="49"/>
      <c r="C876" s="50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  <c r="AA876" s="108"/>
      <c r="AB876" s="108"/>
      <c r="AC876" s="108"/>
      <c r="AD876" s="108"/>
    </row>
    <row r="877" spans="1:30" ht="13.5" customHeight="1">
      <c r="A877" s="108"/>
      <c r="B877" s="49"/>
      <c r="C877" s="50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  <c r="AA877" s="108"/>
      <c r="AB877" s="108"/>
      <c r="AC877" s="108"/>
      <c r="AD877" s="108"/>
    </row>
    <row r="878" spans="1:30" ht="13.5" customHeight="1">
      <c r="A878" s="108"/>
      <c r="B878" s="49"/>
      <c r="C878" s="50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  <c r="AA878" s="108"/>
      <c r="AB878" s="108"/>
      <c r="AC878" s="108"/>
      <c r="AD878" s="108"/>
    </row>
    <row r="879" spans="1:30" ht="13.5" customHeight="1">
      <c r="A879" s="108"/>
      <c r="B879" s="49"/>
      <c r="C879" s="50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  <c r="AA879" s="108"/>
      <c r="AB879" s="108"/>
      <c r="AC879" s="108"/>
      <c r="AD879" s="108"/>
    </row>
    <row r="880" spans="1:30" ht="13.5" customHeight="1">
      <c r="A880" s="108"/>
      <c r="B880" s="49"/>
      <c r="C880" s="50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  <c r="AA880" s="108"/>
      <c r="AB880" s="108"/>
      <c r="AC880" s="108"/>
      <c r="AD880" s="108"/>
    </row>
    <row r="881" spans="1:30" ht="13.5" customHeight="1">
      <c r="A881" s="108"/>
      <c r="B881" s="49"/>
      <c r="C881" s="50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  <c r="AA881" s="108"/>
      <c r="AB881" s="108"/>
      <c r="AC881" s="108"/>
      <c r="AD881" s="108"/>
    </row>
    <row r="882" spans="1:30" ht="13.5" customHeight="1">
      <c r="A882" s="108"/>
      <c r="B882" s="49"/>
      <c r="C882" s="50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  <c r="AA882" s="108"/>
      <c r="AB882" s="108"/>
      <c r="AC882" s="108"/>
      <c r="AD882" s="108"/>
    </row>
    <row r="883" spans="1:30" ht="13.5" customHeight="1">
      <c r="A883" s="108"/>
      <c r="B883" s="49"/>
      <c r="C883" s="50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  <c r="AA883" s="108"/>
      <c r="AB883" s="108"/>
      <c r="AC883" s="108"/>
      <c r="AD883" s="108"/>
    </row>
    <row r="884" spans="1:30" ht="13.5" customHeight="1">
      <c r="A884" s="108"/>
      <c r="B884" s="49"/>
      <c r="C884" s="50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  <c r="AA884" s="108"/>
      <c r="AB884" s="108"/>
      <c r="AC884" s="108"/>
      <c r="AD884" s="108"/>
    </row>
    <row r="885" spans="1:30" ht="13.5" customHeight="1">
      <c r="A885" s="108"/>
      <c r="B885" s="49"/>
      <c r="C885" s="50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  <c r="AA885" s="108"/>
      <c r="AB885" s="108"/>
      <c r="AC885" s="108"/>
      <c r="AD885" s="108"/>
    </row>
    <row r="886" spans="1:30" ht="13.5" customHeight="1">
      <c r="A886" s="108"/>
      <c r="B886" s="49"/>
      <c r="C886" s="50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  <c r="AA886" s="108"/>
      <c r="AB886" s="108"/>
      <c r="AC886" s="108"/>
      <c r="AD886" s="108"/>
    </row>
    <row r="887" spans="1:30" ht="13.5" customHeight="1">
      <c r="A887" s="108"/>
      <c r="B887" s="49"/>
      <c r="C887" s="50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  <c r="AA887" s="108"/>
      <c r="AB887" s="108"/>
      <c r="AC887" s="108"/>
      <c r="AD887" s="108"/>
    </row>
    <row r="888" spans="1:30" ht="13.5" customHeight="1">
      <c r="A888" s="108"/>
      <c r="B888" s="49"/>
      <c r="C888" s="50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  <c r="AA888" s="108"/>
      <c r="AB888" s="108"/>
      <c r="AC888" s="108"/>
      <c r="AD888" s="108"/>
    </row>
    <row r="889" spans="1:30" ht="13.5" customHeight="1">
      <c r="A889" s="108"/>
      <c r="B889" s="49"/>
      <c r="C889" s="50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  <c r="AA889" s="108"/>
      <c r="AB889" s="108"/>
      <c r="AC889" s="108"/>
      <c r="AD889" s="108"/>
    </row>
    <row r="890" spans="1:30" ht="13.5" customHeight="1">
      <c r="A890" s="108"/>
      <c r="B890" s="49"/>
      <c r="C890" s="50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  <c r="AA890" s="108"/>
      <c r="AB890" s="108"/>
      <c r="AC890" s="108"/>
      <c r="AD890" s="108"/>
    </row>
    <row r="891" spans="1:30" ht="13.5" customHeight="1">
      <c r="A891" s="108"/>
      <c r="B891" s="49"/>
      <c r="C891" s="50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  <c r="AA891" s="108"/>
      <c r="AB891" s="108"/>
      <c r="AC891" s="108"/>
      <c r="AD891" s="108"/>
    </row>
    <row r="892" spans="1:30" ht="13.5" customHeight="1">
      <c r="A892" s="108"/>
      <c r="B892" s="49"/>
      <c r="C892" s="50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  <c r="AA892" s="108"/>
      <c r="AB892" s="108"/>
      <c r="AC892" s="108"/>
      <c r="AD892" s="108"/>
    </row>
    <row r="893" spans="1:30" ht="13.5" customHeight="1">
      <c r="A893" s="108"/>
      <c r="B893" s="49"/>
      <c r="C893" s="50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  <c r="AA893" s="108"/>
      <c r="AB893" s="108"/>
      <c r="AC893" s="108"/>
      <c r="AD893" s="108"/>
    </row>
    <row r="894" spans="1:30" ht="13.5" customHeight="1">
      <c r="A894" s="108"/>
      <c r="B894" s="49"/>
      <c r="C894" s="50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  <c r="AA894" s="108"/>
      <c r="AB894" s="108"/>
      <c r="AC894" s="108"/>
      <c r="AD894" s="108"/>
    </row>
    <row r="895" spans="1:30" ht="13.5" customHeight="1">
      <c r="A895" s="108"/>
      <c r="B895" s="49"/>
      <c r="C895" s="50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  <c r="AA895" s="108"/>
      <c r="AB895" s="108"/>
      <c r="AC895" s="108"/>
      <c r="AD895" s="108"/>
    </row>
    <row r="896" spans="1:30" ht="13.5" customHeight="1">
      <c r="A896" s="108"/>
      <c r="B896" s="49"/>
      <c r="C896" s="50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  <c r="AA896" s="108"/>
      <c r="AB896" s="108"/>
      <c r="AC896" s="108"/>
      <c r="AD896" s="108"/>
    </row>
    <row r="897" spans="1:30" ht="13.5" customHeight="1">
      <c r="A897" s="108"/>
      <c r="B897" s="49"/>
      <c r="C897" s="50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  <c r="AA897" s="108"/>
      <c r="AB897" s="108"/>
      <c r="AC897" s="108"/>
      <c r="AD897" s="108"/>
    </row>
    <row r="898" spans="1:30" ht="13.5" customHeight="1">
      <c r="A898" s="108"/>
      <c r="B898" s="49"/>
      <c r="C898" s="50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  <c r="AA898" s="108"/>
      <c r="AB898" s="108"/>
      <c r="AC898" s="108"/>
      <c r="AD898" s="108"/>
    </row>
    <row r="899" spans="1:30" ht="13.5" customHeight="1">
      <c r="A899" s="108"/>
      <c r="B899" s="49"/>
      <c r="C899" s="50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  <c r="AA899" s="108"/>
      <c r="AB899" s="108"/>
      <c r="AC899" s="108"/>
      <c r="AD899" s="108"/>
    </row>
    <row r="900" spans="1:30" ht="13.5" customHeight="1">
      <c r="A900" s="108"/>
      <c r="B900" s="49"/>
      <c r="C900" s="50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  <c r="AA900" s="108"/>
      <c r="AB900" s="108"/>
      <c r="AC900" s="108"/>
      <c r="AD900" s="108"/>
    </row>
    <row r="901" spans="1:30" ht="13.5" customHeight="1">
      <c r="A901" s="108"/>
      <c r="B901" s="49"/>
      <c r="C901" s="50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  <c r="AA901" s="108"/>
      <c r="AB901" s="108"/>
      <c r="AC901" s="108"/>
      <c r="AD901" s="108"/>
    </row>
    <row r="902" spans="1:30" ht="13.5" customHeight="1">
      <c r="A902" s="108"/>
      <c r="B902" s="49"/>
      <c r="C902" s="50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  <c r="AA902" s="108"/>
      <c r="AB902" s="108"/>
      <c r="AC902" s="108"/>
      <c r="AD902" s="108"/>
    </row>
    <row r="903" spans="1:30" ht="13.5" customHeight="1">
      <c r="A903" s="108"/>
      <c r="B903" s="49"/>
      <c r="C903" s="50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  <c r="AA903" s="108"/>
      <c r="AB903" s="108"/>
      <c r="AC903" s="108"/>
      <c r="AD903" s="108"/>
    </row>
    <row r="904" spans="1:30" ht="13.5" customHeight="1">
      <c r="A904" s="108"/>
      <c r="B904" s="49"/>
      <c r="C904" s="50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  <c r="AA904" s="108"/>
      <c r="AB904" s="108"/>
      <c r="AC904" s="108"/>
      <c r="AD904" s="108"/>
    </row>
    <row r="905" spans="1:30" ht="13.5" customHeight="1">
      <c r="A905" s="108"/>
      <c r="B905" s="49"/>
      <c r="C905" s="50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  <c r="AA905" s="108"/>
      <c r="AB905" s="108"/>
      <c r="AC905" s="108"/>
      <c r="AD905" s="108"/>
    </row>
    <row r="906" spans="1:30" ht="13.5" customHeight="1">
      <c r="A906" s="108"/>
      <c r="B906" s="49"/>
      <c r="C906" s="50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</row>
    <row r="907" spans="1:30" ht="13.5" customHeight="1">
      <c r="A907" s="108"/>
      <c r="B907" s="49"/>
      <c r="C907" s="50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  <c r="AA907" s="108"/>
      <c r="AB907" s="108"/>
      <c r="AC907" s="108"/>
      <c r="AD907" s="108"/>
    </row>
    <row r="908" spans="1:30" ht="13.5" customHeight="1">
      <c r="A908" s="108"/>
      <c r="B908" s="49"/>
      <c r="C908" s="50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  <c r="AA908" s="108"/>
      <c r="AB908" s="108"/>
      <c r="AC908" s="108"/>
      <c r="AD908" s="108"/>
    </row>
    <row r="909" spans="1:30" ht="13.5" customHeight="1">
      <c r="A909" s="108"/>
      <c r="B909" s="49"/>
      <c r="C909" s="50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  <c r="AA909" s="108"/>
      <c r="AB909" s="108"/>
      <c r="AC909" s="108"/>
      <c r="AD909" s="108"/>
    </row>
    <row r="910" spans="1:30" ht="13.5" customHeight="1">
      <c r="A910" s="108"/>
      <c r="B910" s="49"/>
      <c r="C910" s="50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</row>
    <row r="911" spans="1:30" ht="13.5" customHeight="1">
      <c r="A911" s="108"/>
      <c r="B911" s="49"/>
      <c r="C911" s="50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  <c r="AA911" s="108"/>
      <c r="AB911" s="108"/>
      <c r="AC911" s="108"/>
      <c r="AD911" s="108"/>
    </row>
    <row r="912" spans="1:30" ht="13.5" customHeight="1">
      <c r="A912" s="108"/>
      <c r="B912" s="49"/>
      <c r="C912" s="50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  <c r="AA912" s="108"/>
      <c r="AB912" s="108"/>
      <c r="AC912" s="108"/>
      <c r="AD912" s="108"/>
    </row>
    <row r="913" spans="1:30" ht="13.5" customHeight="1">
      <c r="A913" s="108"/>
      <c r="B913" s="49"/>
      <c r="C913" s="50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  <c r="AA913" s="108"/>
      <c r="AB913" s="108"/>
      <c r="AC913" s="108"/>
      <c r="AD913" s="108"/>
    </row>
    <row r="914" spans="1:30" ht="13.5" customHeight="1">
      <c r="A914" s="108"/>
      <c r="B914" s="49"/>
      <c r="C914" s="50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  <c r="AA914" s="108"/>
      <c r="AB914" s="108"/>
      <c r="AC914" s="108"/>
      <c r="AD914" s="108"/>
    </row>
    <row r="915" spans="1:30" ht="13.5" customHeight="1">
      <c r="A915" s="108"/>
      <c r="B915" s="49"/>
      <c r="C915" s="50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  <c r="AA915" s="108"/>
      <c r="AB915" s="108"/>
      <c r="AC915" s="108"/>
      <c r="AD915" s="108"/>
    </row>
    <row r="916" spans="1:30" ht="13.5" customHeight="1">
      <c r="A916" s="108"/>
      <c r="B916" s="49"/>
      <c r="C916" s="50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  <c r="AA916" s="108"/>
      <c r="AB916" s="108"/>
      <c r="AC916" s="108"/>
      <c r="AD916" s="108"/>
    </row>
    <row r="917" spans="1:30" ht="13.5" customHeight="1">
      <c r="A917" s="108"/>
      <c r="B917" s="49"/>
      <c r="C917" s="50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  <c r="AA917" s="108"/>
      <c r="AB917" s="108"/>
      <c r="AC917" s="108"/>
      <c r="AD917" s="108"/>
    </row>
    <row r="918" spans="1:30" ht="13.5" customHeight="1">
      <c r="A918" s="108"/>
      <c r="B918" s="49"/>
      <c r="C918" s="50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  <c r="AA918" s="108"/>
      <c r="AB918" s="108"/>
      <c r="AC918" s="108"/>
      <c r="AD918" s="108"/>
    </row>
    <row r="919" spans="1:30" ht="13.5" customHeight="1">
      <c r="A919" s="108"/>
      <c r="B919" s="49"/>
      <c r="C919" s="50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  <c r="AA919" s="108"/>
      <c r="AB919" s="108"/>
      <c r="AC919" s="108"/>
      <c r="AD919" s="108"/>
    </row>
    <row r="920" spans="1:30" ht="13.5" customHeight="1">
      <c r="A920" s="108"/>
      <c r="B920" s="49"/>
      <c r="C920" s="50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  <c r="AA920" s="108"/>
      <c r="AB920" s="108"/>
      <c r="AC920" s="108"/>
      <c r="AD920" s="108"/>
    </row>
    <row r="921" spans="1:30" ht="13.5" customHeight="1">
      <c r="A921" s="108"/>
      <c r="B921" s="49"/>
      <c r="C921" s="50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  <c r="AA921" s="108"/>
      <c r="AB921" s="108"/>
      <c r="AC921" s="108"/>
      <c r="AD921" s="108"/>
    </row>
    <row r="922" spans="1:30" ht="13.5" customHeight="1">
      <c r="A922" s="108"/>
      <c r="B922" s="49"/>
      <c r="C922" s="50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  <c r="AA922" s="108"/>
      <c r="AB922" s="108"/>
      <c r="AC922" s="108"/>
      <c r="AD922" s="108"/>
    </row>
    <row r="923" spans="1:30" ht="13.5" customHeight="1">
      <c r="A923" s="108"/>
      <c r="B923" s="49"/>
      <c r="C923" s="50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  <c r="AA923" s="108"/>
      <c r="AB923" s="108"/>
      <c r="AC923" s="108"/>
      <c r="AD923" s="108"/>
    </row>
    <row r="924" spans="1:30" ht="13.5" customHeight="1">
      <c r="A924" s="108"/>
      <c r="B924" s="49"/>
      <c r="C924" s="50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  <c r="AA924" s="108"/>
      <c r="AB924" s="108"/>
      <c r="AC924" s="108"/>
      <c r="AD924" s="108"/>
    </row>
    <row r="925" spans="1:30" ht="13.5" customHeight="1">
      <c r="A925" s="108"/>
      <c r="B925" s="49"/>
      <c r="C925" s="50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  <c r="AA925" s="108"/>
      <c r="AB925" s="108"/>
      <c r="AC925" s="108"/>
      <c r="AD925" s="108"/>
    </row>
    <row r="926" spans="1:30" ht="13.5" customHeight="1">
      <c r="A926" s="108"/>
      <c r="B926" s="49"/>
      <c r="C926" s="50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  <c r="AA926" s="108"/>
      <c r="AB926" s="108"/>
      <c r="AC926" s="108"/>
      <c r="AD926" s="108"/>
    </row>
    <row r="927" spans="1:30" ht="13.5" customHeight="1">
      <c r="A927" s="108"/>
      <c r="B927" s="49"/>
      <c r="C927" s="50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  <c r="AA927" s="108"/>
      <c r="AB927" s="108"/>
      <c r="AC927" s="108"/>
      <c r="AD927" s="108"/>
    </row>
    <row r="928" spans="1:30" ht="13.5" customHeight="1">
      <c r="A928" s="108"/>
      <c r="B928" s="49"/>
      <c r="C928" s="50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  <c r="AA928" s="108"/>
      <c r="AB928" s="108"/>
      <c r="AC928" s="108"/>
      <c r="AD928" s="108"/>
    </row>
    <row r="929" spans="1:30" ht="13.5" customHeight="1">
      <c r="A929" s="108"/>
      <c r="B929" s="49"/>
      <c r="C929" s="50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  <c r="AA929" s="108"/>
      <c r="AB929" s="108"/>
      <c r="AC929" s="108"/>
      <c r="AD929" s="108"/>
    </row>
    <row r="930" spans="1:30" ht="13.5" customHeight="1">
      <c r="A930" s="108"/>
      <c r="B930" s="49"/>
      <c r="C930" s="50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  <c r="AA930" s="108"/>
      <c r="AB930" s="108"/>
      <c r="AC930" s="108"/>
      <c r="AD930" s="108"/>
    </row>
    <row r="931" spans="1:30" ht="13.5" customHeight="1">
      <c r="A931" s="108"/>
      <c r="B931" s="49"/>
      <c r="C931" s="50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  <c r="AA931" s="108"/>
      <c r="AB931" s="108"/>
      <c r="AC931" s="108"/>
      <c r="AD931" s="108"/>
    </row>
    <row r="932" spans="1:30" ht="13.5" customHeight="1">
      <c r="A932" s="108"/>
      <c r="B932" s="49"/>
      <c r="C932" s="50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  <c r="AA932" s="108"/>
      <c r="AB932" s="108"/>
      <c r="AC932" s="108"/>
      <c r="AD932" s="108"/>
    </row>
    <row r="933" spans="1:30" ht="13.5" customHeight="1">
      <c r="A933" s="108"/>
      <c r="B933" s="49"/>
      <c r="C933" s="50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  <c r="AA933" s="108"/>
      <c r="AB933" s="108"/>
      <c r="AC933" s="108"/>
      <c r="AD933" s="108"/>
    </row>
    <row r="934" spans="1:30" ht="13.5" customHeight="1">
      <c r="A934" s="108"/>
      <c r="B934" s="49"/>
      <c r="C934" s="50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  <c r="AA934" s="108"/>
      <c r="AB934" s="108"/>
      <c r="AC934" s="108"/>
      <c r="AD934" s="108"/>
    </row>
    <row r="935" spans="1:30" ht="13.5" customHeight="1">
      <c r="A935" s="108"/>
      <c r="B935" s="49"/>
      <c r="C935" s="50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  <c r="AA935" s="108"/>
      <c r="AB935" s="108"/>
      <c r="AC935" s="108"/>
      <c r="AD935" s="108"/>
    </row>
    <row r="936" spans="1:30" ht="13.5" customHeight="1">
      <c r="A936" s="108"/>
      <c r="B936" s="49"/>
      <c r="C936" s="50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  <c r="AA936" s="108"/>
      <c r="AB936" s="108"/>
      <c r="AC936" s="108"/>
      <c r="AD936" s="108"/>
    </row>
    <row r="937" spans="1:30" ht="13.5" customHeight="1">
      <c r="A937" s="108"/>
      <c r="B937" s="49"/>
      <c r="C937" s="50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  <c r="AA937" s="108"/>
      <c r="AB937" s="108"/>
      <c r="AC937" s="108"/>
      <c r="AD937" s="108"/>
    </row>
    <row r="938" spans="1:30" ht="13.5" customHeight="1">
      <c r="A938" s="108"/>
      <c r="B938" s="49"/>
      <c r="C938" s="50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  <c r="AA938" s="108"/>
      <c r="AB938" s="108"/>
      <c r="AC938" s="108"/>
      <c r="AD938" s="108"/>
    </row>
    <row r="939" spans="1:30" ht="13.5" customHeight="1">
      <c r="A939" s="108"/>
      <c r="B939" s="49"/>
      <c r="C939" s="50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  <c r="AA939" s="108"/>
      <c r="AB939" s="108"/>
      <c r="AC939" s="108"/>
      <c r="AD939" s="108"/>
    </row>
    <row r="940" spans="1:30" ht="13.5" customHeight="1">
      <c r="A940" s="108"/>
      <c r="B940" s="49"/>
      <c r="C940" s="50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  <c r="AA940" s="108"/>
      <c r="AB940" s="108"/>
      <c r="AC940" s="108"/>
      <c r="AD940" s="108"/>
    </row>
    <row r="941" spans="1:30" ht="13.5" customHeight="1">
      <c r="A941" s="108"/>
      <c r="B941" s="49"/>
      <c r="C941" s="50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  <c r="AA941" s="108"/>
      <c r="AB941" s="108"/>
      <c r="AC941" s="108"/>
      <c r="AD941" s="108"/>
    </row>
    <row r="942" spans="1:30" ht="13.5" customHeight="1">
      <c r="A942" s="108"/>
      <c r="B942" s="49"/>
      <c r="C942" s="50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  <c r="AA942" s="108"/>
      <c r="AB942" s="108"/>
      <c r="AC942" s="108"/>
      <c r="AD942" s="108"/>
    </row>
    <row r="943" spans="1:30" ht="13.5" customHeight="1">
      <c r="A943" s="108"/>
      <c r="B943" s="49"/>
      <c r="C943" s="50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  <c r="AA943" s="108"/>
      <c r="AB943" s="108"/>
      <c r="AC943" s="108"/>
      <c r="AD943" s="108"/>
    </row>
    <row r="944" spans="1:30" ht="13.5" customHeight="1">
      <c r="A944" s="108"/>
      <c r="B944" s="49"/>
      <c r="C944" s="50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  <c r="AA944" s="108"/>
      <c r="AB944" s="108"/>
      <c r="AC944" s="108"/>
      <c r="AD944" s="108"/>
    </row>
    <row r="945" spans="1:30" ht="13.5" customHeight="1">
      <c r="A945" s="108"/>
      <c r="B945" s="49"/>
      <c r="C945" s="50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  <c r="AA945" s="108"/>
      <c r="AB945" s="108"/>
      <c r="AC945" s="108"/>
      <c r="AD945" s="108"/>
    </row>
    <row r="946" spans="1:30" ht="13.5" customHeight="1">
      <c r="A946" s="108"/>
      <c r="B946" s="49"/>
      <c r="C946" s="50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  <c r="AA946" s="108"/>
      <c r="AB946" s="108"/>
      <c r="AC946" s="108"/>
      <c r="AD946" s="108"/>
    </row>
    <row r="947" spans="1:30" ht="13.5" customHeight="1">
      <c r="A947" s="108"/>
      <c r="B947" s="49"/>
      <c r="C947" s="50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  <c r="AA947" s="108"/>
      <c r="AB947" s="108"/>
      <c r="AC947" s="108"/>
      <c r="AD947" s="108"/>
    </row>
    <row r="948" spans="1:30" ht="13.5" customHeight="1">
      <c r="A948" s="108"/>
      <c r="B948" s="49"/>
      <c r="C948" s="50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  <c r="AA948" s="108"/>
      <c r="AB948" s="108"/>
      <c r="AC948" s="108"/>
      <c r="AD948" s="108"/>
    </row>
    <row r="949" spans="1:30" ht="13.5" customHeight="1">
      <c r="A949" s="108"/>
      <c r="B949" s="49"/>
      <c r="C949" s="50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  <c r="AA949" s="108"/>
      <c r="AB949" s="108"/>
      <c r="AC949" s="108"/>
      <c r="AD949" s="108"/>
    </row>
    <row r="950" spans="1:30" ht="13.5" customHeight="1">
      <c r="A950" s="108"/>
      <c r="B950" s="49"/>
      <c r="C950" s="50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  <c r="AA950" s="108"/>
      <c r="AB950" s="108"/>
      <c r="AC950" s="108"/>
      <c r="AD950" s="108"/>
    </row>
    <row r="951" spans="1:30" ht="13.5" customHeight="1">
      <c r="A951" s="108"/>
      <c r="B951" s="49"/>
      <c r="C951" s="50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  <c r="AA951" s="108"/>
      <c r="AB951" s="108"/>
      <c r="AC951" s="108"/>
      <c r="AD951" s="108"/>
    </row>
    <row r="952" spans="1:30" ht="13.5" customHeight="1">
      <c r="A952" s="108"/>
      <c r="B952" s="49"/>
      <c r="C952" s="50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  <c r="AA952" s="108"/>
      <c r="AB952" s="108"/>
      <c r="AC952" s="108"/>
      <c r="AD952" s="108"/>
    </row>
    <row r="953" spans="1:30" ht="13.5" customHeight="1">
      <c r="A953" s="108"/>
      <c r="B953" s="49"/>
      <c r="C953" s="50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  <c r="AA953" s="108"/>
      <c r="AB953" s="108"/>
      <c r="AC953" s="108"/>
      <c r="AD953" s="108"/>
    </row>
    <row r="954" spans="1:30" ht="13.5" customHeight="1">
      <c r="A954" s="108"/>
      <c r="B954" s="49"/>
      <c r="C954" s="50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  <c r="AA954" s="108"/>
      <c r="AB954" s="108"/>
      <c r="AC954" s="108"/>
      <c r="AD954" s="108"/>
    </row>
    <row r="955" spans="1:30" ht="13.5" customHeight="1">
      <c r="A955" s="108"/>
      <c r="B955" s="49"/>
      <c r="C955" s="50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  <c r="AA955" s="108"/>
      <c r="AB955" s="108"/>
      <c r="AC955" s="108"/>
      <c r="AD955" s="108"/>
    </row>
    <row r="956" spans="1:30" ht="13.5" customHeight="1">
      <c r="A956" s="108"/>
      <c r="B956" s="49"/>
      <c r="C956" s="50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  <c r="AA956" s="108"/>
      <c r="AB956" s="108"/>
      <c r="AC956" s="108"/>
      <c r="AD956" s="108"/>
    </row>
    <row r="957" spans="1:30" ht="13.5" customHeight="1">
      <c r="A957" s="108"/>
      <c r="B957" s="49"/>
      <c r="C957" s="50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  <c r="AA957" s="108"/>
      <c r="AB957" s="108"/>
      <c r="AC957" s="108"/>
      <c r="AD957" s="108"/>
    </row>
    <row r="958" spans="1:30" ht="13.5" customHeight="1">
      <c r="A958" s="108"/>
      <c r="B958" s="49"/>
      <c r="C958" s="50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  <c r="AA958" s="108"/>
      <c r="AB958" s="108"/>
      <c r="AC958" s="108"/>
      <c r="AD958" s="108"/>
    </row>
    <row r="959" spans="1:30" ht="13.5" customHeight="1">
      <c r="A959" s="108"/>
      <c r="B959" s="49"/>
      <c r="C959" s="50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  <c r="AA959" s="108"/>
      <c r="AB959" s="108"/>
      <c r="AC959" s="108"/>
      <c r="AD959" s="108"/>
    </row>
    <row r="960" spans="1:30" ht="13.5" customHeight="1">
      <c r="A960" s="108"/>
      <c r="B960" s="49"/>
      <c r="C960" s="50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  <c r="AA960" s="108"/>
      <c r="AB960" s="108"/>
      <c r="AC960" s="108"/>
      <c r="AD960" s="108"/>
    </row>
    <row r="961" spans="1:30" ht="13.5" customHeight="1">
      <c r="A961" s="108"/>
      <c r="B961" s="49"/>
      <c r="C961" s="50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  <c r="AA961" s="108"/>
      <c r="AB961" s="108"/>
      <c r="AC961" s="108"/>
      <c r="AD961" s="108"/>
    </row>
    <row r="962" spans="1:30" ht="13.5" customHeight="1">
      <c r="A962" s="108"/>
      <c r="B962" s="49"/>
      <c r="C962" s="50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  <c r="AA962" s="108"/>
      <c r="AB962" s="108"/>
      <c r="AC962" s="108"/>
      <c r="AD962" s="108"/>
    </row>
    <row r="963" spans="1:30" ht="13.5" customHeight="1">
      <c r="A963" s="108"/>
      <c r="B963" s="49"/>
      <c r="C963" s="50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  <c r="AA963" s="108"/>
      <c r="AB963" s="108"/>
      <c r="AC963" s="108"/>
      <c r="AD963" s="108"/>
    </row>
    <row r="964" spans="1:30" ht="13.5" customHeight="1">
      <c r="A964" s="108"/>
      <c r="B964" s="49"/>
      <c r="C964" s="50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  <c r="AA964" s="108"/>
      <c r="AB964" s="108"/>
      <c r="AC964" s="108"/>
      <c r="AD964" s="108"/>
    </row>
    <row r="965" spans="1:30" ht="13.5" customHeight="1">
      <c r="A965" s="108"/>
      <c r="B965" s="49"/>
      <c r="C965" s="50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  <c r="AA965" s="108"/>
      <c r="AB965" s="108"/>
      <c r="AC965" s="108"/>
      <c r="AD965" s="108"/>
    </row>
    <row r="966" spans="1:30" ht="13.5" customHeight="1">
      <c r="A966" s="108"/>
      <c r="B966" s="49"/>
      <c r="C966" s="50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  <c r="AA966" s="108"/>
      <c r="AB966" s="108"/>
      <c r="AC966" s="108"/>
      <c r="AD966" s="108"/>
    </row>
    <row r="967" spans="1:30" ht="13.5" customHeight="1">
      <c r="A967" s="108"/>
      <c r="B967" s="49"/>
      <c r="C967" s="50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  <c r="AA967" s="108"/>
      <c r="AB967" s="108"/>
      <c r="AC967" s="108"/>
      <c r="AD967" s="108"/>
    </row>
    <row r="968" spans="1:30" ht="13.5" customHeight="1">
      <c r="A968" s="108"/>
      <c r="B968" s="49"/>
      <c r="C968" s="50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  <c r="AA968" s="108"/>
      <c r="AB968" s="108"/>
      <c r="AC968" s="108"/>
      <c r="AD968" s="108"/>
    </row>
    <row r="969" spans="1:30" ht="13.5" customHeight="1">
      <c r="A969" s="108"/>
      <c r="B969" s="49"/>
      <c r="C969" s="50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  <c r="AA969" s="108"/>
      <c r="AB969" s="108"/>
      <c r="AC969" s="108"/>
      <c r="AD969" s="108"/>
    </row>
    <row r="970" spans="1:30" ht="13.5" customHeight="1">
      <c r="A970" s="108"/>
      <c r="B970" s="49"/>
      <c r="C970" s="50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  <c r="AA970" s="108"/>
      <c r="AB970" s="108"/>
      <c r="AC970" s="108"/>
      <c r="AD970" s="108"/>
    </row>
    <row r="971" spans="1:30" ht="13.5" customHeight="1">
      <c r="A971" s="108"/>
      <c r="B971" s="49"/>
      <c r="C971" s="50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  <c r="AA971" s="108"/>
      <c r="AB971" s="108"/>
      <c r="AC971" s="108"/>
      <c r="AD971" s="108"/>
    </row>
    <row r="972" spans="1:30" ht="13.5" customHeight="1">
      <c r="A972" s="108"/>
      <c r="B972" s="49"/>
      <c r="C972" s="50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  <c r="AA972" s="108"/>
      <c r="AB972" s="108"/>
      <c r="AC972" s="108"/>
      <c r="AD972" s="108"/>
    </row>
    <row r="973" spans="1:30" ht="13.5" customHeight="1">
      <c r="A973" s="108"/>
      <c r="B973" s="49"/>
      <c r="C973" s="50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  <c r="AA973" s="108"/>
      <c r="AB973" s="108"/>
      <c r="AC973" s="108"/>
      <c r="AD973" s="108"/>
    </row>
    <row r="974" spans="1:30" ht="13.5" customHeight="1">
      <c r="A974" s="108"/>
      <c r="B974" s="49"/>
      <c r="C974" s="50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  <c r="AA974" s="108"/>
      <c r="AB974" s="108"/>
      <c r="AC974" s="108"/>
      <c r="AD974" s="108"/>
    </row>
    <row r="975" spans="1:30" ht="13.5" customHeight="1">
      <c r="A975" s="108"/>
      <c r="B975" s="49"/>
      <c r="C975" s="50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  <c r="AA975" s="108"/>
      <c r="AB975" s="108"/>
      <c r="AC975" s="108"/>
      <c r="AD975" s="108"/>
    </row>
    <row r="976" spans="1:30" ht="13.5" customHeight="1">
      <c r="A976" s="108"/>
      <c r="B976" s="49"/>
      <c r="C976" s="50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  <c r="AA976" s="108"/>
      <c r="AB976" s="108"/>
      <c r="AC976" s="108"/>
      <c r="AD976" s="108"/>
    </row>
    <row r="977" spans="1:30" ht="13.5" customHeight="1">
      <c r="A977" s="108"/>
      <c r="B977" s="49"/>
      <c r="C977" s="50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  <c r="AA977" s="108"/>
      <c r="AB977" s="108"/>
      <c r="AC977" s="108"/>
      <c r="AD977" s="108"/>
    </row>
    <row r="978" spans="1:30" ht="13.5" customHeight="1">
      <c r="A978" s="108"/>
      <c r="B978" s="49"/>
      <c r="C978" s="50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  <c r="AA978" s="108"/>
      <c r="AB978" s="108"/>
      <c r="AC978" s="108"/>
      <c r="AD978" s="108"/>
    </row>
    <row r="979" spans="1:30" ht="13.5" customHeight="1">
      <c r="A979" s="108"/>
      <c r="B979" s="49"/>
      <c r="C979" s="50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  <c r="AA979" s="108"/>
      <c r="AB979" s="108"/>
      <c r="AC979" s="108"/>
      <c r="AD979" s="108"/>
    </row>
    <row r="980" spans="1:30" ht="13.5" customHeight="1">
      <c r="A980" s="108"/>
      <c r="B980" s="49"/>
      <c r="C980" s="50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  <c r="AA980" s="108"/>
      <c r="AB980" s="108"/>
      <c r="AC980" s="108"/>
      <c r="AD980" s="108"/>
    </row>
    <row r="981" spans="1:30" ht="13.5" customHeight="1">
      <c r="A981" s="108"/>
      <c r="B981" s="49"/>
      <c r="C981" s="50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  <c r="AA981" s="108"/>
      <c r="AB981" s="108"/>
      <c r="AC981" s="108"/>
      <c r="AD981" s="108"/>
    </row>
    <row r="982" spans="1:30" ht="13.5" customHeight="1">
      <c r="A982" s="108"/>
      <c r="B982" s="49"/>
      <c r="C982" s="50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  <c r="AA982" s="108"/>
      <c r="AB982" s="108"/>
      <c r="AC982" s="108"/>
      <c r="AD982" s="108"/>
    </row>
    <row r="983" spans="1:30" ht="13.5" customHeight="1">
      <c r="A983" s="108"/>
      <c r="B983" s="49"/>
      <c r="C983" s="50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  <c r="AA983" s="108"/>
      <c r="AB983" s="108"/>
      <c r="AC983" s="108"/>
      <c r="AD983" s="108"/>
    </row>
    <row r="984" spans="1:30" ht="13.5" customHeight="1">
      <c r="A984" s="108"/>
      <c r="B984" s="49"/>
      <c r="C984" s="50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  <c r="AA984" s="108"/>
      <c r="AB984" s="108"/>
      <c r="AC984" s="108"/>
      <c r="AD984" s="108"/>
    </row>
    <row r="985" spans="1:30" ht="13.5" customHeight="1">
      <c r="A985" s="108"/>
      <c r="B985" s="49"/>
      <c r="C985" s="50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  <c r="AA985" s="108"/>
      <c r="AB985" s="108"/>
      <c r="AC985" s="108"/>
      <c r="AD985" s="108"/>
    </row>
    <row r="986" spans="1:30" ht="13.5" customHeight="1">
      <c r="A986" s="108"/>
      <c r="B986" s="49"/>
      <c r="C986" s="50"/>
      <c r="D986" s="108"/>
      <c r="E986" s="108"/>
      <c r="F986" s="108"/>
      <c r="G986" s="108"/>
      <c r="H986" s="108"/>
      <c r="I986" s="108"/>
      <c r="J986" s="108"/>
      <c r="K986" s="108"/>
      <c r="L986" s="108"/>
      <c r="M986" s="108"/>
      <c r="N986" s="108"/>
      <c r="O986" s="108"/>
      <c r="P986" s="108"/>
      <c r="Q986" s="108"/>
      <c r="R986" s="108"/>
      <c r="S986" s="108"/>
      <c r="T986" s="108"/>
      <c r="U986" s="108"/>
      <c r="V986" s="108"/>
      <c r="W986" s="108"/>
      <c r="X986" s="108"/>
      <c r="Y986" s="108"/>
      <c r="Z986" s="108"/>
      <c r="AA986" s="108"/>
      <c r="AB986" s="108"/>
      <c r="AC986" s="108"/>
      <c r="AD986" s="108"/>
    </row>
    <row r="987" spans="1:30" ht="13.5" customHeight="1">
      <c r="A987" s="108"/>
      <c r="B987" s="49"/>
      <c r="C987" s="50"/>
      <c r="D987" s="108"/>
      <c r="E987" s="108"/>
      <c r="F987" s="108"/>
      <c r="G987" s="108"/>
      <c r="H987" s="108"/>
      <c r="I987" s="108"/>
      <c r="J987" s="108"/>
      <c r="K987" s="108"/>
      <c r="L987" s="108"/>
      <c r="M987" s="108"/>
      <c r="N987" s="108"/>
      <c r="O987" s="108"/>
      <c r="P987" s="108"/>
      <c r="Q987" s="108"/>
      <c r="R987" s="108"/>
      <c r="S987" s="108"/>
      <c r="T987" s="108"/>
      <c r="U987" s="108"/>
      <c r="V987" s="108"/>
      <c r="W987" s="108"/>
      <c r="X987" s="108"/>
      <c r="Y987" s="108"/>
      <c r="Z987" s="108"/>
      <c r="AA987" s="108"/>
      <c r="AB987" s="108"/>
      <c r="AC987" s="108"/>
      <c r="AD987" s="108"/>
    </row>
    <row r="988" spans="1:30" ht="13.5" customHeight="1">
      <c r="A988" s="108"/>
      <c r="B988" s="49"/>
      <c r="C988" s="50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  <c r="N988" s="108"/>
      <c r="O988" s="108"/>
      <c r="P988" s="108"/>
      <c r="Q988" s="108"/>
      <c r="R988" s="108"/>
      <c r="S988" s="108"/>
      <c r="T988" s="108"/>
      <c r="U988" s="108"/>
      <c r="V988" s="108"/>
      <c r="W988" s="108"/>
      <c r="X988" s="108"/>
      <c r="Y988" s="108"/>
      <c r="Z988" s="108"/>
      <c r="AA988" s="108"/>
      <c r="AB988" s="108"/>
      <c r="AC988" s="108"/>
      <c r="AD988" s="108"/>
    </row>
    <row r="989" spans="1:30" ht="13.5" customHeight="1">
      <c r="A989" s="108"/>
      <c r="B989" s="49"/>
      <c r="C989" s="50"/>
      <c r="D989" s="108"/>
      <c r="E989" s="108"/>
      <c r="F989" s="108"/>
      <c r="G989" s="108"/>
      <c r="H989" s="108"/>
      <c r="I989" s="108"/>
      <c r="J989" s="108"/>
      <c r="K989" s="108"/>
      <c r="L989" s="108"/>
      <c r="M989" s="108"/>
      <c r="N989" s="108"/>
      <c r="O989" s="108"/>
      <c r="P989" s="108"/>
      <c r="Q989" s="108"/>
      <c r="R989" s="108"/>
      <c r="S989" s="108"/>
      <c r="T989" s="108"/>
      <c r="U989" s="108"/>
      <c r="V989" s="108"/>
      <c r="W989" s="108"/>
      <c r="X989" s="108"/>
      <c r="Y989" s="108"/>
      <c r="Z989" s="108"/>
      <c r="AA989" s="108"/>
      <c r="AB989" s="108"/>
      <c r="AC989" s="108"/>
      <c r="AD989" s="108"/>
    </row>
    <row r="990" spans="1:30" ht="13.5" customHeight="1">
      <c r="A990" s="108"/>
      <c r="B990" s="49"/>
      <c r="C990" s="50"/>
      <c r="D990" s="108"/>
      <c r="E990" s="108"/>
      <c r="F990" s="108"/>
      <c r="G990" s="108"/>
      <c r="H990" s="108"/>
      <c r="I990" s="108"/>
      <c r="J990" s="108"/>
      <c r="K990" s="108"/>
      <c r="L990" s="108"/>
      <c r="M990" s="108"/>
      <c r="N990" s="108"/>
      <c r="O990" s="108"/>
      <c r="P990" s="108"/>
      <c r="Q990" s="108"/>
      <c r="R990" s="108"/>
      <c r="S990" s="108"/>
      <c r="T990" s="108"/>
      <c r="U990" s="108"/>
      <c r="V990" s="108"/>
      <c r="W990" s="108"/>
      <c r="X990" s="108"/>
      <c r="Y990" s="108"/>
      <c r="Z990" s="108"/>
      <c r="AA990" s="108"/>
      <c r="AB990" s="108"/>
      <c r="AC990" s="108"/>
      <c r="AD990" s="108"/>
    </row>
    <row r="991" spans="1:30" ht="13.5" customHeight="1">
      <c r="A991" s="108"/>
      <c r="B991" s="49"/>
      <c r="C991" s="50"/>
      <c r="D991" s="108"/>
      <c r="E991" s="108"/>
      <c r="F991" s="108"/>
      <c r="G991" s="108"/>
      <c r="H991" s="108"/>
      <c r="I991" s="108"/>
      <c r="J991" s="108"/>
      <c r="K991" s="108"/>
      <c r="L991" s="108"/>
      <c r="M991" s="108"/>
      <c r="N991" s="108"/>
      <c r="O991" s="108"/>
      <c r="P991" s="108"/>
      <c r="Q991" s="108"/>
      <c r="R991" s="108"/>
      <c r="S991" s="108"/>
      <c r="T991" s="108"/>
      <c r="U991" s="108"/>
      <c r="V991" s="108"/>
      <c r="W991" s="108"/>
      <c r="X991" s="108"/>
      <c r="Y991" s="108"/>
      <c r="Z991" s="108"/>
      <c r="AA991" s="108"/>
      <c r="AB991" s="108"/>
      <c r="AC991" s="108"/>
      <c r="AD991" s="108"/>
    </row>
    <row r="992" spans="1:30" ht="13.5" customHeight="1">
      <c r="A992" s="108"/>
      <c r="B992" s="49"/>
      <c r="C992" s="50"/>
      <c r="D992" s="108"/>
      <c r="E992" s="108"/>
      <c r="F992" s="108"/>
      <c r="G992" s="108"/>
      <c r="H992" s="108"/>
      <c r="I992" s="108"/>
      <c r="J992" s="108"/>
      <c r="K992" s="108"/>
      <c r="L992" s="108"/>
      <c r="M992" s="108"/>
      <c r="N992" s="108"/>
      <c r="O992" s="108"/>
      <c r="P992" s="108"/>
      <c r="Q992" s="108"/>
      <c r="R992" s="108"/>
      <c r="S992" s="108"/>
      <c r="T992" s="108"/>
      <c r="U992" s="108"/>
      <c r="V992" s="108"/>
      <c r="W992" s="108"/>
      <c r="X992" s="108"/>
      <c r="Y992" s="108"/>
      <c r="Z992" s="108"/>
      <c r="AA992" s="108"/>
      <c r="AB992" s="108"/>
      <c r="AC992" s="108"/>
      <c r="AD992" s="108"/>
    </row>
    <row r="993" spans="1:30" ht="13.5" customHeight="1">
      <c r="A993" s="108"/>
      <c r="B993" s="49"/>
      <c r="C993" s="50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  <c r="AC993" s="108"/>
      <c r="AD993" s="108"/>
    </row>
    <row r="994" spans="1:30" ht="13.5" customHeight="1">
      <c r="A994" s="108"/>
      <c r="B994" s="49"/>
      <c r="C994" s="50"/>
      <c r="D994" s="108"/>
      <c r="E994" s="108"/>
      <c r="F994" s="108"/>
      <c r="G994" s="108"/>
      <c r="H994" s="108"/>
      <c r="I994" s="108"/>
      <c r="J994" s="108"/>
      <c r="K994" s="108"/>
      <c r="L994" s="108"/>
      <c r="M994" s="108"/>
      <c r="N994" s="108"/>
      <c r="O994" s="108"/>
      <c r="P994" s="108"/>
      <c r="Q994" s="108"/>
      <c r="R994" s="108"/>
      <c r="S994" s="108"/>
      <c r="T994" s="108"/>
      <c r="U994" s="108"/>
      <c r="V994" s="108"/>
      <c r="W994" s="108"/>
      <c r="X994" s="108"/>
      <c r="Y994" s="108"/>
      <c r="Z994" s="108"/>
      <c r="AA994" s="108"/>
      <c r="AB994" s="108"/>
      <c r="AC994" s="108"/>
      <c r="AD994" s="108"/>
    </row>
    <row r="995" spans="1:30" ht="13.5" customHeight="1">
      <c r="A995" s="108"/>
      <c r="B995" s="49"/>
      <c r="C995" s="50"/>
      <c r="D995" s="108"/>
      <c r="E995" s="108"/>
      <c r="F995" s="108"/>
      <c r="G995" s="108"/>
      <c r="H995" s="108"/>
      <c r="I995" s="108"/>
      <c r="J995" s="108"/>
      <c r="K995" s="108"/>
      <c r="L995" s="108"/>
      <c r="M995" s="108"/>
      <c r="N995" s="108"/>
      <c r="O995" s="108"/>
      <c r="P995" s="108"/>
      <c r="Q995" s="108"/>
      <c r="R995" s="108"/>
      <c r="S995" s="108"/>
      <c r="T995" s="108"/>
      <c r="U995" s="108"/>
      <c r="V995" s="108"/>
      <c r="W995" s="108"/>
      <c r="X995" s="108"/>
      <c r="Y995" s="108"/>
      <c r="Z995" s="108"/>
      <c r="AA995" s="108"/>
      <c r="AB995" s="108"/>
      <c r="AC995" s="108"/>
      <c r="AD995" s="108"/>
    </row>
    <row r="996" spans="1:30" ht="13.5" customHeight="1">
      <c r="A996" s="108"/>
      <c r="B996" s="49"/>
      <c r="C996" s="50"/>
      <c r="D996" s="108"/>
      <c r="E996" s="108"/>
      <c r="F996" s="108"/>
      <c r="G996" s="108"/>
      <c r="H996" s="108"/>
      <c r="I996" s="108"/>
      <c r="J996" s="108"/>
      <c r="K996" s="108"/>
      <c r="L996" s="108"/>
      <c r="M996" s="108"/>
      <c r="N996" s="108"/>
      <c r="O996" s="108"/>
      <c r="P996" s="108"/>
      <c r="Q996" s="108"/>
      <c r="R996" s="108"/>
      <c r="S996" s="108"/>
      <c r="T996" s="108"/>
      <c r="U996" s="108"/>
      <c r="V996" s="108"/>
      <c r="W996" s="108"/>
      <c r="X996" s="108"/>
      <c r="Y996" s="108"/>
      <c r="Z996" s="108"/>
      <c r="AA996" s="108"/>
      <c r="AB996" s="108"/>
      <c r="AC996" s="108"/>
      <c r="AD996" s="108"/>
    </row>
    <row r="997" spans="1:30" ht="13.5" customHeight="1">
      <c r="A997" s="108"/>
      <c r="B997" s="49"/>
      <c r="C997" s="50"/>
      <c r="D997" s="108"/>
      <c r="E997" s="108"/>
      <c r="F997" s="108"/>
      <c r="G997" s="108"/>
      <c r="H997" s="108"/>
      <c r="I997" s="108"/>
      <c r="J997" s="108"/>
      <c r="K997" s="108"/>
      <c r="L997" s="108"/>
      <c r="M997" s="108"/>
      <c r="N997" s="108"/>
      <c r="O997" s="108"/>
      <c r="P997" s="108"/>
      <c r="Q997" s="108"/>
      <c r="R997" s="108"/>
      <c r="S997" s="108"/>
      <c r="T997" s="108"/>
      <c r="U997" s="108"/>
      <c r="V997" s="108"/>
      <c r="W997" s="108"/>
      <c r="X997" s="108"/>
      <c r="Y997" s="108"/>
      <c r="Z997" s="108"/>
      <c r="AA997" s="108"/>
      <c r="AB997" s="108"/>
      <c r="AC997" s="108"/>
      <c r="AD997" s="108"/>
    </row>
    <row r="998" spans="1:30" ht="13.5" customHeight="1">
      <c r="A998" s="108"/>
      <c r="B998" s="49"/>
      <c r="C998" s="50"/>
      <c r="D998" s="108"/>
      <c r="E998" s="108"/>
      <c r="F998" s="108"/>
      <c r="G998" s="108"/>
      <c r="H998" s="108"/>
      <c r="I998" s="108"/>
      <c r="J998" s="108"/>
      <c r="K998" s="108"/>
      <c r="L998" s="108"/>
      <c r="M998" s="108"/>
      <c r="N998" s="108"/>
      <c r="O998" s="108"/>
      <c r="P998" s="108"/>
      <c r="Q998" s="108"/>
      <c r="R998" s="108"/>
      <c r="S998" s="108"/>
      <c r="T998" s="108"/>
      <c r="U998" s="108"/>
      <c r="V998" s="108"/>
      <c r="W998" s="108"/>
      <c r="X998" s="108"/>
      <c r="Y998" s="108"/>
      <c r="Z998" s="108"/>
      <c r="AA998" s="108"/>
      <c r="AB998" s="108"/>
      <c r="AC998" s="108"/>
      <c r="AD998" s="108"/>
    </row>
    <row r="999" spans="1:30" ht="12.75" customHeight="1">
      <c r="A999" s="108"/>
      <c r="B999" s="49"/>
      <c r="C999" s="50"/>
      <c r="D999" s="108"/>
      <c r="E999" s="108"/>
      <c r="F999" s="108"/>
      <c r="G999" s="108"/>
      <c r="H999" s="108"/>
      <c r="I999" s="108"/>
      <c r="J999" s="108"/>
      <c r="K999" s="108"/>
      <c r="L999" s="108"/>
      <c r="M999" s="108"/>
      <c r="N999" s="108"/>
      <c r="O999" s="108"/>
      <c r="P999" s="108"/>
      <c r="Q999" s="108"/>
      <c r="R999" s="108"/>
      <c r="S999" s="108"/>
      <c r="T999" s="108"/>
      <c r="U999" s="108"/>
      <c r="V999" s="108"/>
      <c r="W999" s="108"/>
      <c r="X999" s="108"/>
      <c r="Y999" s="108"/>
      <c r="Z999" s="108"/>
      <c r="AA999" s="108"/>
      <c r="AB999" s="108"/>
      <c r="AC999" s="108"/>
      <c r="AD999" s="108"/>
    </row>
    <row r="1000" spans="1:30" ht="12.75" customHeight="1">
      <c r="A1000" s="108"/>
      <c r="B1000" s="49"/>
      <c r="C1000" s="50"/>
      <c r="D1000" s="108"/>
      <c r="E1000" s="108"/>
      <c r="F1000" s="108"/>
      <c r="G1000" s="108"/>
      <c r="H1000" s="108"/>
      <c r="I1000" s="108"/>
      <c r="J1000" s="108"/>
      <c r="K1000" s="108"/>
      <c r="L1000" s="108"/>
      <c r="M1000" s="108"/>
      <c r="N1000" s="108"/>
      <c r="O1000" s="108"/>
      <c r="P1000" s="108"/>
      <c r="Q1000" s="108"/>
      <c r="R1000" s="108"/>
      <c r="S1000" s="108"/>
      <c r="T1000" s="108"/>
      <c r="U1000" s="108"/>
      <c r="V1000" s="108"/>
      <c r="W1000" s="108"/>
      <c r="X1000" s="108"/>
      <c r="Y1000" s="108"/>
      <c r="Z1000" s="108"/>
      <c r="AA1000" s="108"/>
      <c r="AB1000" s="108"/>
      <c r="AC1000" s="108"/>
      <c r="AD1000" s="108"/>
    </row>
    <row r="1001" spans="1:30">
      <c r="A1001" s="108"/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  <c r="AC1001" s="108"/>
      <c r="AD1001" s="108"/>
    </row>
  </sheetData>
  <autoFilter ref="B7:K36" xr:uid="{00000000-0001-0000-0600-000000000000}">
    <filterColumn colId="3">
      <filters>
        <filter val="Duc"/>
      </filters>
    </filterColumn>
  </autoFilter>
  <mergeCells count="16">
    <mergeCell ref="J46:K46"/>
    <mergeCell ref="J47:K47"/>
    <mergeCell ref="J48:K48"/>
    <mergeCell ref="J49:K49"/>
    <mergeCell ref="B5:C5"/>
    <mergeCell ref="F5:F6"/>
    <mergeCell ref="J44:K44"/>
    <mergeCell ref="E4:E6"/>
    <mergeCell ref="G4:G6"/>
    <mergeCell ref="AA44:AB44"/>
    <mergeCell ref="J45:K45"/>
    <mergeCell ref="H2:H6"/>
    <mergeCell ref="K3:K6"/>
    <mergeCell ref="L3:U6"/>
    <mergeCell ref="I4:I6"/>
    <mergeCell ref="J4:J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K1000"/>
  <sheetViews>
    <sheetView showGridLines="0" topLeftCell="A4" zoomScaleNormal="100" workbookViewId="0">
      <selection activeCell="G21" sqref="G21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ADB"/>
  </sheetPr>
  <dimension ref="A1:AD1005"/>
  <sheetViews>
    <sheetView showGridLines="0" tabSelected="1" topLeftCell="A6" zoomScaleNormal="100" workbookViewId="0">
      <selection activeCell="D27" sqref="D27"/>
    </sheetView>
  </sheetViews>
  <sheetFormatPr defaultColWidth="14.42578125" defaultRowHeight="13.15"/>
  <cols>
    <col min="1" max="1" width="5.42578125" style="1" customWidth="1"/>
    <col min="2" max="2" width="11.42578125" style="1" customWidth="1"/>
    <col min="3" max="3" width="12" style="1" customWidth="1"/>
    <col min="4" max="4" width="107.5703125" style="1" customWidth="1"/>
    <col min="5" max="5" width="15" style="1" customWidth="1"/>
    <col min="6" max="6" width="13.28515625" style="1" customWidth="1"/>
    <col min="7" max="7" width="14.85546875" style="1" customWidth="1"/>
    <col min="8" max="8" width="12.140625" style="1" customWidth="1"/>
    <col min="9" max="9" width="11.5703125" style="1" customWidth="1"/>
    <col min="10" max="10" width="12.5703125" style="1" customWidth="1"/>
    <col min="11" max="11" width="13.85546875" style="1" customWidth="1"/>
    <col min="12" max="26" width="4.85546875" style="1" customWidth="1"/>
    <col min="27" max="27" width="14.42578125" style="1" customWidth="1"/>
    <col min="28" max="28" width="14.42578125" style="1" hidden="1" customWidth="1"/>
    <col min="29" max="29" width="14.42578125" style="1" customWidth="1"/>
    <col min="30" max="30" width="21.5703125" style="1" bestFit="1" customWidth="1"/>
    <col min="31" max="16384" width="14.42578125" style="1"/>
  </cols>
  <sheetData>
    <row r="1" spans="1:30" ht="13.5" customHeight="1">
      <c r="A1" s="108"/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</row>
    <row r="2" spans="1:30" ht="13.5" customHeight="1">
      <c r="A2" s="108"/>
      <c r="B2" s="49"/>
      <c r="C2" s="50"/>
      <c r="D2" s="108"/>
      <c r="E2" s="108"/>
      <c r="F2" s="108"/>
      <c r="G2" s="108"/>
      <c r="H2" s="133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</row>
    <row r="3" spans="1:30" ht="13.5" customHeight="1">
      <c r="A3" s="108"/>
      <c r="B3" s="49"/>
      <c r="C3" s="50"/>
      <c r="D3" s="108"/>
      <c r="E3" s="108"/>
      <c r="F3" s="108"/>
      <c r="G3" s="108"/>
      <c r="H3" s="133"/>
      <c r="I3" s="108"/>
      <c r="J3" s="108"/>
      <c r="K3" s="136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08"/>
      <c r="W3" s="108"/>
      <c r="X3" s="108"/>
      <c r="Y3" s="108"/>
      <c r="Z3" s="108"/>
      <c r="AA3" s="108"/>
      <c r="AB3" s="108"/>
      <c r="AC3" s="108"/>
      <c r="AD3" s="108"/>
    </row>
    <row r="4" spans="1:30" ht="12.75" customHeight="1">
      <c r="A4" s="108"/>
      <c r="B4" s="49"/>
      <c r="C4" s="50"/>
      <c r="D4" s="108"/>
      <c r="E4" s="135"/>
      <c r="F4" s="108"/>
      <c r="G4" s="134"/>
      <c r="H4" s="133"/>
      <c r="I4" s="136"/>
      <c r="J4" s="133"/>
      <c r="K4" s="136"/>
      <c r="L4" s="136"/>
      <c r="M4" s="137"/>
      <c r="N4" s="137"/>
      <c r="O4" s="137"/>
      <c r="P4" s="137"/>
      <c r="Q4" s="137"/>
      <c r="R4" s="137"/>
      <c r="S4" s="137"/>
      <c r="T4" s="137"/>
      <c r="U4" s="137"/>
      <c r="V4" s="108"/>
      <c r="W4" s="108"/>
      <c r="X4" s="108"/>
      <c r="Y4" s="108"/>
      <c r="Z4" s="108"/>
      <c r="AA4" s="108"/>
      <c r="AB4" s="108"/>
      <c r="AC4" s="108"/>
      <c r="AD4" s="108"/>
    </row>
    <row r="5" spans="1:30" ht="18" customHeight="1">
      <c r="A5" s="108"/>
      <c r="B5" s="138" t="s">
        <v>275</v>
      </c>
      <c r="C5" s="138"/>
      <c r="D5" s="108"/>
      <c r="E5" s="135"/>
      <c r="F5" s="139"/>
      <c r="G5" s="134"/>
      <c r="H5" s="134"/>
      <c r="I5" s="134"/>
      <c r="J5" s="134"/>
      <c r="K5" s="134"/>
      <c r="L5" s="134"/>
      <c r="M5" s="137"/>
      <c r="N5" s="137"/>
      <c r="O5" s="137"/>
      <c r="P5" s="137"/>
      <c r="Q5" s="137"/>
      <c r="R5" s="137"/>
      <c r="S5" s="137"/>
      <c r="T5" s="137"/>
      <c r="U5" s="137"/>
      <c r="V5" s="108"/>
      <c r="W5" s="108"/>
      <c r="X5" s="108"/>
      <c r="Y5" s="108"/>
      <c r="Z5" s="108"/>
      <c r="AA5" s="108"/>
      <c r="AB5" s="108"/>
      <c r="AC5" s="108"/>
      <c r="AD5" s="108"/>
    </row>
    <row r="6" spans="1:30" ht="13.5" customHeight="1">
      <c r="A6" s="108"/>
      <c r="B6" s="51"/>
      <c r="C6" s="50"/>
      <c r="D6" s="108"/>
      <c r="E6" s="135"/>
      <c r="F6" s="135"/>
      <c r="G6" s="135"/>
      <c r="H6" s="135"/>
      <c r="I6" s="135"/>
      <c r="J6" s="135"/>
      <c r="K6" s="135"/>
      <c r="L6" s="135"/>
      <c r="M6" s="137"/>
      <c r="N6" s="137"/>
      <c r="O6" s="137"/>
      <c r="P6" s="137"/>
      <c r="Q6" s="137"/>
      <c r="R6" s="137"/>
      <c r="S6" s="137"/>
      <c r="T6" s="137"/>
      <c r="U6" s="137"/>
      <c r="V6" s="108"/>
      <c r="W6" s="108"/>
      <c r="X6" s="108"/>
      <c r="Y6" s="108"/>
      <c r="Z6" s="108"/>
      <c r="AA6" s="108"/>
      <c r="AB6" s="108"/>
      <c r="AC6" s="108"/>
      <c r="AD6" s="108"/>
    </row>
    <row r="7" spans="1:30" ht="33" customHeight="1">
      <c r="A7" s="108"/>
      <c r="B7" s="116" t="s">
        <v>277</v>
      </c>
      <c r="C7" s="116" t="s">
        <v>278</v>
      </c>
      <c r="D7" s="116" t="s">
        <v>19</v>
      </c>
      <c r="E7" s="116" t="s">
        <v>50</v>
      </c>
      <c r="F7" s="116" t="s">
        <v>22</v>
      </c>
      <c r="G7" s="117" t="s">
        <v>279</v>
      </c>
      <c r="H7" s="117" t="s">
        <v>280</v>
      </c>
      <c r="I7" s="117" t="s">
        <v>281</v>
      </c>
      <c r="J7" s="117" t="s">
        <v>282</v>
      </c>
      <c r="K7" s="117" t="s">
        <v>283</v>
      </c>
      <c r="L7" s="118" t="s">
        <v>284</v>
      </c>
      <c r="M7" s="118" t="s">
        <v>285</v>
      </c>
      <c r="N7" s="118" t="s">
        <v>286</v>
      </c>
      <c r="O7" s="118" t="s">
        <v>287</v>
      </c>
      <c r="P7" s="118" t="s">
        <v>288</v>
      </c>
      <c r="Q7" s="118" t="s">
        <v>289</v>
      </c>
      <c r="R7" s="118" t="s">
        <v>290</v>
      </c>
      <c r="S7" s="118" t="s">
        <v>291</v>
      </c>
      <c r="T7" s="118" t="s">
        <v>292</v>
      </c>
      <c r="U7" s="118" t="s">
        <v>293</v>
      </c>
      <c r="V7" s="118" t="s">
        <v>294</v>
      </c>
      <c r="W7" s="118" t="s">
        <v>295</v>
      </c>
      <c r="X7" s="118" t="s">
        <v>296</v>
      </c>
      <c r="Y7" s="118" t="s">
        <v>297</v>
      </c>
      <c r="Z7" s="119" t="s">
        <v>298</v>
      </c>
      <c r="AA7" s="108"/>
      <c r="AB7" s="108"/>
      <c r="AC7" s="152" t="s">
        <v>50</v>
      </c>
      <c r="AD7" t="s">
        <v>460</v>
      </c>
    </row>
    <row r="8" spans="1:30" ht="12.75" customHeight="1">
      <c r="A8" s="108"/>
      <c r="B8" s="123" t="s">
        <v>461</v>
      </c>
      <c r="C8" s="124" t="s">
        <v>174</v>
      </c>
      <c r="D8" s="125" t="s">
        <v>462</v>
      </c>
      <c r="E8" s="126" t="s">
        <v>319</v>
      </c>
      <c r="F8" s="125" t="s">
        <v>31</v>
      </c>
      <c r="G8" s="120">
        <v>6</v>
      </c>
      <c r="H8" s="121">
        <v>0</v>
      </c>
      <c r="I8" s="121">
        <f t="shared" ref="I8:I32" si="0">SUM(G8-H8)</f>
        <v>6</v>
      </c>
      <c r="J8" s="121">
        <v>0</v>
      </c>
      <c r="K8" s="121">
        <f t="shared" ref="K8:K32" si="1">SUM(J8-G8)</f>
        <v>-6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115"/>
      <c r="AA8" s="108"/>
      <c r="AB8" s="57">
        <v>9</v>
      </c>
      <c r="AC8" t="s">
        <v>399</v>
      </c>
      <c r="AD8" s="153">
        <v>48</v>
      </c>
    </row>
    <row r="9" spans="1:30" s="108" customFormat="1" ht="12.75" customHeight="1">
      <c r="B9" s="123" t="s">
        <v>454</v>
      </c>
      <c r="C9" s="124" t="s">
        <v>174</v>
      </c>
      <c r="D9" s="125" t="s">
        <v>463</v>
      </c>
      <c r="E9" s="126" t="s">
        <v>319</v>
      </c>
      <c r="F9" s="125" t="s">
        <v>31</v>
      </c>
      <c r="G9" s="120">
        <v>12</v>
      </c>
      <c r="H9" s="121">
        <v>0</v>
      </c>
      <c r="I9" s="121">
        <f>SUM(G9-H9)</f>
        <v>12</v>
      </c>
      <c r="J9" s="121">
        <v>0</v>
      </c>
      <c r="K9" s="121">
        <f>SUM(J9-G9)</f>
        <v>-12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115"/>
      <c r="AB9" s="61"/>
      <c r="AC9" t="s">
        <v>319</v>
      </c>
      <c r="AD9" s="153">
        <v>48</v>
      </c>
    </row>
    <row r="10" spans="1:30" ht="12.75" customHeight="1">
      <c r="A10" s="108"/>
      <c r="B10" s="123" t="s">
        <v>464</v>
      </c>
      <c r="C10" s="124" t="s">
        <v>174</v>
      </c>
      <c r="D10" s="125" t="s">
        <v>465</v>
      </c>
      <c r="E10" s="126" t="s">
        <v>319</v>
      </c>
      <c r="F10" s="125" t="s">
        <v>31</v>
      </c>
      <c r="G10" s="120">
        <v>10</v>
      </c>
      <c r="H10" s="121">
        <v>0</v>
      </c>
      <c r="I10" s="121">
        <f>SUM(G10-H10)</f>
        <v>10</v>
      </c>
      <c r="J10" s="121">
        <v>0</v>
      </c>
      <c r="K10" s="121">
        <f>SUM(J10-G10)</f>
        <v>-10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115"/>
      <c r="AA10" s="108"/>
      <c r="AB10" s="61">
        <v>5</v>
      </c>
      <c r="AC10" t="s">
        <v>305</v>
      </c>
      <c r="AD10" s="153">
        <v>48</v>
      </c>
    </row>
    <row r="11" spans="1:30" ht="12.75" customHeight="1">
      <c r="A11" s="108"/>
      <c r="B11" s="123" t="s">
        <v>466</v>
      </c>
      <c r="C11" s="124" t="s">
        <v>179</v>
      </c>
      <c r="D11" s="125" t="s">
        <v>467</v>
      </c>
      <c r="E11" s="126" t="s">
        <v>305</v>
      </c>
      <c r="F11" s="125" t="s">
        <v>31</v>
      </c>
      <c r="G11" s="120">
        <v>5</v>
      </c>
      <c r="H11" s="121">
        <v>0</v>
      </c>
      <c r="I11" s="121">
        <f>SUM(G11-H11)</f>
        <v>5</v>
      </c>
      <c r="J11" s="121">
        <v>0</v>
      </c>
      <c r="K11" s="121">
        <f>SUM(J11-G11)</f>
        <v>-5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115"/>
      <c r="AA11" s="108"/>
      <c r="AB11" s="61">
        <v>7</v>
      </c>
      <c r="AC11" t="s">
        <v>314</v>
      </c>
      <c r="AD11" s="153">
        <v>45</v>
      </c>
    </row>
    <row r="12" spans="1:30" s="108" customFormat="1" ht="12.75" customHeight="1">
      <c r="B12" s="123" t="s">
        <v>468</v>
      </c>
      <c r="C12" s="124" t="s">
        <v>179</v>
      </c>
      <c r="D12" s="125" t="s">
        <v>469</v>
      </c>
      <c r="E12" s="126" t="s">
        <v>305</v>
      </c>
      <c r="F12" s="125" t="s">
        <v>31</v>
      </c>
      <c r="G12" s="120">
        <v>9</v>
      </c>
      <c r="H12" s="121">
        <v>0</v>
      </c>
      <c r="I12" s="121">
        <f>SUM(G12-H12)</f>
        <v>9</v>
      </c>
      <c r="J12" s="121">
        <v>0</v>
      </c>
      <c r="K12" s="121">
        <f>SUM(J12-G12)</f>
        <v>-9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115"/>
      <c r="AB12" s="61"/>
      <c r="AC12" t="s">
        <v>407</v>
      </c>
      <c r="AD12" s="153">
        <v>47</v>
      </c>
    </row>
    <row r="13" spans="1:30" ht="12.75" customHeight="1">
      <c r="A13" s="108"/>
      <c r="B13" s="123" t="s">
        <v>470</v>
      </c>
      <c r="C13" s="124" t="s">
        <v>179</v>
      </c>
      <c r="D13" s="125" t="s">
        <v>471</v>
      </c>
      <c r="E13" s="126" t="s">
        <v>319</v>
      </c>
      <c r="F13" s="125" t="s">
        <v>31</v>
      </c>
      <c r="G13" s="120">
        <v>10</v>
      </c>
      <c r="H13" s="121">
        <v>0</v>
      </c>
      <c r="I13" s="121">
        <f>SUM(G13-H13)</f>
        <v>10</v>
      </c>
      <c r="J13" s="121">
        <v>0</v>
      </c>
      <c r="K13" s="121">
        <f>SUM(J13-G13)</f>
        <v>-10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115"/>
      <c r="AA13" s="108"/>
      <c r="AB13" s="61">
        <v>5</v>
      </c>
      <c r="AC13" t="s">
        <v>472</v>
      </c>
      <c r="AD13" s="153">
        <v>236</v>
      </c>
    </row>
    <row r="14" spans="1:30" ht="13.5" customHeight="1">
      <c r="A14" s="108"/>
      <c r="B14" s="123" t="s">
        <v>473</v>
      </c>
      <c r="C14" s="124" t="s">
        <v>179</v>
      </c>
      <c r="D14" s="125" t="s">
        <v>474</v>
      </c>
      <c r="E14" s="126" t="s">
        <v>407</v>
      </c>
      <c r="F14" s="125" t="s">
        <v>31</v>
      </c>
      <c r="G14" s="120">
        <v>10</v>
      </c>
      <c r="H14" s="121">
        <v>0</v>
      </c>
      <c r="I14" s="121">
        <f>SUM(G14-H14)</f>
        <v>10</v>
      </c>
      <c r="J14" s="121">
        <v>0</v>
      </c>
      <c r="K14" s="121">
        <f>SUM(J14-G14)</f>
        <v>-10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115"/>
      <c r="AA14" s="108"/>
      <c r="AB14" s="61">
        <v>5</v>
      </c>
      <c r="AC14" s="108"/>
      <c r="AD14" s="112" t="s">
        <v>475</v>
      </c>
    </row>
    <row r="15" spans="1:30" ht="13.5" customHeight="1">
      <c r="A15" s="108"/>
      <c r="B15" s="123" t="s">
        <v>476</v>
      </c>
      <c r="C15" s="124" t="s">
        <v>209</v>
      </c>
      <c r="D15" s="125" t="s">
        <v>477</v>
      </c>
      <c r="E15" s="126" t="s">
        <v>399</v>
      </c>
      <c r="F15" s="125" t="s">
        <v>31</v>
      </c>
      <c r="G15" s="120">
        <v>12</v>
      </c>
      <c r="H15" s="121">
        <v>0</v>
      </c>
      <c r="I15" s="121">
        <f>SUM(G15-H15)</f>
        <v>12</v>
      </c>
      <c r="J15" s="121">
        <v>0</v>
      </c>
      <c r="K15" s="121">
        <f>SUM(J15-G15)</f>
        <v>-12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15"/>
      <c r="AA15" s="108"/>
      <c r="AB15" s="61">
        <v>9</v>
      </c>
      <c r="AC15" s="108"/>
      <c r="AD15" s="112"/>
    </row>
    <row r="16" spans="1:30" s="108" customFormat="1" ht="13.5" customHeight="1">
      <c r="B16" s="123" t="s">
        <v>478</v>
      </c>
      <c r="C16" s="124" t="s">
        <v>209</v>
      </c>
      <c r="D16" s="125" t="s">
        <v>479</v>
      </c>
      <c r="E16" s="126" t="s">
        <v>399</v>
      </c>
      <c r="F16" s="125" t="s">
        <v>31</v>
      </c>
      <c r="G16" s="120">
        <v>12</v>
      </c>
      <c r="H16" s="121">
        <v>0</v>
      </c>
      <c r="I16" s="121">
        <f>SUM(G16-H16)</f>
        <v>12</v>
      </c>
      <c r="J16" s="121">
        <v>0</v>
      </c>
      <c r="K16" s="121">
        <f>SUM(J16-G16)</f>
        <v>-12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15"/>
      <c r="AB16" s="61"/>
      <c r="AD16" s="112"/>
    </row>
    <row r="17" spans="1:30" ht="13.5" customHeight="1">
      <c r="A17" s="108"/>
      <c r="B17" s="123" t="s">
        <v>480</v>
      </c>
      <c r="C17" s="124" t="s">
        <v>209</v>
      </c>
      <c r="D17" s="125" t="s">
        <v>481</v>
      </c>
      <c r="E17" s="126" t="s">
        <v>399</v>
      </c>
      <c r="F17" s="125" t="s">
        <v>31</v>
      </c>
      <c r="G17" s="120">
        <v>11</v>
      </c>
      <c r="H17" s="121">
        <v>0</v>
      </c>
      <c r="I17" s="121">
        <f>SUM(G17-H17)</f>
        <v>11</v>
      </c>
      <c r="J17" s="121">
        <v>0</v>
      </c>
      <c r="K17" s="121">
        <f>SUM(J17-G17)</f>
        <v>-11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15"/>
      <c r="AA17" s="108"/>
      <c r="AB17" s="61">
        <v>12</v>
      </c>
      <c r="AC17" s="108"/>
      <c r="AD17" s="112"/>
    </row>
    <row r="18" spans="1:30" s="108" customFormat="1" ht="13.5" customHeight="1">
      <c r="B18" s="123" t="s">
        <v>482</v>
      </c>
      <c r="C18" s="124" t="s">
        <v>209</v>
      </c>
      <c r="D18" s="125" t="s">
        <v>483</v>
      </c>
      <c r="E18" s="126" t="s">
        <v>399</v>
      </c>
      <c r="F18" s="125" t="s">
        <v>31</v>
      </c>
      <c r="G18" s="120">
        <v>13</v>
      </c>
      <c r="H18" s="121">
        <v>0</v>
      </c>
      <c r="I18" s="121">
        <f>SUM(G18-H18)</f>
        <v>13</v>
      </c>
      <c r="J18" s="121">
        <v>0</v>
      </c>
      <c r="K18" s="121">
        <f>SUM(J18-G18)</f>
        <v>-13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15"/>
      <c r="AB18" s="61"/>
      <c r="AD18" s="112"/>
    </row>
    <row r="19" spans="1:30" ht="13.5" customHeight="1">
      <c r="A19" s="108"/>
      <c r="B19" s="123" t="s">
        <v>484</v>
      </c>
      <c r="C19" s="124" t="s">
        <v>209</v>
      </c>
      <c r="D19" s="125" t="s">
        <v>485</v>
      </c>
      <c r="E19" s="126" t="s">
        <v>305</v>
      </c>
      <c r="F19" s="125" t="s">
        <v>31</v>
      </c>
      <c r="G19" s="120">
        <v>11</v>
      </c>
      <c r="H19" s="121">
        <v>0</v>
      </c>
      <c r="I19" s="121">
        <f>SUM(G19-H19)</f>
        <v>11</v>
      </c>
      <c r="J19" s="121">
        <v>0</v>
      </c>
      <c r="K19" s="121">
        <f>SUM(J19-G19)</f>
        <v>-11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15"/>
      <c r="AA19" s="108"/>
      <c r="AB19" s="61">
        <v>14</v>
      </c>
      <c r="AC19" s="108"/>
      <c r="AD19" s="112"/>
    </row>
    <row r="20" spans="1:30" s="108" customFormat="1" ht="13.5" customHeight="1">
      <c r="B20" s="123" t="s">
        <v>486</v>
      </c>
      <c r="C20" s="124" t="s">
        <v>209</v>
      </c>
      <c r="D20" s="125" t="s">
        <v>487</v>
      </c>
      <c r="E20" s="126" t="s">
        <v>305</v>
      </c>
      <c r="F20" s="125" t="s">
        <v>31</v>
      </c>
      <c r="G20" s="120">
        <v>13</v>
      </c>
      <c r="H20" s="121">
        <v>0</v>
      </c>
      <c r="I20" s="121">
        <f>SUM(G20-H20)</f>
        <v>13</v>
      </c>
      <c r="J20" s="121">
        <v>0</v>
      </c>
      <c r="K20" s="121">
        <f>SUM(J20-G20)</f>
        <v>-13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15"/>
      <c r="AB20" s="61"/>
      <c r="AD20" s="112"/>
    </row>
    <row r="21" spans="1:30" s="108" customFormat="1" ht="13.5" customHeight="1">
      <c r="B21" s="123" t="s">
        <v>488</v>
      </c>
      <c r="C21" s="124" t="s">
        <v>209</v>
      </c>
      <c r="D21" s="125" t="s">
        <v>489</v>
      </c>
      <c r="E21" s="126" t="s">
        <v>319</v>
      </c>
      <c r="F21" s="125" t="s">
        <v>31</v>
      </c>
      <c r="G21" s="120">
        <v>4</v>
      </c>
      <c r="H21" s="121">
        <v>0</v>
      </c>
      <c r="I21" s="121">
        <f>SUM(G21-H21)</f>
        <v>4</v>
      </c>
      <c r="J21" s="121">
        <v>0</v>
      </c>
      <c r="K21" s="121">
        <f>SUM(J21-G21)</f>
        <v>-4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15"/>
      <c r="AB21" s="61"/>
      <c r="AD21" s="112"/>
    </row>
    <row r="22" spans="1:30" ht="13.5" customHeight="1">
      <c r="A22" s="108"/>
      <c r="B22" s="123" t="s">
        <v>490</v>
      </c>
      <c r="C22" s="124" t="s">
        <v>209</v>
      </c>
      <c r="D22" s="125" t="s">
        <v>491</v>
      </c>
      <c r="E22" s="126" t="s">
        <v>407</v>
      </c>
      <c r="F22" s="125" t="s">
        <v>31</v>
      </c>
      <c r="G22" s="120">
        <v>11</v>
      </c>
      <c r="H22" s="121">
        <v>0</v>
      </c>
      <c r="I22" s="121">
        <f>SUM(G22-H22)</f>
        <v>11</v>
      </c>
      <c r="J22" s="121">
        <v>0</v>
      </c>
      <c r="K22" s="121">
        <f>SUM(J22-G22)</f>
        <v>-11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15"/>
      <c r="AA22" s="108"/>
      <c r="AB22" s="61">
        <v>9</v>
      </c>
      <c r="AC22" s="108"/>
      <c r="AD22" s="112"/>
    </row>
    <row r="23" spans="1:30" s="108" customFormat="1" ht="13.5" customHeight="1">
      <c r="B23" s="123" t="s">
        <v>492</v>
      </c>
      <c r="C23" s="124" t="s">
        <v>209</v>
      </c>
      <c r="D23" s="125" t="s">
        <v>493</v>
      </c>
      <c r="E23" s="126" t="s">
        <v>314</v>
      </c>
      <c r="F23" s="125" t="s">
        <v>31</v>
      </c>
      <c r="G23" s="120">
        <v>7</v>
      </c>
      <c r="H23" s="121">
        <v>0</v>
      </c>
      <c r="I23" s="121">
        <f>SUM(G23-H23)</f>
        <v>7</v>
      </c>
      <c r="J23" s="121">
        <v>0</v>
      </c>
      <c r="K23" s="121">
        <f>SUM(J23-G23)</f>
        <v>-7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15"/>
      <c r="AB23" s="61"/>
      <c r="AD23" s="112"/>
    </row>
    <row r="24" spans="1:30" ht="13.5" customHeight="1">
      <c r="A24" s="108"/>
      <c r="B24" s="123" t="s">
        <v>494</v>
      </c>
      <c r="C24" s="124" t="s">
        <v>209</v>
      </c>
      <c r="D24" s="125" t="s">
        <v>495</v>
      </c>
      <c r="E24" s="126" t="s">
        <v>319</v>
      </c>
      <c r="F24" s="125" t="s">
        <v>31</v>
      </c>
      <c r="G24" s="120">
        <v>6</v>
      </c>
      <c r="H24" s="121">
        <v>0</v>
      </c>
      <c r="I24" s="121">
        <f>SUM(G24-H24)</f>
        <v>6</v>
      </c>
      <c r="J24" s="121">
        <v>0</v>
      </c>
      <c r="K24" s="121">
        <f>SUM(J24-G24)</f>
        <v>-6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15"/>
      <c r="AA24" s="108"/>
      <c r="AB24" s="61">
        <v>3</v>
      </c>
      <c r="AC24" s="108"/>
      <c r="AD24" s="112"/>
    </row>
    <row r="25" spans="1:30" ht="13.5" customHeight="1">
      <c r="A25" s="108"/>
      <c r="B25" s="123" t="s">
        <v>496</v>
      </c>
      <c r="C25" s="124" t="s">
        <v>86</v>
      </c>
      <c r="D25" s="125" t="s">
        <v>497</v>
      </c>
      <c r="E25" s="126" t="s">
        <v>407</v>
      </c>
      <c r="F25" s="125" t="s">
        <v>31</v>
      </c>
      <c r="G25" s="120">
        <v>6</v>
      </c>
      <c r="H25" s="121">
        <v>0</v>
      </c>
      <c r="I25" s="121">
        <f>SUM(G25-H25)</f>
        <v>6</v>
      </c>
      <c r="J25" s="121">
        <v>0</v>
      </c>
      <c r="K25" s="121">
        <f>SUM(J25-G25)</f>
        <v>-6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15"/>
      <c r="AA25" s="108"/>
      <c r="AB25" s="61">
        <v>3</v>
      </c>
      <c r="AC25" s="108"/>
      <c r="AD25" s="112"/>
    </row>
    <row r="26" spans="1:30" ht="13.5" customHeight="1">
      <c r="A26" s="108"/>
      <c r="B26" s="123" t="s">
        <v>498</v>
      </c>
      <c r="C26" s="124" t="s">
        <v>86</v>
      </c>
      <c r="D26" s="125" t="s">
        <v>499</v>
      </c>
      <c r="E26" s="126" t="s">
        <v>407</v>
      </c>
      <c r="F26" s="125" t="s">
        <v>31</v>
      </c>
      <c r="G26" s="120">
        <v>4</v>
      </c>
      <c r="H26" s="121">
        <v>0</v>
      </c>
      <c r="I26" s="121">
        <f>SUM(G26-H26)</f>
        <v>4</v>
      </c>
      <c r="J26" s="121">
        <v>0</v>
      </c>
      <c r="K26" s="121">
        <f>SUM(J26-G26)</f>
        <v>-4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15"/>
      <c r="AA26" s="108"/>
      <c r="AB26" s="61">
        <v>2</v>
      </c>
      <c r="AC26" s="108"/>
      <c r="AD26" s="112"/>
    </row>
    <row r="27" spans="1:30" ht="13.5" customHeight="1">
      <c r="A27" s="108"/>
      <c r="B27" s="123" t="s">
        <v>500</v>
      </c>
      <c r="C27" s="124" t="s">
        <v>86</v>
      </c>
      <c r="D27" s="125" t="s">
        <v>501</v>
      </c>
      <c r="E27" s="126" t="s">
        <v>407</v>
      </c>
      <c r="F27" s="125" t="s">
        <v>31</v>
      </c>
      <c r="G27" s="120">
        <v>10</v>
      </c>
      <c r="H27" s="121">
        <v>0</v>
      </c>
      <c r="I27" s="121">
        <f>SUM(G27-H27)</f>
        <v>10</v>
      </c>
      <c r="J27" s="121">
        <v>0</v>
      </c>
      <c r="K27" s="121">
        <f>SUM(J27-G27)</f>
        <v>-10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15"/>
      <c r="AA27" s="108"/>
      <c r="AB27" s="61">
        <v>5</v>
      </c>
      <c r="AC27" s="108"/>
      <c r="AD27" s="112"/>
    </row>
    <row r="28" spans="1:30" ht="13.5" customHeight="1">
      <c r="A28" s="108"/>
      <c r="B28" s="123" t="s">
        <v>502</v>
      </c>
      <c r="C28" s="124" t="s">
        <v>86</v>
      </c>
      <c r="D28" s="125" t="s">
        <v>503</v>
      </c>
      <c r="E28" s="126" t="s">
        <v>314</v>
      </c>
      <c r="F28" s="125" t="s">
        <v>31</v>
      </c>
      <c r="G28" s="120">
        <v>4</v>
      </c>
      <c r="H28" s="121">
        <v>0</v>
      </c>
      <c r="I28" s="121">
        <f>SUM(G28-H28)</f>
        <v>4</v>
      </c>
      <c r="J28" s="121">
        <v>0</v>
      </c>
      <c r="K28" s="121">
        <f>SUM(J28-G28)</f>
        <v>-4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115"/>
      <c r="AA28" s="108"/>
      <c r="AB28" s="61">
        <v>2</v>
      </c>
      <c r="AC28" s="108"/>
      <c r="AD28" s="112"/>
    </row>
    <row r="29" spans="1:30" ht="13.5" customHeight="1">
      <c r="A29" s="108"/>
      <c r="B29" s="123" t="s">
        <v>504</v>
      </c>
      <c r="C29" s="124" t="s">
        <v>86</v>
      </c>
      <c r="D29" s="125" t="s">
        <v>505</v>
      </c>
      <c r="E29" s="126" t="s">
        <v>314</v>
      </c>
      <c r="F29" s="125" t="s">
        <v>31</v>
      </c>
      <c r="G29" s="120">
        <v>6</v>
      </c>
      <c r="H29" s="121">
        <v>0</v>
      </c>
      <c r="I29" s="121">
        <f>SUM(G29-H29)</f>
        <v>6</v>
      </c>
      <c r="J29" s="121">
        <v>0</v>
      </c>
      <c r="K29" s="121">
        <f>SUM(J29-G29)</f>
        <v>-6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115"/>
      <c r="AA29" s="108"/>
      <c r="AB29" s="61">
        <v>3</v>
      </c>
      <c r="AC29" s="108"/>
      <c r="AD29" s="112"/>
    </row>
    <row r="30" spans="1:30" ht="13.5" customHeight="1">
      <c r="A30" s="108"/>
      <c r="B30" s="123" t="s">
        <v>506</v>
      </c>
      <c r="C30" s="124" t="s">
        <v>204</v>
      </c>
      <c r="D30" s="125" t="s">
        <v>507</v>
      </c>
      <c r="E30" s="126" t="s">
        <v>314</v>
      </c>
      <c r="F30" s="125" t="s">
        <v>31</v>
      </c>
      <c r="G30" s="120">
        <v>14</v>
      </c>
      <c r="H30" s="121">
        <v>0</v>
      </c>
      <c r="I30" s="121">
        <f>SUM(G30-H30)</f>
        <v>14</v>
      </c>
      <c r="J30" s="121">
        <v>0</v>
      </c>
      <c r="K30" s="121">
        <f>SUM(J30-G30)</f>
        <v>-14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115"/>
      <c r="AA30" s="108"/>
      <c r="AB30" s="61">
        <v>7</v>
      </c>
      <c r="AC30" s="108"/>
      <c r="AD30" s="112"/>
    </row>
    <row r="31" spans="1:30" ht="13.5" customHeight="1">
      <c r="A31" s="108"/>
      <c r="B31" s="123" t="s">
        <v>508</v>
      </c>
      <c r="C31" s="124" t="s">
        <v>204</v>
      </c>
      <c r="D31" s="125" t="s">
        <v>509</v>
      </c>
      <c r="E31" s="126" t="s">
        <v>314</v>
      </c>
      <c r="F31" s="125" t="s">
        <v>31</v>
      </c>
      <c r="G31" s="120">
        <v>14</v>
      </c>
      <c r="H31" s="121">
        <v>0</v>
      </c>
      <c r="I31" s="121">
        <f>SUM(G31-H31)</f>
        <v>14</v>
      </c>
      <c r="J31" s="121">
        <v>0</v>
      </c>
      <c r="K31" s="121">
        <f>SUM(J31-G31)</f>
        <v>-14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115"/>
      <c r="AA31" s="108"/>
      <c r="AB31" s="61">
        <v>7</v>
      </c>
      <c r="AC31" s="108"/>
      <c r="AD31" s="112"/>
    </row>
    <row r="32" spans="1:30" ht="13.5" customHeight="1">
      <c r="A32" s="108"/>
      <c r="B32" s="123" t="s">
        <v>510</v>
      </c>
      <c r="C32" s="124" t="s">
        <v>204</v>
      </c>
      <c r="D32" s="125" t="s">
        <v>511</v>
      </c>
      <c r="E32" s="126" t="s">
        <v>407</v>
      </c>
      <c r="F32" s="125" t="s">
        <v>31</v>
      </c>
      <c r="G32" s="120">
        <v>6</v>
      </c>
      <c r="H32" s="121">
        <v>0</v>
      </c>
      <c r="I32" s="121">
        <f>SUM(G32-H32)</f>
        <v>6</v>
      </c>
      <c r="J32" s="121">
        <v>0</v>
      </c>
      <c r="K32" s="121">
        <f>SUM(J32-G32)</f>
        <v>-6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115"/>
      <c r="AA32" s="108"/>
      <c r="AB32" s="61">
        <v>3</v>
      </c>
      <c r="AC32" s="108"/>
      <c r="AD32" s="112"/>
    </row>
    <row r="33" spans="1:30" ht="13.5" customHeight="1">
      <c r="A33" s="108"/>
      <c r="B33" s="123" t="s">
        <v>512</v>
      </c>
      <c r="C33" s="124" t="s">
        <v>241</v>
      </c>
      <c r="D33" s="125" t="s">
        <v>513</v>
      </c>
      <c r="E33" s="126" t="s">
        <v>305</v>
      </c>
      <c r="F33" s="125" t="s">
        <v>31</v>
      </c>
      <c r="G33" s="120">
        <v>10</v>
      </c>
      <c r="H33" s="121">
        <v>0</v>
      </c>
      <c r="I33" s="121">
        <f>SUM(G33-H33)</f>
        <v>10</v>
      </c>
      <c r="J33" s="121">
        <v>0</v>
      </c>
      <c r="K33" s="121">
        <f>SUM(J33-G33)</f>
        <v>-10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115"/>
      <c r="AA33" s="108"/>
      <c r="AB33" s="108">
        <v>6</v>
      </c>
      <c r="AC33" s="108"/>
      <c r="AD33" s="112"/>
    </row>
    <row r="34" spans="1:30" ht="13.5" customHeight="1">
      <c r="A34" s="108"/>
      <c r="B34" s="62"/>
      <c r="C34" s="63"/>
      <c r="D34" s="64"/>
      <c r="E34" s="64"/>
      <c r="F34" s="65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08"/>
      <c r="AB34" s="108"/>
      <c r="AC34" s="108"/>
      <c r="AD34" s="112"/>
    </row>
    <row r="35" spans="1:30" ht="13.5" customHeight="1">
      <c r="A35" s="108"/>
      <c r="B35" s="75"/>
      <c r="C35" s="76"/>
      <c r="D35" s="66"/>
      <c r="E35" s="66"/>
      <c r="F35" s="77" t="s">
        <v>267</v>
      </c>
      <c r="G35" s="129">
        <f>SUM(G8:G33)</f>
        <v>236</v>
      </c>
      <c r="H35" s="129">
        <f>SUM(H8:H33)</f>
        <v>0</v>
      </c>
      <c r="I35" s="129">
        <f>SUM(I8:I33)</f>
        <v>236</v>
      </c>
      <c r="J35" s="129">
        <f>SUM(J8:J33)</f>
        <v>0</v>
      </c>
      <c r="K35" s="129">
        <f>SUM(K8:K33)</f>
        <v>-236</v>
      </c>
      <c r="L35" s="129">
        <f>SUBTOTAL(9,L7:L33)</f>
        <v>0</v>
      </c>
      <c r="M35" s="129">
        <f>SUBTOTAL(9,M7:M33)</f>
        <v>0</v>
      </c>
      <c r="N35" s="129">
        <f>SUBTOTAL(9,N7:N33)</f>
        <v>0</v>
      </c>
      <c r="O35" s="129">
        <f t="shared" ref="L35:Z35" si="2">SUBTOTAL(9,O7:O32)</f>
        <v>0</v>
      </c>
      <c r="P35" s="129">
        <f t="shared" si="2"/>
        <v>0</v>
      </c>
      <c r="Q35" s="129">
        <f t="shared" si="2"/>
        <v>0</v>
      </c>
      <c r="R35" s="129">
        <f t="shared" si="2"/>
        <v>0</v>
      </c>
      <c r="S35" s="129">
        <f t="shared" si="2"/>
        <v>0</v>
      </c>
      <c r="T35" s="129">
        <f t="shared" si="2"/>
        <v>0</v>
      </c>
      <c r="U35" s="129">
        <f t="shared" si="2"/>
        <v>0</v>
      </c>
      <c r="V35" s="129">
        <f t="shared" si="2"/>
        <v>0</v>
      </c>
      <c r="W35" s="129">
        <f t="shared" si="2"/>
        <v>0</v>
      </c>
      <c r="X35" s="129">
        <f t="shared" si="2"/>
        <v>0</v>
      </c>
      <c r="Y35" s="129">
        <f t="shared" si="2"/>
        <v>0</v>
      </c>
      <c r="Z35" s="129">
        <f t="shared" si="2"/>
        <v>0</v>
      </c>
      <c r="AA35" s="108"/>
      <c r="AB35" s="108"/>
      <c r="AC35" s="108"/>
      <c r="AD35" s="108"/>
    </row>
    <row r="36" spans="1:30" ht="13.5" customHeight="1">
      <c r="A36" s="108"/>
      <c r="B36" s="75"/>
      <c r="C36" s="76"/>
      <c r="D36" s="66"/>
      <c r="E36" s="66"/>
      <c r="F36" s="77" t="s">
        <v>333</v>
      </c>
      <c r="G36" s="129"/>
      <c r="H36" s="129"/>
      <c r="I36" s="129"/>
      <c r="J36" s="129"/>
      <c r="K36" s="129"/>
      <c r="L36" s="129">
        <f>G35-L35</f>
        <v>236</v>
      </c>
      <c r="M36" s="129">
        <f t="shared" ref="M36:Z36" si="3">L36-M35</f>
        <v>236</v>
      </c>
      <c r="N36" s="129">
        <f t="shared" si="3"/>
        <v>236</v>
      </c>
      <c r="O36" s="129">
        <f t="shared" si="3"/>
        <v>236</v>
      </c>
      <c r="P36" s="129">
        <f t="shared" si="3"/>
        <v>236</v>
      </c>
      <c r="Q36" s="129">
        <f t="shared" si="3"/>
        <v>236</v>
      </c>
      <c r="R36" s="129">
        <f t="shared" si="3"/>
        <v>236</v>
      </c>
      <c r="S36" s="129">
        <f t="shared" si="3"/>
        <v>236</v>
      </c>
      <c r="T36" s="129">
        <f t="shared" si="3"/>
        <v>236</v>
      </c>
      <c r="U36" s="129">
        <f t="shared" si="3"/>
        <v>236</v>
      </c>
      <c r="V36" s="129">
        <f t="shared" si="3"/>
        <v>236</v>
      </c>
      <c r="W36" s="129">
        <f t="shared" si="3"/>
        <v>236</v>
      </c>
      <c r="X36" s="129">
        <f t="shared" si="3"/>
        <v>236</v>
      </c>
      <c r="Y36" s="129">
        <f t="shared" si="3"/>
        <v>236</v>
      </c>
      <c r="Z36" s="129">
        <f t="shared" si="3"/>
        <v>236</v>
      </c>
      <c r="AA36" s="108"/>
      <c r="AB36" s="108"/>
      <c r="AC36" s="108"/>
      <c r="AD36" s="108"/>
    </row>
    <row r="37" spans="1:30" ht="13.5" customHeight="1">
      <c r="A37" s="108"/>
      <c r="B37" s="75"/>
      <c r="C37" s="76"/>
      <c r="D37" s="66"/>
      <c r="E37" s="66"/>
      <c r="F37" s="77" t="s">
        <v>334</v>
      </c>
      <c r="G37" s="129"/>
      <c r="H37" s="129"/>
      <c r="I37" s="129"/>
      <c r="J37" s="129"/>
      <c r="K37" s="129"/>
      <c r="L37" s="129">
        <f>L35</f>
        <v>0</v>
      </c>
      <c r="M37" s="129">
        <f t="shared" ref="M37:Z37" si="4">L37+M35</f>
        <v>0</v>
      </c>
      <c r="N37" s="129">
        <f t="shared" si="4"/>
        <v>0</v>
      </c>
      <c r="O37" s="129">
        <f t="shared" si="4"/>
        <v>0</v>
      </c>
      <c r="P37" s="129">
        <f t="shared" si="4"/>
        <v>0</v>
      </c>
      <c r="Q37" s="129">
        <f t="shared" si="4"/>
        <v>0</v>
      </c>
      <c r="R37" s="129">
        <f t="shared" si="4"/>
        <v>0</v>
      </c>
      <c r="S37" s="129">
        <f t="shared" si="4"/>
        <v>0</v>
      </c>
      <c r="T37" s="129">
        <f t="shared" si="4"/>
        <v>0</v>
      </c>
      <c r="U37" s="129">
        <f t="shared" si="4"/>
        <v>0</v>
      </c>
      <c r="V37" s="129">
        <f t="shared" si="4"/>
        <v>0</v>
      </c>
      <c r="W37" s="129">
        <f t="shared" si="4"/>
        <v>0</v>
      </c>
      <c r="X37" s="129">
        <f t="shared" si="4"/>
        <v>0</v>
      </c>
      <c r="Y37" s="129">
        <f t="shared" si="4"/>
        <v>0</v>
      </c>
      <c r="Z37" s="129">
        <f t="shared" si="4"/>
        <v>0</v>
      </c>
      <c r="AA37" s="108"/>
      <c r="AB37" s="108"/>
      <c r="AC37" s="108"/>
      <c r="AD37" s="108"/>
    </row>
    <row r="38" spans="1:30" ht="13.5" customHeight="1">
      <c r="A38" s="108"/>
      <c r="B38" s="75"/>
      <c r="C38" s="7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108"/>
      <c r="AB38" s="108"/>
      <c r="AC38" s="108"/>
      <c r="AD38" s="108"/>
    </row>
    <row r="39" spans="1:30" ht="13.5" customHeight="1">
      <c r="A39" s="108"/>
      <c r="B39" s="49"/>
      <c r="C39" s="50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</row>
    <row r="40" spans="1:30" ht="13.5" customHeight="1">
      <c r="A40" s="108"/>
      <c r="B40" s="49"/>
      <c r="C40" s="50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  <c r="AA40" s="131" t="s">
        <v>336</v>
      </c>
      <c r="AB40" s="131"/>
      <c r="AC40" s="108"/>
      <c r="AD40" s="108"/>
    </row>
    <row r="41" spans="1:30" ht="13.5" customHeight="1">
      <c r="A41" s="108"/>
      <c r="B41" s="49"/>
      <c r="C41" s="50"/>
      <c r="D41" s="108"/>
      <c r="E41" s="108"/>
      <c r="F41" s="108"/>
      <c r="G41" s="108"/>
      <c r="H41" s="108"/>
      <c r="I41" s="108"/>
      <c r="J41" s="140" t="s">
        <v>335</v>
      </c>
      <c r="K41" s="140"/>
      <c r="L41" s="128">
        <v>1</v>
      </c>
      <c r="M41" s="128">
        <v>2</v>
      </c>
      <c r="N41" s="128">
        <v>3</v>
      </c>
      <c r="O41" s="128">
        <v>4</v>
      </c>
      <c r="P41" s="128">
        <v>5</v>
      </c>
      <c r="Q41" s="128">
        <v>6</v>
      </c>
      <c r="R41" s="128">
        <v>7</v>
      </c>
      <c r="S41" s="128">
        <v>8</v>
      </c>
      <c r="T41" s="128">
        <v>9</v>
      </c>
      <c r="U41" s="128">
        <v>10</v>
      </c>
      <c r="V41" s="128">
        <v>11</v>
      </c>
      <c r="W41" s="128">
        <v>12</v>
      </c>
      <c r="X41" s="128">
        <v>13</v>
      </c>
      <c r="Y41" s="128">
        <v>14</v>
      </c>
      <c r="Z41" s="128">
        <v>15</v>
      </c>
      <c r="AA41" s="50">
        <f>SUM(L42:Z42)</f>
        <v>0</v>
      </c>
      <c r="AB41" s="108"/>
      <c r="AC41" s="108"/>
      <c r="AD41" s="108"/>
    </row>
    <row r="42" spans="1:30" ht="13.5" customHeight="1">
      <c r="A42" s="108"/>
      <c r="B42" s="49"/>
      <c r="C42" s="50"/>
      <c r="D42" s="108"/>
      <c r="E42" s="108"/>
      <c r="F42" s="108"/>
      <c r="G42" s="108"/>
      <c r="H42" s="108"/>
      <c r="I42" s="108"/>
      <c r="J42" s="132" t="s">
        <v>9</v>
      </c>
      <c r="K42" s="132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  <c r="AA42" s="50">
        <f>SUM(L43:Z43)</f>
        <v>0</v>
      </c>
      <c r="AB42" s="108"/>
      <c r="AC42" s="108"/>
      <c r="AD42" s="108"/>
    </row>
    <row r="43" spans="1:30" ht="13.5" customHeight="1">
      <c r="A43" s="108"/>
      <c r="B43" s="49"/>
      <c r="C43" s="50"/>
      <c r="D43" s="108"/>
      <c r="E43" s="108"/>
      <c r="F43" s="108"/>
      <c r="G43" s="108"/>
      <c r="H43" s="108"/>
      <c r="I43" s="108"/>
      <c r="J43" s="132" t="s">
        <v>7</v>
      </c>
      <c r="K43" s="132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  <c r="AA43" s="50">
        <f>SUM(L44:Z44)</f>
        <v>0</v>
      </c>
      <c r="AB43" s="108"/>
      <c r="AC43" s="108"/>
      <c r="AD43" s="108"/>
    </row>
    <row r="44" spans="1:30" ht="13.5" customHeight="1">
      <c r="A44" s="108"/>
      <c r="B44" s="49"/>
      <c r="C44" s="50"/>
      <c r="D44" s="108"/>
      <c r="E44" s="108"/>
      <c r="F44" s="108"/>
      <c r="G44" s="108"/>
      <c r="H44" s="108"/>
      <c r="I44" s="108"/>
      <c r="J44" s="132" t="s">
        <v>13</v>
      </c>
      <c r="K44" s="132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  <c r="AA44" s="50">
        <f>SUM(L45:Z45)</f>
        <v>0</v>
      </c>
      <c r="AB44" s="108"/>
      <c r="AC44" s="108"/>
      <c r="AD44" s="108"/>
    </row>
    <row r="45" spans="1:30" ht="13.5" customHeight="1">
      <c r="A45" s="108"/>
      <c r="B45" s="49"/>
      <c r="C45" s="50"/>
      <c r="D45" s="108"/>
      <c r="E45" s="108"/>
      <c r="F45" s="108"/>
      <c r="G45" s="108"/>
      <c r="H45" s="108"/>
      <c r="I45" s="108"/>
      <c r="J45" s="132" t="s">
        <v>337</v>
      </c>
      <c r="K45" s="132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  <c r="AA45" s="50">
        <f>SUM(L46:Z46)</f>
        <v>0</v>
      </c>
      <c r="AB45" s="108"/>
      <c r="AC45" s="108"/>
      <c r="AD45" s="108"/>
    </row>
    <row r="46" spans="1:30" ht="13.5" customHeight="1">
      <c r="A46" s="108"/>
      <c r="B46" s="49"/>
      <c r="C46" s="50"/>
      <c r="D46" s="108"/>
      <c r="E46" s="108"/>
      <c r="F46" s="108"/>
      <c r="G46" s="108"/>
      <c r="H46" s="108"/>
      <c r="I46" s="108"/>
      <c r="J46" s="132" t="s">
        <v>14</v>
      </c>
      <c r="K46" s="132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4">
        <f>SUM(AA41:AA45)</f>
        <v>0</v>
      </c>
      <c r="AB46" s="108"/>
      <c r="AC46" s="108"/>
      <c r="AD46" s="108"/>
    </row>
    <row r="47" spans="1:30" ht="13.5" customHeight="1">
      <c r="A47" s="108"/>
      <c r="B47" s="49"/>
      <c r="C47" s="50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</row>
    <row r="48" spans="1:30" ht="12.75" customHeight="1">
      <c r="A48" s="108"/>
      <c r="B48" s="49"/>
      <c r="C48" s="50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</row>
    <row r="49" spans="1:30" ht="12.75" customHeight="1">
      <c r="A49" s="108"/>
      <c r="B49" s="49"/>
      <c r="C49" s="50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</row>
    <row r="50" spans="1:30" ht="12.75" customHeight="1">
      <c r="A50" s="108"/>
      <c r="B50" s="49"/>
      <c r="C50" s="50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</row>
    <row r="51" spans="1:30" ht="12.75" customHeight="1">
      <c r="A51" s="108"/>
      <c r="B51" s="49"/>
      <c r="C51" s="50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</row>
    <row r="52" spans="1:30" ht="12.75" customHeight="1">
      <c r="A52" s="108"/>
      <c r="B52" s="49"/>
      <c r="C52" s="50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  <c r="AC52" s="108"/>
      <c r="AD52" s="108"/>
    </row>
    <row r="53" spans="1:30" ht="12.75" customHeight="1">
      <c r="A53" s="108"/>
      <c r="B53" s="49"/>
      <c r="C53" s="50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</row>
    <row r="54" spans="1:30" ht="13.5" customHeight="1">
      <c r="A54" s="108"/>
      <c r="B54" s="49"/>
      <c r="C54" s="50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  <c r="AC54" s="108"/>
      <c r="AD54" s="108"/>
    </row>
    <row r="55" spans="1:30" ht="13.5" customHeight="1">
      <c r="A55" s="108"/>
      <c r="B55" s="49"/>
      <c r="C55" s="50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  <c r="AD55" s="108"/>
    </row>
    <row r="56" spans="1:30" ht="13.5" customHeight="1">
      <c r="A56" s="108"/>
      <c r="B56" s="49"/>
      <c r="C56" s="50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  <c r="AD56" s="108"/>
    </row>
    <row r="57" spans="1:30" ht="13.5" customHeight="1">
      <c r="A57" s="108"/>
      <c r="B57" s="49"/>
      <c r="C57" s="50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  <c r="AD57" s="108"/>
    </row>
    <row r="58" spans="1:30" ht="13.5" customHeight="1">
      <c r="A58" s="108"/>
      <c r="B58" s="49"/>
      <c r="C58" s="50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</row>
    <row r="59" spans="1:30" ht="13.5" customHeight="1">
      <c r="A59" s="108"/>
      <c r="B59" s="49"/>
      <c r="C59" s="50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  <c r="AD59" s="108"/>
    </row>
    <row r="60" spans="1:30" ht="13.5" customHeight="1">
      <c r="A60" s="108"/>
      <c r="B60" s="49"/>
      <c r="C60" s="50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</row>
    <row r="61" spans="1:30" ht="13.5" customHeight="1">
      <c r="A61" s="108"/>
      <c r="B61" s="49"/>
      <c r="C61" s="50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  <c r="AC61" s="108"/>
      <c r="AD61" s="108"/>
    </row>
    <row r="62" spans="1:30" ht="13.5" customHeight="1">
      <c r="A62" s="108"/>
      <c r="B62" s="49"/>
      <c r="C62" s="50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</row>
    <row r="63" spans="1:30" ht="13.5" customHeight="1">
      <c r="A63" s="108"/>
      <c r="B63" s="49"/>
      <c r="C63" s="50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  <c r="AC63" s="108"/>
      <c r="AD63" s="108"/>
    </row>
    <row r="64" spans="1:30" ht="13.5" customHeight="1">
      <c r="A64" s="108"/>
      <c r="B64" s="49"/>
      <c r="C64" s="50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</row>
    <row r="65" spans="1:30" ht="13.5" customHeight="1">
      <c r="A65" s="108"/>
      <c r="B65" s="49"/>
      <c r="C65" s="50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</row>
    <row r="66" spans="1:30" ht="13.5" customHeight="1">
      <c r="A66" s="108"/>
      <c r="B66" s="49"/>
      <c r="C66" s="50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  <c r="AC66" s="108"/>
      <c r="AD66" s="108"/>
    </row>
    <row r="67" spans="1:30" ht="13.5" customHeight="1">
      <c r="A67" s="108"/>
      <c r="B67" s="49"/>
      <c r="C67" s="50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108"/>
      <c r="AD67" s="108"/>
    </row>
    <row r="68" spans="1:30" ht="13.5" customHeight="1">
      <c r="A68" s="108"/>
      <c r="B68" s="49"/>
      <c r="C68" s="50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</row>
    <row r="69" spans="1:30" ht="13.5" customHeight="1">
      <c r="A69" s="108"/>
      <c r="B69" s="49"/>
      <c r="C69" s="50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  <c r="AD69" s="108"/>
    </row>
    <row r="70" spans="1:30" ht="13.5" customHeight="1">
      <c r="A70" s="108"/>
      <c r="B70" s="49"/>
      <c r="C70" s="50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</row>
    <row r="71" spans="1:30" ht="13.5" customHeight="1">
      <c r="A71" s="108"/>
      <c r="B71" s="49"/>
      <c r="C71" s="50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</row>
    <row r="72" spans="1:30" ht="13.5" customHeight="1">
      <c r="A72" s="108"/>
      <c r="B72" s="49"/>
      <c r="C72" s="50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  <c r="AC72" s="108"/>
      <c r="AD72" s="108"/>
    </row>
    <row r="73" spans="1:30" ht="13.5" customHeight="1">
      <c r="A73" s="108"/>
      <c r="B73" s="49"/>
      <c r="C73" s="50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  <c r="AC73" s="108"/>
      <c r="AD73" s="108"/>
    </row>
    <row r="74" spans="1:30" ht="13.5" customHeight="1">
      <c r="A74" s="108"/>
      <c r="B74" s="49"/>
      <c r="C74" s="50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  <c r="AC74" s="108"/>
      <c r="AD74" s="108"/>
    </row>
    <row r="75" spans="1:30" ht="13.5" customHeight="1">
      <c r="A75" s="108"/>
      <c r="B75" s="49"/>
      <c r="C75" s="50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  <c r="AC75" s="108"/>
      <c r="AD75" s="108"/>
    </row>
    <row r="76" spans="1:30" ht="13.5" customHeight="1">
      <c r="A76" s="108"/>
      <c r="B76" s="49"/>
      <c r="C76" s="50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  <c r="AC76" s="108"/>
      <c r="AD76" s="108"/>
    </row>
    <row r="77" spans="1:30" ht="13.5" customHeight="1">
      <c r="A77" s="108"/>
      <c r="B77" s="49"/>
      <c r="C77" s="50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  <c r="AC77" s="108"/>
      <c r="AD77" s="108"/>
    </row>
    <row r="78" spans="1:30" ht="13.5" customHeight="1">
      <c r="A78" s="108"/>
      <c r="B78" s="49"/>
      <c r="C78" s="50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  <c r="AC78" s="108"/>
      <c r="AD78" s="108"/>
    </row>
    <row r="79" spans="1:30" ht="13.5" customHeight="1">
      <c r="A79" s="108"/>
      <c r="B79" s="49"/>
      <c r="C79" s="50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  <c r="AC79" s="108"/>
      <c r="AD79" s="108"/>
    </row>
    <row r="80" spans="1:30" ht="13.5" customHeight="1">
      <c r="A80" s="108"/>
      <c r="B80" s="49"/>
      <c r="C80" s="50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  <c r="AC80" s="108"/>
      <c r="AD80" s="108"/>
    </row>
    <row r="81" spans="1:30" ht="13.5" customHeight="1">
      <c r="A81" s="108"/>
      <c r="B81" s="49"/>
      <c r="C81" s="50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  <c r="AC81" s="108"/>
      <c r="AD81" s="108"/>
    </row>
    <row r="82" spans="1:30" ht="13.5" customHeight="1">
      <c r="A82" s="108"/>
      <c r="B82" s="49"/>
      <c r="C82" s="50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  <c r="AC82" s="108"/>
      <c r="AD82" s="108"/>
    </row>
    <row r="83" spans="1:30" ht="13.5" customHeight="1">
      <c r="A83" s="108"/>
      <c r="B83" s="49"/>
      <c r="C83" s="50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  <c r="AC83" s="108"/>
      <c r="AD83" s="108"/>
    </row>
    <row r="84" spans="1:30" ht="13.5" customHeight="1">
      <c r="A84" s="108"/>
      <c r="B84" s="49"/>
      <c r="C84" s="50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  <c r="AC84" s="108"/>
      <c r="AD84" s="108"/>
    </row>
    <row r="85" spans="1:30" ht="13.5" customHeight="1">
      <c r="A85" s="108"/>
      <c r="B85" s="49"/>
      <c r="C85" s="50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  <c r="AC85" s="108"/>
      <c r="AD85" s="108"/>
    </row>
    <row r="86" spans="1:30" ht="13.5" customHeight="1">
      <c r="A86" s="108"/>
      <c r="B86" s="49"/>
      <c r="C86" s="50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  <c r="AC86" s="108"/>
      <c r="AD86" s="108"/>
    </row>
    <row r="87" spans="1:30" ht="13.5" customHeight="1">
      <c r="A87" s="108"/>
      <c r="B87" s="49"/>
      <c r="C87" s="50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  <c r="AC87" s="108"/>
      <c r="AD87" s="108"/>
    </row>
    <row r="88" spans="1:30" ht="13.5" customHeight="1">
      <c r="A88" s="108"/>
      <c r="B88" s="49"/>
      <c r="C88" s="50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  <c r="AC88" s="108"/>
      <c r="AD88" s="108"/>
    </row>
    <row r="89" spans="1:30" ht="13.5" customHeight="1">
      <c r="A89" s="108"/>
      <c r="B89" s="49"/>
      <c r="C89" s="50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  <c r="AC89" s="108"/>
      <c r="AD89" s="108"/>
    </row>
    <row r="90" spans="1:30" ht="13.5" customHeight="1">
      <c r="A90" s="108"/>
      <c r="B90" s="49"/>
      <c r="C90" s="50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</row>
    <row r="91" spans="1:30" ht="13.5" customHeight="1">
      <c r="A91" s="108"/>
      <c r="B91" s="49"/>
      <c r="C91" s="50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  <c r="AC91" s="108"/>
      <c r="AD91" s="108"/>
    </row>
    <row r="92" spans="1:30" ht="13.5" customHeight="1">
      <c r="A92" s="108"/>
      <c r="B92" s="49"/>
      <c r="C92" s="50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  <c r="AC92" s="108"/>
      <c r="AD92" s="108"/>
    </row>
    <row r="93" spans="1:30" ht="13.5" customHeight="1">
      <c r="A93" s="108"/>
      <c r="B93" s="49"/>
      <c r="C93" s="50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  <c r="AC93" s="108"/>
      <c r="AD93" s="108"/>
    </row>
    <row r="94" spans="1:30" ht="13.5" customHeight="1">
      <c r="A94" s="108"/>
      <c r="B94" s="49"/>
      <c r="C94" s="50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</row>
    <row r="95" spans="1:30" ht="13.5" customHeight="1">
      <c r="A95" s="108"/>
      <c r="B95" s="49"/>
      <c r="C95" s="50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  <c r="AC95" s="108"/>
      <c r="AD95" s="108"/>
    </row>
    <row r="96" spans="1:30" ht="13.5" customHeight="1">
      <c r="A96" s="108"/>
      <c r="B96" s="49"/>
      <c r="C96" s="50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  <c r="AC96" s="108"/>
      <c r="AD96" s="108"/>
    </row>
    <row r="97" spans="1:30" ht="13.5" customHeight="1">
      <c r="A97" s="108"/>
      <c r="B97" s="49"/>
      <c r="C97" s="50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  <c r="AC97" s="108"/>
      <c r="AD97" s="108"/>
    </row>
    <row r="98" spans="1:30" ht="13.5" customHeight="1">
      <c r="A98" s="108"/>
      <c r="B98" s="49"/>
      <c r="C98" s="50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  <c r="AC98" s="108"/>
      <c r="AD98" s="108"/>
    </row>
    <row r="99" spans="1:30" ht="13.5" customHeight="1">
      <c r="A99" s="108"/>
      <c r="B99" s="49"/>
      <c r="C99" s="50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  <c r="AC99" s="108"/>
      <c r="AD99" s="108"/>
    </row>
    <row r="100" spans="1:30" ht="13.5" customHeight="1">
      <c r="A100" s="108"/>
      <c r="B100" s="49"/>
      <c r="C100" s="50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  <c r="AC100" s="108"/>
      <c r="AD100" s="108"/>
    </row>
    <row r="101" spans="1:30" ht="13.5" customHeight="1">
      <c r="A101" s="108"/>
      <c r="B101" s="49"/>
      <c r="C101" s="50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</row>
    <row r="102" spans="1:30" ht="13.5" customHeight="1">
      <c r="A102" s="108"/>
      <c r="B102" s="49"/>
      <c r="C102" s="50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  <c r="AC102" s="108"/>
      <c r="AD102" s="108"/>
    </row>
    <row r="103" spans="1:30" ht="13.5" customHeight="1">
      <c r="A103" s="108"/>
      <c r="B103" s="49"/>
      <c r="C103" s="50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  <c r="AC103" s="108"/>
      <c r="AD103" s="108"/>
    </row>
    <row r="104" spans="1:30" ht="13.5" customHeight="1">
      <c r="A104" s="108"/>
      <c r="B104" s="49"/>
      <c r="C104" s="50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  <c r="AC104" s="108"/>
      <c r="AD104" s="108"/>
    </row>
    <row r="105" spans="1:30" ht="13.5" customHeight="1">
      <c r="A105" s="108"/>
      <c r="B105" s="49"/>
      <c r="C105" s="50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  <c r="AC105" s="108"/>
      <c r="AD105" s="108"/>
    </row>
    <row r="106" spans="1:30" ht="13.5" customHeight="1">
      <c r="A106" s="108"/>
      <c r="B106" s="49"/>
      <c r="C106" s="50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  <c r="AC106" s="108"/>
      <c r="AD106" s="108"/>
    </row>
    <row r="107" spans="1:30" ht="13.5" customHeight="1">
      <c r="A107" s="108"/>
      <c r="B107" s="49"/>
      <c r="C107" s="50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  <c r="AC107" s="108"/>
      <c r="AD107" s="108"/>
    </row>
    <row r="108" spans="1:30" ht="13.5" customHeight="1">
      <c r="A108" s="108"/>
      <c r="B108" s="49"/>
      <c r="C108" s="50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  <c r="AC108" s="108"/>
      <c r="AD108" s="108"/>
    </row>
    <row r="109" spans="1:30" ht="13.5" customHeight="1">
      <c r="A109" s="108"/>
      <c r="B109" s="49"/>
      <c r="C109" s="50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  <c r="AC109" s="108"/>
      <c r="AD109" s="108"/>
    </row>
    <row r="110" spans="1:30" ht="13.5" customHeight="1">
      <c r="A110" s="108"/>
      <c r="B110" s="49"/>
      <c r="C110" s="50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  <c r="AC110" s="108"/>
      <c r="AD110" s="108"/>
    </row>
    <row r="111" spans="1:30" ht="13.5" customHeight="1">
      <c r="A111" s="108"/>
      <c r="B111" s="49"/>
      <c r="C111" s="50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  <c r="AC111" s="108"/>
      <c r="AD111" s="108"/>
    </row>
    <row r="112" spans="1:30" ht="13.5" customHeight="1">
      <c r="A112" s="108"/>
      <c r="B112" s="49"/>
      <c r="C112" s="50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  <c r="AC112" s="108"/>
      <c r="AD112" s="108"/>
    </row>
    <row r="113" spans="1:30" ht="13.5" customHeight="1">
      <c r="A113" s="108"/>
      <c r="B113" s="49"/>
      <c r="C113" s="50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  <c r="AC113" s="108"/>
      <c r="AD113" s="108"/>
    </row>
    <row r="114" spans="1:30" ht="13.5" customHeight="1">
      <c r="A114" s="108"/>
      <c r="B114" s="49"/>
      <c r="C114" s="50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</row>
    <row r="115" spans="1:30" ht="13.5" customHeight="1">
      <c r="A115" s="108"/>
      <c r="B115" s="49"/>
      <c r="C115" s="50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  <c r="AC115" s="108"/>
      <c r="AD115" s="108"/>
    </row>
    <row r="116" spans="1:30" ht="13.5" customHeight="1">
      <c r="A116" s="108"/>
      <c r="B116" s="49"/>
      <c r="C116" s="50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</row>
    <row r="117" spans="1:30" ht="13.5" customHeight="1">
      <c r="A117" s="108"/>
      <c r="B117" s="49"/>
      <c r="C117" s="50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  <c r="AC117" s="108"/>
      <c r="AD117" s="108"/>
    </row>
    <row r="118" spans="1:30" ht="13.5" customHeight="1">
      <c r="A118" s="108"/>
      <c r="B118" s="49"/>
      <c r="C118" s="50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  <c r="AC118" s="108"/>
      <c r="AD118" s="108"/>
    </row>
    <row r="119" spans="1:30" ht="13.5" customHeight="1">
      <c r="A119" s="108"/>
      <c r="B119" s="49"/>
      <c r="C119" s="50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  <c r="AC119" s="108"/>
      <c r="AD119" s="108"/>
    </row>
    <row r="120" spans="1:30" ht="13.5" customHeight="1">
      <c r="A120" s="108"/>
      <c r="B120" s="49"/>
      <c r="C120" s="50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  <c r="AC120" s="108"/>
      <c r="AD120" s="108"/>
    </row>
    <row r="121" spans="1:30" ht="13.5" customHeight="1">
      <c r="A121" s="108"/>
      <c r="B121" s="49"/>
      <c r="C121" s="50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  <c r="AC121" s="108"/>
      <c r="AD121" s="108"/>
    </row>
    <row r="122" spans="1:30" ht="13.5" customHeight="1">
      <c r="A122" s="108"/>
      <c r="B122" s="49"/>
      <c r="C122" s="50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</row>
    <row r="123" spans="1:30" ht="13.5" customHeight="1">
      <c r="A123" s="108"/>
      <c r="B123" s="49"/>
      <c r="C123" s="50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  <c r="AC123" s="108"/>
      <c r="AD123" s="108"/>
    </row>
    <row r="124" spans="1:30" ht="13.5" customHeight="1">
      <c r="A124" s="108"/>
      <c r="B124" s="49"/>
      <c r="C124" s="50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  <c r="AC124" s="108"/>
      <c r="AD124" s="108"/>
    </row>
    <row r="125" spans="1:30" ht="13.5" customHeight="1">
      <c r="A125" s="108"/>
      <c r="B125" s="49"/>
      <c r="C125" s="50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  <c r="AC125" s="108"/>
      <c r="AD125" s="108"/>
    </row>
    <row r="126" spans="1:30" ht="13.5" customHeight="1">
      <c r="A126" s="108"/>
      <c r="B126" s="49"/>
      <c r="C126" s="50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  <c r="AC126" s="108"/>
      <c r="AD126" s="108"/>
    </row>
    <row r="127" spans="1:30" ht="13.5" customHeight="1">
      <c r="A127" s="108"/>
      <c r="B127" s="49"/>
      <c r="C127" s="50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  <c r="AC127" s="108"/>
      <c r="AD127" s="108"/>
    </row>
    <row r="128" spans="1:30" ht="13.5" customHeight="1">
      <c r="A128" s="108"/>
      <c r="B128" s="49"/>
      <c r="C128" s="50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  <c r="AC128" s="108"/>
      <c r="AD128" s="108"/>
    </row>
    <row r="129" spans="1:30" ht="13.5" customHeight="1">
      <c r="A129" s="108"/>
      <c r="B129" s="49"/>
      <c r="C129" s="50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  <c r="AC129" s="108"/>
      <c r="AD129" s="108"/>
    </row>
    <row r="130" spans="1:30" ht="13.5" customHeight="1">
      <c r="A130" s="108"/>
      <c r="B130" s="49"/>
      <c r="C130" s="50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</row>
    <row r="131" spans="1:30" ht="13.5" customHeight="1">
      <c r="A131" s="108"/>
      <c r="B131" s="49"/>
      <c r="C131" s="50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  <c r="AC131" s="108"/>
      <c r="AD131" s="108"/>
    </row>
    <row r="132" spans="1:30" ht="13.5" customHeight="1">
      <c r="A132" s="108"/>
      <c r="B132" s="49"/>
      <c r="C132" s="50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  <c r="AC132" s="108"/>
      <c r="AD132" s="108"/>
    </row>
    <row r="133" spans="1:30" ht="13.5" customHeight="1">
      <c r="A133" s="108"/>
      <c r="B133" s="49"/>
      <c r="C133" s="50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  <c r="AC133" s="108"/>
      <c r="AD133" s="108"/>
    </row>
    <row r="134" spans="1:30" ht="13.5" customHeight="1">
      <c r="A134" s="108"/>
      <c r="B134" s="49"/>
      <c r="C134" s="50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  <c r="AC134" s="108"/>
      <c r="AD134" s="108"/>
    </row>
    <row r="135" spans="1:30" ht="13.5" customHeight="1">
      <c r="A135" s="108"/>
      <c r="B135" s="49"/>
      <c r="C135" s="50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  <c r="AD135" s="108"/>
    </row>
    <row r="136" spans="1:30" ht="13.5" customHeight="1">
      <c r="A136" s="108"/>
      <c r="B136" s="49"/>
      <c r="C136" s="50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  <c r="AC136" s="108"/>
      <c r="AD136" s="108"/>
    </row>
    <row r="137" spans="1:30" ht="13.5" customHeight="1">
      <c r="A137" s="108"/>
      <c r="B137" s="49"/>
      <c r="C137" s="50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  <c r="AC137" s="108"/>
      <c r="AD137" s="108"/>
    </row>
    <row r="138" spans="1:30" ht="13.5" customHeight="1">
      <c r="A138" s="108"/>
      <c r="B138" s="49"/>
      <c r="C138" s="50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  <c r="AC138" s="108"/>
      <c r="AD138" s="108"/>
    </row>
    <row r="139" spans="1:30" ht="13.5" customHeight="1">
      <c r="A139" s="108"/>
      <c r="B139" s="49"/>
      <c r="C139" s="50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  <c r="AC139" s="108"/>
      <c r="AD139" s="108"/>
    </row>
    <row r="140" spans="1:30" ht="13.5" customHeight="1">
      <c r="A140" s="108"/>
      <c r="B140" s="49"/>
      <c r="C140" s="50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  <c r="AC140" s="108"/>
      <c r="AD140" s="108"/>
    </row>
    <row r="141" spans="1:30" ht="13.5" customHeight="1">
      <c r="A141" s="108"/>
      <c r="B141" s="49"/>
      <c r="C141" s="50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  <c r="AC141" s="108"/>
      <c r="AD141" s="108"/>
    </row>
    <row r="142" spans="1:30" ht="13.5" customHeight="1">
      <c r="A142" s="108"/>
      <c r="B142" s="49"/>
      <c r="C142" s="50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  <c r="AC142" s="108"/>
      <c r="AD142" s="108"/>
    </row>
    <row r="143" spans="1:30" ht="13.5" customHeight="1">
      <c r="A143" s="108"/>
      <c r="B143" s="49"/>
      <c r="C143" s="50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  <c r="AC143" s="108"/>
      <c r="AD143" s="108"/>
    </row>
    <row r="144" spans="1:30" ht="13.5" customHeight="1">
      <c r="A144" s="108"/>
      <c r="B144" s="49"/>
      <c r="C144" s="50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  <c r="AC144" s="108"/>
      <c r="AD144" s="108"/>
    </row>
    <row r="145" spans="1:30" ht="13.5" customHeight="1">
      <c r="A145" s="108"/>
      <c r="B145" s="49"/>
      <c r="C145" s="50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  <c r="AC145" s="108"/>
      <c r="AD145" s="108"/>
    </row>
    <row r="146" spans="1:30" ht="13.5" customHeight="1">
      <c r="A146" s="108"/>
      <c r="B146" s="49"/>
      <c r="C146" s="50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</row>
    <row r="147" spans="1:30" ht="13.5" customHeight="1">
      <c r="A147" s="108"/>
      <c r="B147" s="49"/>
      <c r="C147" s="50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  <c r="AD147" s="108"/>
    </row>
    <row r="148" spans="1:30" ht="13.5" customHeight="1">
      <c r="A148" s="108"/>
      <c r="B148" s="49"/>
      <c r="C148" s="50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  <c r="AC148" s="108"/>
      <c r="AD148" s="108"/>
    </row>
    <row r="149" spans="1:30" ht="13.5" customHeight="1">
      <c r="A149" s="108"/>
      <c r="B149" s="49"/>
      <c r="C149" s="50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  <c r="AC149" s="108"/>
      <c r="AD149" s="108"/>
    </row>
    <row r="150" spans="1:30" ht="13.5" customHeight="1">
      <c r="A150" s="108"/>
      <c r="B150" s="49"/>
      <c r="C150" s="50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  <c r="AC150" s="108"/>
      <c r="AD150" s="108"/>
    </row>
    <row r="151" spans="1:30" ht="13.5" customHeight="1">
      <c r="A151" s="108"/>
      <c r="B151" s="49"/>
      <c r="C151" s="50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  <c r="AC151" s="108"/>
      <c r="AD151" s="108"/>
    </row>
    <row r="152" spans="1:30" ht="13.5" customHeight="1">
      <c r="A152" s="108"/>
      <c r="B152" s="49"/>
      <c r="C152" s="50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  <c r="AC152" s="108"/>
      <c r="AD152" s="108"/>
    </row>
    <row r="153" spans="1:30" ht="13.5" customHeight="1">
      <c r="A153" s="108"/>
      <c r="B153" s="49"/>
      <c r="C153" s="50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  <c r="AC153" s="108"/>
      <c r="AD153" s="108"/>
    </row>
    <row r="154" spans="1:30" ht="13.5" customHeight="1">
      <c r="A154" s="108"/>
      <c r="B154" s="49"/>
      <c r="C154" s="50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  <c r="AC154" s="108"/>
      <c r="AD154" s="108"/>
    </row>
    <row r="155" spans="1:30" ht="13.5" customHeight="1">
      <c r="A155" s="108"/>
      <c r="B155" s="49"/>
      <c r="C155" s="50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  <c r="AC155" s="108"/>
      <c r="AD155" s="108"/>
    </row>
    <row r="156" spans="1:30" ht="13.5" customHeight="1">
      <c r="A156" s="108"/>
      <c r="B156" s="49"/>
      <c r="C156" s="50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  <c r="AC156" s="108"/>
      <c r="AD156" s="108"/>
    </row>
    <row r="157" spans="1:30" ht="13.5" customHeight="1">
      <c r="A157" s="108"/>
      <c r="B157" s="49"/>
      <c r="C157" s="50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  <c r="AC157" s="108"/>
      <c r="AD157" s="108"/>
    </row>
    <row r="158" spans="1:30" ht="13.5" customHeight="1">
      <c r="A158" s="108"/>
      <c r="B158" s="49"/>
      <c r="C158" s="50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  <c r="AC158" s="108"/>
      <c r="AD158" s="108"/>
    </row>
    <row r="159" spans="1:30" ht="13.5" customHeight="1">
      <c r="A159" s="108"/>
      <c r="B159" s="49"/>
      <c r="C159" s="50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  <c r="AC159" s="108"/>
      <c r="AD159" s="108"/>
    </row>
    <row r="160" spans="1:30" ht="13.5" customHeight="1">
      <c r="A160" s="108"/>
      <c r="B160" s="49"/>
      <c r="C160" s="50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  <c r="AC160" s="108"/>
      <c r="AD160" s="108"/>
    </row>
    <row r="161" spans="1:30" ht="13.5" customHeight="1">
      <c r="A161" s="108"/>
      <c r="B161" s="49"/>
      <c r="C161" s="50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  <c r="AC161" s="108"/>
      <c r="AD161" s="108"/>
    </row>
    <row r="162" spans="1:30" ht="13.5" customHeight="1">
      <c r="A162" s="108"/>
      <c r="B162" s="49"/>
      <c r="C162" s="50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</row>
    <row r="163" spans="1:30" ht="13.5" customHeight="1">
      <c r="A163" s="108"/>
      <c r="B163" s="49"/>
      <c r="C163" s="50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  <c r="AC163" s="108"/>
      <c r="AD163" s="108"/>
    </row>
    <row r="164" spans="1:30" ht="13.5" customHeight="1">
      <c r="A164" s="108"/>
      <c r="B164" s="49"/>
      <c r="C164" s="50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  <c r="AC164" s="108"/>
      <c r="AD164" s="108"/>
    </row>
    <row r="165" spans="1:30" ht="13.5" customHeight="1">
      <c r="A165" s="108"/>
      <c r="B165" s="49"/>
      <c r="C165" s="50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  <c r="AC165" s="108"/>
      <c r="AD165" s="108"/>
    </row>
    <row r="166" spans="1:30" ht="13.5" customHeight="1">
      <c r="A166" s="108"/>
      <c r="B166" s="49"/>
      <c r="C166" s="50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  <c r="AC166" s="108"/>
      <c r="AD166" s="108"/>
    </row>
    <row r="167" spans="1:30" ht="13.5" customHeight="1">
      <c r="A167" s="108"/>
      <c r="B167" s="49"/>
      <c r="C167" s="50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  <c r="AC167" s="108"/>
      <c r="AD167" s="108"/>
    </row>
    <row r="168" spans="1:30" ht="13.5" customHeight="1">
      <c r="A168" s="108"/>
      <c r="B168" s="49"/>
      <c r="C168" s="50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  <c r="AD168" s="108"/>
    </row>
    <row r="169" spans="1:30" ht="13.5" customHeight="1">
      <c r="A169" s="108"/>
      <c r="B169" s="49"/>
      <c r="C169" s="50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  <c r="AC169" s="108"/>
      <c r="AD169" s="108"/>
    </row>
    <row r="170" spans="1:30" ht="13.5" customHeight="1">
      <c r="A170" s="108"/>
      <c r="B170" s="49"/>
      <c r="C170" s="50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  <c r="AC170" s="108"/>
      <c r="AD170" s="108"/>
    </row>
    <row r="171" spans="1:30" ht="13.5" customHeight="1">
      <c r="A171" s="108"/>
      <c r="B171" s="49"/>
      <c r="C171" s="50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  <c r="AC171" s="108"/>
      <c r="AD171" s="108"/>
    </row>
    <row r="172" spans="1:30" ht="13.5" customHeight="1">
      <c r="A172" s="108"/>
      <c r="B172" s="49"/>
      <c r="C172" s="50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  <c r="AC172" s="108"/>
      <c r="AD172" s="108"/>
    </row>
    <row r="173" spans="1:30" ht="13.5" customHeight="1">
      <c r="A173" s="108"/>
      <c r="B173" s="49"/>
      <c r="C173" s="50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  <c r="AC173" s="108"/>
      <c r="AD173" s="108"/>
    </row>
    <row r="174" spans="1:30" ht="13.5" customHeight="1">
      <c r="A174" s="108"/>
      <c r="B174" s="49"/>
      <c r="C174" s="50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  <c r="AC174" s="108"/>
      <c r="AD174" s="108"/>
    </row>
    <row r="175" spans="1:30" ht="13.5" customHeight="1">
      <c r="A175" s="108"/>
      <c r="B175" s="49"/>
      <c r="C175" s="50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  <c r="AC175" s="108"/>
      <c r="AD175" s="108"/>
    </row>
    <row r="176" spans="1:30" ht="13.5" customHeight="1">
      <c r="A176" s="108"/>
      <c r="B176" s="49"/>
      <c r="C176" s="50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  <c r="AC176" s="108"/>
      <c r="AD176" s="108"/>
    </row>
    <row r="177" spans="1:30" ht="13.5" customHeight="1">
      <c r="A177" s="108"/>
      <c r="B177" s="49"/>
      <c r="C177" s="50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  <c r="AC177" s="108"/>
      <c r="AD177" s="108"/>
    </row>
    <row r="178" spans="1:30" ht="13.5" customHeight="1">
      <c r="A178" s="108"/>
      <c r="B178" s="49"/>
      <c r="C178" s="50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  <c r="AC178" s="108"/>
      <c r="AD178" s="108"/>
    </row>
    <row r="179" spans="1:30" ht="13.5" customHeight="1">
      <c r="A179" s="108"/>
      <c r="B179" s="49"/>
      <c r="C179" s="50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  <c r="AC179" s="108"/>
      <c r="AD179" s="108"/>
    </row>
    <row r="180" spans="1:30" ht="13.5" customHeight="1">
      <c r="A180" s="108"/>
      <c r="B180" s="49"/>
      <c r="C180" s="50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  <c r="AC180" s="108"/>
      <c r="AD180" s="108"/>
    </row>
    <row r="181" spans="1:30" ht="13.5" customHeight="1">
      <c r="A181" s="108"/>
      <c r="B181" s="49"/>
      <c r="C181" s="50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  <c r="AC181" s="108"/>
      <c r="AD181" s="108"/>
    </row>
    <row r="182" spans="1:30" ht="13.5" customHeight="1">
      <c r="A182" s="108"/>
      <c r="B182" s="49"/>
      <c r="C182" s="50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  <c r="AC182" s="108"/>
      <c r="AD182" s="108"/>
    </row>
    <row r="183" spans="1:30" ht="13.5" customHeight="1">
      <c r="A183" s="108"/>
      <c r="B183" s="49"/>
      <c r="C183" s="50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  <c r="AC183" s="108"/>
      <c r="AD183" s="108"/>
    </row>
    <row r="184" spans="1:30" ht="13.5" customHeight="1">
      <c r="A184" s="108"/>
      <c r="B184" s="49"/>
      <c r="C184" s="50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  <c r="AC184" s="108"/>
      <c r="AD184" s="108"/>
    </row>
    <row r="185" spans="1:30" ht="13.5" customHeight="1">
      <c r="A185" s="108"/>
      <c r="B185" s="49"/>
      <c r="C185" s="50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  <c r="AC185" s="108"/>
      <c r="AD185" s="108"/>
    </row>
    <row r="186" spans="1:30" ht="13.5" customHeight="1">
      <c r="A186" s="108"/>
      <c r="B186" s="49"/>
      <c r="C186" s="50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  <c r="AC186" s="108"/>
      <c r="AD186" s="108"/>
    </row>
    <row r="187" spans="1:30" ht="13.5" customHeight="1">
      <c r="A187" s="108"/>
      <c r="B187" s="49"/>
      <c r="C187" s="50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  <c r="AC187" s="108"/>
      <c r="AD187" s="108"/>
    </row>
    <row r="188" spans="1:30" ht="13.5" customHeight="1">
      <c r="A188" s="108"/>
      <c r="B188" s="49"/>
      <c r="C188" s="50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  <c r="AC188" s="108"/>
      <c r="AD188" s="108"/>
    </row>
    <row r="189" spans="1:30" ht="13.5" customHeight="1">
      <c r="A189" s="108"/>
      <c r="B189" s="49"/>
      <c r="C189" s="50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</row>
    <row r="190" spans="1:30" ht="13.5" customHeight="1">
      <c r="A190" s="108"/>
      <c r="B190" s="49"/>
      <c r="C190" s="50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</row>
    <row r="191" spans="1:30" ht="13.5" customHeight="1">
      <c r="A191" s="108"/>
      <c r="B191" s="49"/>
      <c r="C191" s="50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  <c r="AC191" s="108"/>
      <c r="AD191" s="108"/>
    </row>
    <row r="192" spans="1:30" ht="13.5" customHeight="1">
      <c r="A192" s="108"/>
      <c r="B192" s="49"/>
      <c r="C192" s="50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  <c r="AC192" s="108"/>
      <c r="AD192" s="108"/>
    </row>
    <row r="193" spans="1:30" ht="13.5" customHeight="1">
      <c r="A193" s="108"/>
      <c r="B193" s="49"/>
      <c r="C193" s="50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  <c r="AC193" s="108"/>
      <c r="AD193" s="108"/>
    </row>
    <row r="194" spans="1:30" ht="13.5" customHeight="1">
      <c r="A194" s="108"/>
      <c r="B194" s="49"/>
      <c r="C194" s="50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</row>
    <row r="195" spans="1:30" ht="13.5" customHeight="1">
      <c r="A195" s="108"/>
      <c r="B195" s="49"/>
      <c r="C195" s="50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  <c r="AC195" s="108"/>
      <c r="AD195" s="108"/>
    </row>
    <row r="196" spans="1:30" ht="13.5" customHeight="1">
      <c r="A196" s="108"/>
      <c r="B196" s="49"/>
      <c r="C196" s="50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  <c r="AC196" s="108"/>
      <c r="AD196" s="108"/>
    </row>
    <row r="197" spans="1:30" ht="13.5" customHeight="1">
      <c r="A197" s="108"/>
      <c r="B197" s="49"/>
      <c r="C197" s="50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  <c r="AC197" s="108"/>
      <c r="AD197" s="108"/>
    </row>
    <row r="198" spans="1:30" ht="13.5" customHeight="1">
      <c r="A198" s="108"/>
      <c r="B198" s="49"/>
      <c r="C198" s="50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  <c r="AC198" s="108"/>
      <c r="AD198" s="108"/>
    </row>
    <row r="199" spans="1:30" ht="13.5" customHeight="1">
      <c r="A199" s="108"/>
      <c r="B199" s="49"/>
      <c r="C199" s="50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  <c r="AC199" s="108"/>
      <c r="AD199" s="108"/>
    </row>
    <row r="200" spans="1:30" ht="13.5" customHeight="1">
      <c r="A200" s="108"/>
      <c r="B200" s="49"/>
      <c r="C200" s="50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  <c r="AC200" s="108"/>
      <c r="AD200" s="108"/>
    </row>
    <row r="201" spans="1:30" ht="13.5" customHeight="1">
      <c r="A201" s="108"/>
      <c r="B201" s="49"/>
      <c r="C201" s="50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  <c r="AC201" s="108"/>
      <c r="AD201" s="108"/>
    </row>
    <row r="202" spans="1:30" ht="13.5" customHeight="1">
      <c r="A202" s="108"/>
      <c r="B202" s="49"/>
      <c r="C202" s="50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  <c r="AC202" s="108"/>
      <c r="AD202" s="108"/>
    </row>
    <row r="203" spans="1:30" ht="13.5" customHeight="1">
      <c r="A203" s="108"/>
      <c r="B203" s="49"/>
      <c r="C203" s="50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  <c r="AC203" s="108"/>
      <c r="AD203" s="108"/>
    </row>
    <row r="204" spans="1:30" ht="13.5" customHeight="1">
      <c r="A204" s="108"/>
      <c r="B204" s="49"/>
      <c r="C204" s="50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  <c r="AC204" s="108"/>
      <c r="AD204" s="108"/>
    </row>
    <row r="205" spans="1:30" ht="13.5" customHeight="1">
      <c r="A205" s="108"/>
      <c r="B205" s="49"/>
      <c r="C205" s="50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  <c r="AC205" s="108"/>
      <c r="AD205" s="108"/>
    </row>
    <row r="206" spans="1:30" ht="13.5" customHeight="1">
      <c r="A206" s="108"/>
      <c r="B206" s="49"/>
      <c r="C206" s="50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  <c r="AC206" s="108"/>
      <c r="AD206" s="108"/>
    </row>
    <row r="207" spans="1:30" ht="13.5" customHeight="1">
      <c r="A207" s="108"/>
      <c r="B207" s="49"/>
      <c r="C207" s="50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  <c r="AC207" s="108"/>
      <c r="AD207" s="108"/>
    </row>
    <row r="208" spans="1:30" ht="13.5" customHeight="1">
      <c r="A208" s="108"/>
      <c r="B208" s="49"/>
      <c r="C208" s="50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</row>
    <row r="209" spans="1:30" ht="13.5" customHeight="1">
      <c r="A209" s="108"/>
      <c r="B209" s="49"/>
      <c r="C209" s="50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  <c r="AC209" s="108"/>
      <c r="AD209" s="108"/>
    </row>
    <row r="210" spans="1:30" ht="13.5" customHeight="1">
      <c r="A210" s="108"/>
      <c r="B210" s="49"/>
      <c r="C210" s="50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  <c r="AD210" s="108"/>
    </row>
    <row r="211" spans="1:30" ht="13.5" customHeight="1">
      <c r="A211" s="108"/>
      <c r="B211" s="49"/>
      <c r="C211" s="50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  <c r="AC211" s="108"/>
      <c r="AD211" s="108"/>
    </row>
    <row r="212" spans="1:30" ht="13.5" customHeight="1">
      <c r="A212" s="108"/>
      <c r="B212" s="49"/>
      <c r="C212" s="50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  <c r="AC212" s="108"/>
      <c r="AD212" s="108"/>
    </row>
    <row r="213" spans="1:30" ht="13.5" customHeight="1">
      <c r="A213" s="108"/>
      <c r="B213" s="49"/>
      <c r="C213" s="50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  <c r="AC213" s="108"/>
      <c r="AD213" s="108"/>
    </row>
    <row r="214" spans="1:30" ht="13.5" customHeight="1">
      <c r="A214" s="108"/>
      <c r="B214" s="49"/>
      <c r="C214" s="50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  <c r="AC214" s="108"/>
      <c r="AD214" s="108"/>
    </row>
    <row r="215" spans="1:30" ht="13.5" customHeight="1">
      <c r="A215" s="108"/>
      <c r="B215" s="49"/>
      <c r="C215" s="50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  <c r="AC215" s="108"/>
      <c r="AD215" s="108"/>
    </row>
    <row r="216" spans="1:30" ht="13.5" customHeight="1">
      <c r="A216" s="108"/>
      <c r="B216" s="49"/>
      <c r="C216" s="50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  <c r="AD216" s="108"/>
    </row>
    <row r="217" spans="1:30" ht="13.5" customHeight="1">
      <c r="A217" s="108"/>
      <c r="B217" s="49"/>
      <c r="C217" s="50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</row>
    <row r="218" spans="1:30" ht="13.5" customHeight="1">
      <c r="A218" s="108"/>
      <c r="B218" s="49"/>
      <c r="C218" s="50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  <c r="AC218" s="108"/>
      <c r="AD218" s="108"/>
    </row>
    <row r="219" spans="1:30" ht="13.5" customHeight="1">
      <c r="A219" s="108"/>
      <c r="B219" s="49"/>
      <c r="C219" s="50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</row>
    <row r="220" spans="1:30" ht="13.5" customHeight="1">
      <c r="A220" s="108"/>
      <c r="B220" s="49"/>
      <c r="C220" s="50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  <c r="AC220" s="108"/>
      <c r="AD220" s="108"/>
    </row>
    <row r="221" spans="1:30" ht="13.5" customHeight="1">
      <c r="A221" s="108"/>
      <c r="B221" s="49"/>
      <c r="C221" s="50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  <c r="AC221" s="108"/>
      <c r="AD221" s="108"/>
    </row>
    <row r="222" spans="1:30" ht="13.5" customHeight="1">
      <c r="A222" s="108"/>
      <c r="B222" s="49"/>
      <c r="C222" s="50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  <c r="AA222" s="108"/>
      <c r="AB222" s="108"/>
      <c r="AC222" s="108"/>
      <c r="AD222" s="108"/>
    </row>
    <row r="223" spans="1:30" ht="13.5" customHeight="1">
      <c r="A223" s="108"/>
      <c r="B223" s="49"/>
      <c r="C223" s="50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  <c r="AA223" s="108"/>
      <c r="AB223" s="108"/>
      <c r="AC223" s="108"/>
      <c r="AD223" s="108"/>
    </row>
    <row r="224" spans="1:30" ht="13.5" customHeight="1">
      <c r="A224" s="108"/>
      <c r="B224" s="49"/>
      <c r="C224" s="50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  <c r="AA224" s="108"/>
      <c r="AB224" s="108"/>
      <c r="AC224" s="108"/>
      <c r="AD224" s="108"/>
    </row>
    <row r="225" spans="1:30" ht="13.5" customHeight="1">
      <c r="A225" s="108"/>
      <c r="B225" s="49"/>
      <c r="C225" s="50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  <c r="AA225" s="108"/>
      <c r="AB225" s="108"/>
      <c r="AC225" s="108"/>
      <c r="AD225" s="108"/>
    </row>
    <row r="226" spans="1:30" ht="13.5" customHeight="1">
      <c r="A226" s="108"/>
      <c r="B226" s="49"/>
      <c r="C226" s="50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  <c r="AA226" s="108"/>
      <c r="AB226" s="108"/>
      <c r="AC226" s="108"/>
      <c r="AD226" s="108"/>
    </row>
    <row r="227" spans="1:30" ht="13.5" customHeight="1">
      <c r="A227" s="108"/>
      <c r="B227" s="49"/>
      <c r="C227" s="50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  <c r="AA227" s="108"/>
      <c r="AB227" s="108"/>
      <c r="AC227" s="108"/>
      <c r="AD227" s="108"/>
    </row>
    <row r="228" spans="1:30" ht="13.5" customHeight="1">
      <c r="A228" s="108"/>
      <c r="B228" s="49"/>
      <c r="C228" s="50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  <c r="AA228" s="108"/>
      <c r="AB228" s="108"/>
      <c r="AC228" s="108"/>
      <c r="AD228" s="108"/>
    </row>
    <row r="229" spans="1:30" ht="13.5" customHeight="1">
      <c r="A229" s="108"/>
      <c r="B229" s="49"/>
      <c r="C229" s="50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  <c r="AA229" s="108"/>
      <c r="AB229" s="108"/>
      <c r="AC229" s="108"/>
      <c r="AD229" s="108"/>
    </row>
    <row r="230" spans="1:30" ht="13.5" customHeight="1">
      <c r="A230" s="108"/>
      <c r="B230" s="49"/>
      <c r="C230" s="50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  <c r="AA230" s="108"/>
      <c r="AB230" s="108"/>
      <c r="AC230" s="108"/>
      <c r="AD230" s="108"/>
    </row>
    <row r="231" spans="1:30" ht="13.5" customHeight="1">
      <c r="A231" s="108"/>
      <c r="B231" s="49"/>
      <c r="C231" s="50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  <c r="AA231" s="108"/>
      <c r="AB231" s="108"/>
      <c r="AC231" s="108"/>
      <c r="AD231" s="108"/>
    </row>
    <row r="232" spans="1:30" ht="13.5" customHeight="1">
      <c r="A232" s="108"/>
      <c r="B232" s="49"/>
      <c r="C232" s="50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  <c r="AA232" s="108"/>
      <c r="AB232" s="108"/>
      <c r="AC232" s="108"/>
      <c r="AD232" s="108"/>
    </row>
    <row r="233" spans="1:30" ht="13.5" customHeight="1">
      <c r="A233" s="108"/>
      <c r="B233" s="49"/>
      <c r="C233" s="50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  <c r="AA233" s="108"/>
      <c r="AB233" s="108"/>
      <c r="AC233" s="108"/>
      <c r="AD233" s="108"/>
    </row>
    <row r="234" spans="1:30" ht="13.5" customHeight="1">
      <c r="A234" s="108"/>
      <c r="B234" s="49"/>
      <c r="C234" s="50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  <c r="AA234" s="108"/>
      <c r="AB234" s="108"/>
      <c r="AC234" s="108"/>
      <c r="AD234" s="108"/>
    </row>
    <row r="235" spans="1:30" ht="13.5" customHeight="1">
      <c r="A235" s="108"/>
      <c r="B235" s="49"/>
      <c r="C235" s="50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  <c r="AA235" s="108"/>
      <c r="AB235" s="108"/>
      <c r="AC235" s="108"/>
      <c r="AD235" s="108"/>
    </row>
    <row r="236" spans="1:30" ht="13.5" customHeight="1">
      <c r="A236" s="108"/>
      <c r="B236" s="49"/>
      <c r="C236" s="50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  <c r="AA236" s="108"/>
      <c r="AB236" s="108"/>
      <c r="AC236" s="108"/>
      <c r="AD236" s="108"/>
    </row>
    <row r="237" spans="1:30" ht="13.5" customHeight="1">
      <c r="A237" s="108"/>
      <c r="B237" s="49"/>
      <c r="C237" s="50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  <c r="AA237" s="108"/>
      <c r="AB237" s="108"/>
      <c r="AC237" s="108"/>
      <c r="AD237" s="108"/>
    </row>
    <row r="238" spans="1:30" ht="13.5" customHeight="1">
      <c r="A238" s="108"/>
      <c r="B238" s="49"/>
      <c r="C238" s="50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  <c r="AC238" s="108"/>
      <c r="AD238" s="108"/>
    </row>
    <row r="239" spans="1:30" ht="13.5" customHeight="1">
      <c r="A239" s="108"/>
      <c r="B239" s="49"/>
      <c r="C239" s="50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  <c r="AA239" s="108"/>
      <c r="AB239" s="108"/>
      <c r="AC239" s="108"/>
      <c r="AD239" s="108"/>
    </row>
    <row r="240" spans="1:30" ht="13.5" customHeight="1">
      <c r="A240" s="108"/>
      <c r="B240" s="49"/>
      <c r="C240" s="50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  <c r="AA240" s="108"/>
      <c r="AB240" s="108"/>
      <c r="AC240" s="108"/>
      <c r="AD240" s="108"/>
    </row>
    <row r="241" spans="1:30" ht="13.5" customHeight="1">
      <c r="A241" s="108"/>
      <c r="B241" s="49"/>
      <c r="C241" s="50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  <c r="AA241" s="108"/>
      <c r="AB241" s="108"/>
      <c r="AC241" s="108"/>
      <c r="AD241" s="108"/>
    </row>
    <row r="242" spans="1:30" ht="13.5" customHeight="1">
      <c r="A242" s="108"/>
      <c r="B242" s="49"/>
      <c r="C242" s="50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  <c r="AA242" s="108"/>
      <c r="AB242" s="108"/>
      <c r="AC242" s="108"/>
      <c r="AD242" s="108"/>
    </row>
    <row r="243" spans="1:30" ht="13.5" customHeight="1">
      <c r="A243" s="108"/>
      <c r="B243" s="49"/>
      <c r="C243" s="50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  <c r="AA243" s="108"/>
      <c r="AB243" s="108"/>
      <c r="AC243" s="108"/>
      <c r="AD243" s="108"/>
    </row>
    <row r="244" spans="1:30" ht="13.5" customHeight="1">
      <c r="A244" s="108"/>
      <c r="B244" s="49"/>
      <c r="C244" s="50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  <c r="AA244" s="108"/>
      <c r="AB244" s="108"/>
      <c r="AC244" s="108"/>
      <c r="AD244" s="108"/>
    </row>
    <row r="245" spans="1:30" ht="13.5" customHeight="1">
      <c r="A245" s="108"/>
      <c r="B245" s="49"/>
      <c r="C245" s="50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  <c r="AA245" s="108"/>
      <c r="AB245" s="108"/>
      <c r="AC245" s="108"/>
      <c r="AD245" s="108"/>
    </row>
    <row r="246" spans="1:30" ht="13.5" customHeight="1">
      <c r="A246" s="108"/>
      <c r="B246" s="49"/>
      <c r="C246" s="50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  <c r="AA246" s="108"/>
      <c r="AB246" s="108"/>
      <c r="AC246" s="108"/>
      <c r="AD246" s="108"/>
    </row>
    <row r="247" spans="1:30" ht="13.5" customHeight="1">
      <c r="A247" s="108"/>
      <c r="B247" s="49"/>
      <c r="C247" s="50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  <c r="AA247" s="108"/>
      <c r="AB247" s="108"/>
      <c r="AC247" s="108"/>
      <c r="AD247" s="108"/>
    </row>
    <row r="248" spans="1:30" ht="13.5" customHeight="1">
      <c r="A248" s="108"/>
      <c r="B248" s="49"/>
      <c r="C248" s="50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  <c r="AA248" s="108"/>
      <c r="AB248" s="108"/>
      <c r="AC248" s="108"/>
      <c r="AD248" s="108"/>
    </row>
    <row r="249" spans="1:30" ht="13.5" customHeight="1">
      <c r="A249" s="108"/>
      <c r="B249" s="49"/>
      <c r="C249" s="50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  <c r="AA249" s="108"/>
      <c r="AB249" s="108"/>
      <c r="AC249" s="108"/>
      <c r="AD249" s="108"/>
    </row>
    <row r="250" spans="1:30" ht="13.5" customHeight="1">
      <c r="A250" s="108"/>
      <c r="B250" s="49"/>
      <c r="C250" s="50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  <c r="AC250" s="108"/>
      <c r="AD250" s="108"/>
    </row>
    <row r="251" spans="1:30" ht="13.5" customHeight="1">
      <c r="A251" s="108"/>
      <c r="B251" s="49"/>
      <c r="C251" s="50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  <c r="AA251" s="108"/>
      <c r="AB251" s="108"/>
      <c r="AC251" s="108"/>
      <c r="AD251" s="108"/>
    </row>
    <row r="252" spans="1:30" ht="13.5" customHeight="1">
      <c r="A252" s="108"/>
      <c r="B252" s="49"/>
      <c r="C252" s="50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  <c r="AA252" s="108"/>
      <c r="AB252" s="108"/>
      <c r="AC252" s="108"/>
      <c r="AD252" s="108"/>
    </row>
    <row r="253" spans="1:30" ht="13.5" customHeight="1">
      <c r="A253" s="108"/>
      <c r="B253" s="49"/>
      <c r="C253" s="50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  <c r="AA253" s="108"/>
      <c r="AB253" s="108"/>
      <c r="AC253" s="108"/>
      <c r="AD253" s="108"/>
    </row>
    <row r="254" spans="1:30" ht="13.5" customHeight="1">
      <c r="A254" s="108"/>
      <c r="B254" s="49"/>
      <c r="C254" s="50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</row>
    <row r="255" spans="1:30" ht="13.5" customHeight="1">
      <c r="A255" s="108"/>
      <c r="B255" s="49"/>
      <c r="C255" s="50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  <c r="AA255" s="108"/>
      <c r="AB255" s="108"/>
      <c r="AC255" s="108"/>
      <c r="AD255" s="108"/>
    </row>
    <row r="256" spans="1:30" ht="13.5" customHeight="1">
      <c r="A256" s="108"/>
      <c r="B256" s="49"/>
      <c r="C256" s="50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  <c r="AA256" s="108"/>
      <c r="AB256" s="108"/>
      <c r="AC256" s="108"/>
      <c r="AD256" s="108"/>
    </row>
    <row r="257" spans="1:30" ht="13.5" customHeight="1">
      <c r="A257" s="108"/>
      <c r="B257" s="49"/>
      <c r="C257" s="50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  <c r="AA257" s="108"/>
      <c r="AB257" s="108"/>
      <c r="AC257" s="108"/>
      <c r="AD257" s="108"/>
    </row>
    <row r="258" spans="1:30" ht="13.5" customHeight="1">
      <c r="A258" s="108"/>
      <c r="B258" s="49"/>
      <c r="C258" s="50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</row>
    <row r="259" spans="1:30" ht="13.5" customHeight="1">
      <c r="A259" s="108"/>
      <c r="B259" s="49"/>
      <c r="C259" s="50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  <c r="AA259" s="108"/>
      <c r="AB259" s="108"/>
      <c r="AC259" s="108"/>
      <c r="AD259" s="108"/>
    </row>
    <row r="260" spans="1:30" ht="13.5" customHeight="1">
      <c r="A260" s="108"/>
      <c r="B260" s="49"/>
      <c r="C260" s="50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  <c r="AA260" s="108"/>
      <c r="AB260" s="108"/>
      <c r="AC260" s="108"/>
      <c r="AD260" s="108"/>
    </row>
    <row r="261" spans="1:30" ht="13.5" customHeight="1">
      <c r="A261" s="108"/>
      <c r="B261" s="49"/>
      <c r="C261" s="50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  <c r="AA261" s="108"/>
      <c r="AB261" s="108"/>
      <c r="AC261" s="108"/>
      <c r="AD261" s="108"/>
    </row>
    <row r="262" spans="1:30" ht="13.5" customHeight="1">
      <c r="A262" s="108"/>
      <c r="B262" s="49"/>
      <c r="C262" s="50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  <c r="AA262" s="108"/>
      <c r="AB262" s="108"/>
      <c r="AC262" s="108"/>
      <c r="AD262" s="108"/>
    </row>
    <row r="263" spans="1:30" ht="13.5" customHeight="1">
      <c r="A263" s="108"/>
      <c r="B263" s="49"/>
      <c r="C263" s="50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  <c r="AA263" s="108"/>
      <c r="AB263" s="108"/>
      <c r="AC263" s="108"/>
      <c r="AD263" s="108"/>
    </row>
    <row r="264" spans="1:30" ht="13.5" customHeight="1">
      <c r="A264" s="108"/>
      <c r="B264" s="49"/>
      <c r="C264" s="50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  <c r="AB264" s="108"/>
      <c r="AC264" s="108"/>
      <c r="AD264" s="108"/>
    </row>
    <row r="265" spans="1:30" ht="13.5" customHeight="1">
      <c r="A265" s="108"/>
      <c r="B265" s="49"/>
      <c r="C265" s="50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  <c r="AA265" s="108"/>
      <c r="AB265" s="108"/>
      <c r="AC265" s="108"/>
      <c r="AD265" s="108"/>
    </row>
    <row r="266" spans="1:30" ht="13.5" customHeight="1">
      <c r="A266" s="108"/>
      <c r="B266" s="49"/>
      <c r="C266" s="50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108"/>
      <c r="AB266" s="108"/>
      <c r="AC266" s="108"/>
      <c r="AD266" s="108"/>
    </row>
    <row r="267" spans="1:30" ht="13.5" customHeight="1">
      <c r="A267" s="108"/>
      <c r="B267" s="49"/>
      <c r="C267" s="50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  <c r="AA267" s="108"/>
      <c r="AB267" s="108"/>
      <c r="AC267" s="108"/>
      <c r="AD267" s="108"/>
    </row>
    <row r="268" spans="1:30" ht="13.5" customHeight="1">
      <c r="A268" s="108"/>
      <c r="B268" s="49"/>
      <c r="C268" s="50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</row>
    <row r="269" spans="1:30" ht="13.5" customHeight="1">
      <c r="A269" s="108"/>
      <c r="B269" s="49"/>
      <c r="C269" s="50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</row>
    <row r="270" spans="1:30" ht="13.5" customHeight="1">
      <c r="A270" s="108"/>
      <c r="B270" s="49"/>
      <c r="C270" s="50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</row>
    <row r="271" spans="1:30" ht="13.5" customHeight="1">
      <c r="A271" s="108"/>
      <c r="B271" s="49"/>
      <c r="C271" s="50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</row>
    <row r="272" spans="1:30" ht="13.5" customHeight="1">
      <c r="A272" s="108"/>
      <c r="B272" s="49"/>
      <c r="C272" s="50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</row>
    <row r="273" spans="1:30" ht="13.5" customHeight="1">
      <c r="A273" s="108"/>
      <c r="B273" s="49"/>
      <c r="C273" s="50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  <c r="AA273" s="108"/>
      <c r="AB273" s="108"/>
      <c r="AC273" s="108"/>
      <c r="AD273" s="108"/>
    </row>
    <row r="274" spans="1:30" ht="13.5" customHeight="1">
      <c r="A274" s="108"/>
      <c r="B274" s="49"/>
      <c r="C274" s="50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</row>
    <row r="275" spans="1:30" ht="13.5" customHeight="1">
      <c r="A275" s="108"/>
      <c r="B275" s="49"/>
      <c r="C275" s="50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  <c r="AA275" s="108"/>
      <c r="AB275" s="108"/>
      <c r="AC275" s="108"/>
      <c r="AD275" s="108"/>
    </row>
    <row r="276" spans="1:30" ht="13.5" customHeight="1">
      <c r="A276" s="108"/>
      <c r="B276" s="49"/>
      <c r="C276" s="50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  <c r="AA276" s="108"/>
      <c r="AB276" s="108"/>
      <c r="AC276" s="108"/>
      <c r="AD276" s="108"/>
    </row>
    <row r="277" spans="1:30" ht="13.5" customHeight="1">
      <c r="A277" s="108"/>
      <c r="B277" s="49"/>
      <c r="C277" s="50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  <c r="AA277" s="108"/>
      <c r="AB277" s="108"/>
      <c r="AC277" s="108"/>
      <c r="AD277" s="108"/>
    </row>
    <row r="278" spans="1:30" ht="13.5" customHeight="1">
      <c r="A278" s="108"/>
      <c r="B278" s="49"/>
      <c r="C278" s="50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  <c r="AA278" s="108"/>
      <c r="AB278" s="108"/>
      <c r="AC278" s="108"/>
      <c r="AD278" s="108"/>
    </row>
    <row r="279" spans="1:30" ht="13.5" customHeight="1">
      <c r="A279" s="108"/>
      <c r="B279" s="49"/>
      <c r="C279" s="50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</row>
    <row r="280" spans="1:30" ht="13.5" customHeight="1">
      <c r="A280" s="108"/>
      <c r="B280" s="49"/>
      <c r="C280" s="50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  <c r="AA280" s="108"/>
      <c r="AB280" s="108"/>
      <c r="AC280" s="108"/>
      <c r="AD280" s="108"/>
    </row>
    <row r="281" spans="1:30" ht="13.5" customHeight="1">
      <c r="A281" s="108"/>
      <c r="B281" s="49"/>
      <c r="C281" s="50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  <c r="AA281" s="108"/>
      <c r="AB281" s="108"/>
      <c r="AC281" s="108"/>
      <c r="AD281" s="108"/>
    </row>
    <row r="282" spans="1:30" ht="13.5" customHeight="1">
      <c r="A282" s="108"/>
      <c r="B282" s="49"/>
      <c r="C282" s="50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  <c r="AA282" s="108"/>
      <c r="AB282" s="108"/>
      <c r="AC282" s="108"/>
      <c r="AD282" s="108"/>
    </row>
    <row r="283" spans="1:30" ht="13.5" customHeight="1">
      <c r="A283" s="108"/>
      <c r="B283" s="49"/>
      <c r="C283" s="50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  <c r="AA283" s="108"/>
      <c r="AB283" s="108"/>
      <c r="AC283" s="108"/>
      <c r="AD283" s="108"/>
    </row>
    <row r="284" spans="1:30" ht="13.5" customHeight="1">
      <c r="A284" s="108"/>
      <c r="B284" s="49"/>
      <c r="C284" s="50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  <c r="AA284" s="108"/>
      <c r="AB284" s="108"/>
      <c r="AC284" s="108"/>
      <c r="AD284" s="108"/>
    </row>
    <row r="285" spans="1:30" ht="13.5" customHeight="1">
      <c r="A285" s="108"/>
      <c r="B285" s="49"/>
      <c r="C285" s="50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  <c r="AA285" s="108"/>
      <c r="AB285" s="108"/>
      <c r="AC285" s="108"/>
      <c r="AD285" s="108"/>
    </row>
    <row r="286" spans="1:30" ht="13.5" customHeight="1">
      <c r="A286" s="108"/>
      <c r="B286" s="49"/>
      <c r="C286" s="50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  <c r="AA286" s="108"/>
      <c r="AB286" s="108"/>
      <c r="AC286" s="108"/>
      <c r="AD286" s="108"/>
    </row>
    <row r="287" spans="1:30" ht="13.5" customHeight="1">
      <c r="A287" s="108"/>
      <c r="B287" s="49"/>
      <c r="C287" s="50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  <c r="AA287" s="108"/>
      <c r="AB287" s="108"/>
      <c r="AC287" s="108"/>
      <c r="AD287" s="108"/>
    </row>
    <row r="288" spans="1:30" ht="13.5" customHeight="1">
      <c r="A288" s="108"/>
      <c r="B288" s="49"/>
      <c r="C288" s="50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  <c r="AA288" s="108"/>
      <c r="AB288" s="108"/>
      <c r="AC288" s="108"/>
      <c r="AD288" s="108"/>
    </row>
    <row r="289" spans="1:30" ht="13.5" customHeight="1">
      <c r="A289" s="108"/>
      <c r="B289" s="49"/>
      <c r="C289" s="50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  <c r="AA289" s="108"/>
      <c r="AB289" s="108"/>
      <c r="AC289" s="108"/>
      <c r="AD289" s="108"/>
    </row>
    <row r="290" spans="1:30" ht="13.5" customHeight="1">
      <c r="A290" s="108"/>
      <c r="B290" s="49"/>
      <c r="C290" s="50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  <c r="AA290" s="108"/>
      <c r="AB290" s="108"/>
      <c r="AC290" s="108"/>
      <c r="AD290" s="108"/>
    </row>
    <row r="291" spans="1:30" ht="13.5" customHeight="1">
      <c r="A291" s="108"/>
      <c r="B291" s="49"/>
      <c r="C291" s="50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  <c r="AA291" s="108"/>
      <c r="AB291" s="108"/>
      <c r="AC291" s="108"/>
      <c r="AD291" s="108"/>
    </row>
    <row r="292" spans="1:30" ht="13.5" customHeight="1">
      <c r="A292" s="108"/>
      <c r="B292" s="49"/>
      <c r="C292" s="50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  <c r="AA292" s="108"/>
      <c r="AB292" s="108"/>
      <c r="AC292" s="108"/>
      <c r="AD292" s="108"/>
    </row>
    <row r="293" spans="1:30" ht="13.5" customHeight="1">
      <c r="A293" s="108"/>
      <c r="B293" s="49"/>
      <c r="C293" s="50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  <c r="AA293" s="108"/>
      <c r="AB293" s="108"/>
      <c r="AC293" s="108"/>
      <c r="AD293" s="108"/>
    </row>
    <row r="294" spans="1:30" ht="13.5" customHeight="1">
      <c r="A294" s="108"/>
      <c r="B294" s="49"/>
      <c r="C294" s="50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  <c r="AA294" s="108"/>
      <c r="AB294" s="108"/>
      <c r="AC294" s="108"/>
      <c r="AD294" s="108"/>
    </row>
    <row r="295" spans="1:30" ht="13.5" customHeight="1">
      <c r="A295" s="108"/>
      <c r="B295" s="49"/>
      <c r="C295" s="50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  <c r="AA295" s="108"/>
      <c r="AB295" s="108"/>
      <c r="AC295" s="108"/>
      <c r="AD295" s="108"/>
    </row>
    <row r="296" spans="1:30" ht="13.5" customHeight="1">
      <c r="A296" s="108"/>
      <c r="B296" s="49"/>
      <c r="C296" s="50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  <c r="AA296" s="108"/>
      <c r="AB296" s="108"/>
      <c r="AC296" s="108"/>
      <c r="AD296" s="108"/>
    </row>
    <row r="297" spans="1:30" ht="13.5" customHeight="1">
      <c r="A297" s="108"/>
      <c r="B297" s="49"/>
      <c r="C297" s="50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  <c r="AA297" s="108"/>
      <c r="AB297" s="108"/>
      <c r="AC297" s="108"/>
      <c r="AD297" s="108"/>
    </row>
    <row r="298" spans="1:30" ht="13.5" customHeight="1">
      <c r="A298" s="108"/>
      <c r="B298" s="49"/>
      <c r="C298" s="50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  <c r="AA298" s="108"/>
      <c r="AB298" s="108"/>
      <c r="AC298" s="108"/>
      <c r="AD298" s="108"/>
    </row>
    <row r="299" spans="1:30" ht="13.5" customHeight="1">
      <c r="A299" s="108"/>
      <c r="B299" s="49"/>
      <c r="C299" s="50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  <c r="AA299" s="108"/>
      <c r="AB299" s="108"/>
      <c r="AC299" s="108"/>
      <c r="AD299" s="108"/>
    </row>
    <row r="300" spans="1:30" ht="13.5" customHeight="1">
      <c r="A300" s="108"/>
      <c r="B300" s="49"/>
      <c r="C300" s="50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  <c r="AA300" s="108"/>
      <c r="AB300" s="108"/>
      <c r="AC300" s="108"/>
      <c r="AD300" s="108"/>
    </row>
    <row r="301" spans="1:30" ht="13.5" customHeight="1">
      <c r="A301" s="108"/>
      <c r="B301" s="49"/>
      <c r="C301" s="50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  <c r="AA301" s="108"/>
      <c r="AB301" s="108"/>
      <c r="AC301" s="108"/>
      <c r="AD301" s="108"/>
    </row>
    <row r="302" spans="1:30" ht="13.5" customHeight="1">
      <c r="A302" s="108"/>
      <c r="B302" s="49"/>
      <c r="C302" s="50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  <c r="AA302" s="108"/>
      <c r="AB302" s="108"/>
      <c r="AC302" s="108"/>
      <c r="AD302" s="108"/>
    </row>
    <row r="303" spans="1:30" ht="13.5" customHeight="1">
      <c r="A303" s="108"/>
      <c r="B303" s="49"/>
      <c r="C303" s="50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  <c r="AA303" s="108"/>
      <c r="AB303" s="108"/>
      <c r="AC303" s="108"/>
      <c r="AD303" s="108"/>
    </row>
    <row r="304" spans="1:30" ht="13.5" customHeight="1">
      <c r="A304" s="108"/>
      <c r="B304" s="49"/>
      <c r="C304" s="50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  <c r="AA304" s="108"/>
      <c r="AB304" s="108"/>
      <c r="AC304" s="108"/>
      <c r="AD304" s="108"/>
    </row>
    <row r="305" spans="1:30" ht="13.5" customHeight="1">
      <c r="A305" s="108"/>
      <c r="B305" s="49"/>
      <c r="C305" s="50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  <c r="AA305" s="108"/>
      <c r="AB305" s="108"/>
      <c r="AC305" s="108"/>
      <c r="AD305" s="108"/>
    </row>
    <row r="306" spans="1:30" ht="13.5" customHeight="1">
      <c r="A306" s="108"/>
      <c r="B306" s="49"/>
      <c r="C306" s="50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  <c r="AA306" s="108"/>
      <c r="AB306" s="108"/>
      <c r="AC306" s="108"/>
      <c r="AD306" s="108"/>
    </row>
    <row r="307" spans="1:30" ht="13.5" customHeight="1">
      <c r="A307" s="108"/>
      <c r="B307" s="49"/>
      <c r="C307" s="50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  <c r="AA307" s="108"/>
      <c r="AB307" s="108"/>
      <c r="AC307" s="108"/>
      <c r="AD307" s="108"/>
    </row>
    <row r="308" spans="1:30" ht="13.5" customHeight="1">
      <c r="A308" s="108"/>
      <c r="B308" s="49"/>
      <c r="C308" s="50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  <c r="AA308" s="108"/>
      <c r="AB308" s="108"/>
      <c r="AC308" s="108"/>
      <c r="AD308" s="108"/>
    </row>
    <row r="309" spans="1:30" ht="13.5" customHeight="1">
      <c r="A309" s="108"/>
      <c r="B309" s="49"/>
      <c r="C309" s="50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  <c r="AA309" s="108"/>
      <c r="AB309" s="108"/>
      <c r="AC309" s="108"/>
      <c r="AD309" s="108"/>
    </row>
    <row r="310" spans="1:30" ht="13.5" customHeight="1">
      <c r="A310" s="108"/>
      <c r="B310" s="49"/>
      <c r="C310" s="50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  <c r="AA310" s="108"/>
      <c r="AB310" s="108"/>
      <c r="AC310" s="108"/>
      <c r="AD310" s="108"/>
    </row>
    <row r="311" spans="1:30" ht="13.5" customHeight="1">
      <c r="A311" s="108"/>
      <c r="B311" s="49"/>
      <c r="C311" s="50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  <c r="AA311" s="108"/>
      <c r="AB311" s="108"/>
      <c r="AC311" s="108"/>
      <c r="AD311" s="108"/>
    </row>
    <row r="312" spans="1:30" ht="13.5" customHeight="1">
      <c r="A312" s="108"/>
      <c r="B312" s="49"/>
      <c r="C312" s="50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  <c r="AA312" s="108"/>
      <c r="AB312" s="108"/>
      <c r="AC312" s="108"/>
      <c r="AD312" s="108"/>
    </row>
    <row r="313" spans="1:30" ht="13.5" customHeight="1">
      <c r="A313" s="108"/>
      <c r="B313" s="49"/>
      <c r="C313" s="50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  <c r="AA313" s="108"/>
      <c r="AB313" s="108"/>
      <c r="AC313" s="108"/>
      <c r="AD313" s="108"/>
    </row>
    <row r="314" spans="1:30" ht="13.5" customHeight="1">
      <c r="A314" s="108"/>
      <c r="B314" s="49"/>
      <c r="C314" s="50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  <c r="AA314" s="108"/>
      <c r="AB314" s="108"/>
      <c r="AC314" s="108"/>
      <c r="AD314" s="108"/>
    </row>
    <row r="315" spans="1:30" ht="13.5" customHeight="1">
      <c r="A315" s="108"/>
      <c r="B315" s="49"/>
      <c r="C315" s="50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  <c r="AA315" s="108"/>
      <c r="AB315" s="108"/>
      <c r="AC315" s="108"/>
      <c r="AD315" s="108"/>
    </row>
    <row r="316" spans="1:30" ht="13.5" customHeight="1">
      <c r="A316" s="108"/>
      <c r="B316" s="49"/>
      <c r="C316" s="50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  <c r="AA316" s="108"/>
      <c r="AB316" s="108"/>
      <c r="AC316" s="108"/>
      <c r="AD316" s="108"/>
    </row>
    <row r="317" spans="1:30" ht="13.5" customHeight="1">
      <c r="A317" s="108"/>
      <c r="B317" s="49"/>
      <c r="C317" s="50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  <c r="AA317" s="108"/>
      <c r="AB317" s="108"/>
      <c r="AC317" s="108"/>
      <c r="AD317" s="108"/>
    </row>
    <row r="318" spans="1:30" ht="13.5" customHeight="1">
      <c r="A318" s="108"/>
      <c r="B318" s="49"/>
      <c r="C318" s="50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  <c r="AA318" s="108"/>
      <c r="AB318" s="108"/>
      <c r="AC318" s="108"/>
      <c r="AD318" s="108"/>
    </row>
    <row r="319" spans="1:30" ht="13.5" customHeight="1">
      <c r="A319" s="108"/>
      <c r="B319" s="49"/>
      <c r="C319" s="50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  <c r="AA319" s="108"/>
      <c r="AB319" s="108"/>
      <c r="AC319" s="108"/>
      <c r="AD319" s="108"/>
    </row>
    <row r="320" spans="1:30" ht="13.5" customHeight="1">
      <c r="A320" s="108"/>
      <c r="B320" s="49"/>
      <c r="C320" s="50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  <c r="AA320" s="108"/>
      <c r="AB320" s="108"/>
      <c r="AC320" s="108"/>
      <c r="AD320" s="108"/>
    </row>
    <row r="321" spans="1:30" ht="13.5" customHeight="1">
      <c r="A321" s="108"/>
      <c r="B321" s="49"/>
      <c r="C321" s="50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  <c r="AA321" s="108"/>
      <c r="AB321" s="108"/>
      <c r="AC321" s="108"/>
      <c r="AD321" s="108"/>
    </row>
    <row r="322" spans="1:30" ht="13.5" customHeight="1">
      <c r="A322" s="108"/>
      <c r="B322" s="49"/>
      <c r="C322" s="50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  <c r="AA322" s="108"/>
      <c r="AB322" s="108"/>
      <c r="AC322" s="108"/>
      <c r="AD322" s="108"/>
    </row>
    <row r="323" spans="1:30" ht="13.5" customHeight="1">
      <c r="A323" s="108"/>
      <c r="B323" s="49"/>
      <c r="C323" s="50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  <c r="AA323" s="108"/>
      <c r="AB323" s="108"/>
      <c r="AC323" s="108"/>
      <c r="AD323" s="108"/>
    </row>
    <row r="324" spans="1:30" ht="13.5" customHeight="1">
      <c r="A324" s="108"/>
      <c r="B324" s="49"/>
      <c r="C324" s="50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  <c r="AA324" s="108"/>
      <c r="AB324" s="108"/>
      <c r="AC324" s="108"/>
      <c r="AD324" s="108"/>
    </row>
    <row r="325" spans="1:30" ht="13.5" customHeight="1">
      <c r="A325" s="108"/>
      <c r="B325" s="49"/>
      <c r="C325" s="50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  <c r="AB325" s="108"/>
      <c r="AC325" s="108"/>
      <c r="AD325" s="108"/>
    </row>
    <row r="326" spans="1:30" ht="13.5" customHeight="1">
      <c r="A326" s="108"/>
      <c r="B326" s="49"/>
      <c r="C326" s="50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  <c r="AA326" s="108"/>
      <c r="AB326" s="108"/>
      <c r="AC326" s="108"/>
      <c r="AD326" s="108"/>
    </row>
    <row r="327" spans="1:30" ht="13.5" customHeight="1">
      <c r="A327" s="108"/>
      <c r="B327" s="49"/>
      <c r="C327" s="50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  <c r="AA327" s="108"/>
      <c r="AB327" s="108"/>
      <c r="AC327" s="108"/>
      <c r="AD327" s="108"/>
    </row>
    <row r="328" spans="1:30" ht="13.5" customHeight="1">
      <c r="A328" s="108"/>
      <c r="B328" s="49"/>
      <c r="C328" s="50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  <c r="AA328" s="108"/>
      <c r="AB328" s="108"/>
      <c r="AC328" s="108"/>
      <c r="AD328" s="108"/>
    </row>
    <row r="329" spans="1:30" ht="13.5" customHeight="1">
      <c r="A329" s="108"/>
      <c r="B329" s="49"/>
      <c r="C329" s="50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  <c r="AA329" s="108"/>
      <c r="AB329" s="108"/>
      <c r="AC329" s="108"/>
      <c r="AD329" s="108"/>
    </row>
    <row r="330" spans="1:30" ht="13.5" customHeight="1">
      <c r="A330" s="108"/>
      <c r="B330" s="49"/>
      <c r="C330" s="50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  <c r="AA330" s="108"/>
      <c r="AB330" s="108"/>
      <c r="AC330" s="108"/>
      <c r="AD330" s="108"/>
    </row>
    <row r="331" spans="1:30" ht="13.5" customHeight="1">
      <c r="A331" s="108"/>
      <c r="B331" s="49"/>
      <c r="C331" s="50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  <c r="AA331" s="108"/>
      <c r="AB331" s="108"/>
      <c r="AC331" s="108"/>
      <c r="AD331" s="108"/>
    </row>
    <row r="332" spans="1:30" ht="13.5" customHeight="1">
      <c r="A332" s="108"/>
      <c r="B332" s="49"/>
      <c r="C332" s="50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  <c r="AA332" s="108"/>
      <c r="AB332" s="108"/>
      <c r="AC332" s="108"/>
      <c r="AD332" s="108"/>
    </row>
    <row r="333" spans="1:30" ht="13.5" customHeight="1">
      <c r="A333" s="108"/>
      <c r="B333" s="49"/>
      <c r="C333" s="50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  <c r="AA333" s="108"/>
      <c r="AB333" s="108"/>
      <c r="AC333" s="108"/>
      <c r="AD333" s="108"/>
    </row>
    <row r="334" spans="1:30" ht="13.5" customHeight="1">
      <c r="A334" s="108"/>
      <c r="B334" s="49"/>
      <c r="C334" s="50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  <c r="AA334" s="108"/>
      <c r="AB334" s="108"/>
      <c r="AC334" s="108"/>
      <c r="AD334" s="108"/>
    </row>
    <row r="335" spans="1:30" ht="13.5" customHeight="1">
      <c r="A335" s="108"/>
      <c r="B335" s="49"/>
      <c r="C335" s="50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  <c r="AA335" s="108"/>
      <c r="AB335" s="108"/>
      <c r="AC335" s="108"/>
      <c r="AD335" s="108"/>
    </row>
    <row r="336" spans="1:30" ht="13.5" customHeight="1">
      <c r="A336" s="108"/>
      <c r="B336" s="49"/>
      <c r="C336" s="50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  <c r="AA336" s="108"/>
      <c r="AB336" s="108"/>
      <c r="AC336" s="108"/>
      <c r="AD336" s="108"/>
    </row>
    <row r="337" spans="1:30" ht="13.5" customHeight="1">
      <c r="A337" s="108"/>
      <c r="B337" s="49"/>
      <c r="C337" s="50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  <c r="AA337" s="108"/>
      <c r="AB337" s="108"/>
      <c r="AC337" s="108"/>
      <c r="AD337" s="108"/>
    </row>
    <row r="338" spans="1:30" ht="13.5" customHeight="1">
      <c r="A338" s="108"/>
      <c r="B338" s="49"/>
      <c r="C338" s="50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</row>
    <row r="339" spans="1:30" ht="13.5" customHeight="1">
      <c r="A339" s="108"/>
      <c r="B339" s="49"/>
      <c r="C339" s="50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  <c r="AA339" s="108"/>
      <c r="AB339" s="108"/>
      <c r="AC339" s="108"/>
      <c r="AD339" s="108"/>
    </row>
    <row r="340" spans="1:30" ht="13.5" customHeight="1">
      <c r="A340" s="108"/>
      <c r="B340" s="49"/>
      <c r="C340" s="50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  <c r="AA340" s="108"/>
      <c r="AB340" s="108"/>
      <c r="AC340" s="108"/>
      <c r="AD340" s="108"/>
    </row>
    <row r="341" spans="1:30" ht="13.5" customHeight="1">
      <c r="A341" s="108"/>
      <c r="B341" s="49"/>
      <c r="C341" s="50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  <c r="AA341" s="108"/>
      <c r="AB341" s="108"/>
      <c r="AC341" s="108"/>
      <c r="AD341" s="108"/>
    </row>
    <row r="342" spans="1:30" ht="13.5" customHeight="1">
      <c r="A342" s="108"/>
      <c r="B342" s="49"/>
      <c r="C342" s="50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  <c r="AA342" s="108"/>
      <c r="AB342" s="108"/>
      <c r="AC342" s="108"/>
      <c r="AD342" s="108"/>
    </row>
    <row r="343" spans="1:30" ht="13.5" customHeight="1">
      <c r="A343" s="108"/>
      <c r="B343" s="49"/>
      <c r="C343" s="50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  <c r="AA343" s="108"/>
      <c r="AB343" s="108"/>
      <c r="AC343" s="108"/>
      <c r="AD343" s="108"/>
    </row>
    <row r="344" spans="1:30" ht="13.5" customHeight="1">
      <c r="A344" s="108"/>
      <c r="B344" s="49"/>
      <c r="C344" s="50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  <c r="AB344" s="108"/>
      <c r="AC344" s="108"/>
      <c r="AD344" s="108"/>
    </row>
    <row r="345" spans="1:30" ht="13.5" customHeight="1">
      <c r="A345" s="108"/>
      <c r="B345" s="49"/>
      <c r="C345" s="50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  <c r="AA345" s="108"/>
      <c r="AB345" s="108"/>
      <c r="AC345" s="108"/>
      <c r="AD345" s="108"/>
    </row>
    <row r="346" spans="1:30" ht="13.5" customHeight="1">
      <c r="A346" s="108"/>
      <c r="B346" s="49"/>
      <c r="C346" s="50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  <c r="AA346" s="108"/>
      <c r="AB346" s="108"/>
      <c r="AC346" s="108"/>
      <c r="AD346" s="108"/>
    </row>
    <row r="347" spans="1:30" ht="13.5" customHeight="1">
      <c r="A347" s="108"/>
      <c r="B347" s="49"/>
      <c r="C347" s="50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  <c r="AA347" s="108"/>
      <c r="AB347" s="108"/>
      <c r="AC347" s="108"/>
      <c r="AD347" s="108"/>
    </row>
    <row r="348" spans="1:30" ht="13.5" customHeight="1">
      <c r="A348" s="108"/>
      <c r="B348" s="49"/>
      <c r="C348" s="50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</row>
    <row r="349" spans="1:30" ht="13.5" customHeight="1">
      <c r="A349" s="108"/>
      <c r="B349" s="49"/>
      <c r="C349" s="50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</row>
    <row r="350" spans="1:30" ht="13.5" customHeight="1">
      <c r="A350" s="108"/>
      <c r="B350" s="49"/>
      <c r="C350" s="50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</row>
    <row r="351" spans="1:30" ht="13.5" customHeight="1">
      <c r="A351" s="108"/>
      <c r="B351" s="49"/>
      <c r="C351" s="50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</row>
    <row r="352" spans="1:30" ht="13.5" customHeight="1">
      <c r="A352" s="108"/>
      <c r="B352" s="49"/>
      <c r="C352" s="50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</row>
    <row r="353" spans="1:30" ht="13.5" customHeight="1">
      <c r="A353" s="108"/>
      <c r="B353" s="49"/>
      <c r="C353" s="50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  <c r="AA353" s="108"/>
      <c r="AB353" s="108"/>
      <c r="AC353" s="108"/>
      <c r="AD353" s="108"/>
    </row>
    <row r="354" spans="1:30" ht="13.5" customHeight="1">
      <c r="A354" s="108"/>
      <c r="B354" s="49"/>
      <c r="C354" s="50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  <c r="AA354" s="108"/>
      <c r="AB354" s="108"/>
      <c r="AC354" s="108"/>
      <c r="AD354" s="108"/>
    </row>
    <row r="355" spans="1:30" ht="13.5" customHeight="1">
      <c r="A355" s="108"/>
      <c r="B355" s="49"/>
      <c r="C355" s="50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  <c r="AA355" s="108"/>
      <c r="AB355" s="108"/>
      <c r="AC355" s="108"/>
      <c r="AD355" s="108"/>
    </row>
    <row r="356" spans="1:30" ht="13.5" customHeight="1">
      <c r="A356" s="108"/>
      <c r="B356" s="49"/>
      <c r="C356" s="50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  <c r="AB356" s="108"/>
      <c r="AC356" s="108"/>
      <c r="AD356" s="108"/>
    </row>
    <row r="357" spans="1:30" ht="13.5" customHeight="1">
      <c r="A357" s="108"/>
      <c r="B357" s="49"/>
      <c r="C357" s="50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  <c r="AA357" s="108"/>
      <c r="AB357" s="108"/>
      <c r="AC357" s="108"/>
      <c r="AD357" s="108"/>
    </row>
    <row r="358" spans="1:30" ht="13.5" customHeight="1">
      <c r="A358" s="108"/>
      <c r="B358" s="49"/>
      <c r="C358" s="50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  <c r="AA358" s="108"/>
      <c r="AB358" s="108"/>
      <c r="AC358" s="108"/>
      <c r="AD358" s="108"/>
    </row>
    <row r="359" spans="1:30" ht="13.5" customHeight="1">
      <c r="A359" s="108"/>
      <c r="B359" s="49"/>
      <c r="C359" s="50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  <c r="AA359" s="108"/>
      <c r="AB359" s="108"/>
      <c r="AC359" s="108"/>
      <c r="AD359" s="108"/>
    </row>
    <row r="360" spans="1:30" ht="13.5" customHeight="1">
      <c r="A360" s="108"/>
      <c r="B360" s="49"/>
      <c r="C360" s="50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  <c r="AA360" s="108"/>
      <c r="AB360" s="108"/>
      <c r="AC360" s="108"/>
      <c r="AD360" s="108"/>
    </row>
    <row r="361" spans="1:30" ht="13.5" customHeight="1">
      <c r="A361" s="108"/>
      <c r="B361" s="49"/>
      <c r="C361" s="50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  <c r="AA361" s="108"/>
      <c r="AB361" s="108"/>
      <c r="AC361" s="108"/>
      <c r="AD361" s="108"/>
    </row>
    <row r="362" spans="1:30" ht="13.5" customHeight="1">
      <c r="A362" s="108"/>
      <c r="B362" s="49"/>
      <c r="C362" s="50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  <c r="AA362" s="108"/>
      <c r="AB362" s="108"/>
      <c r="AC362" s="108"/>
      <c r="AD362" s="108"/>
    </row>
    <row r="363" spans="1:30" ht="13.5" customHeight="1">
      <c r="A363" s="108"/>
      <c r="B363" s="49"/>
      <c r="C363" s="50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  <c r="AA363" s="108"/>
      <c r="AB363" s="108"/>
      <c r="AC363" s="108"/>
      <c r="AD363" s="108"/>
    </row>
    <row r="364" spans="1:30" ht="13.5" customHeight="1">
      <c r="A364" s="108"/>
      <c r="B364" s="49"/>
      <c r="C364" s="50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  <c r="AA364" s="108"/>
      <c r="AB364" s="108"/>
      <c r="AC364" s="108"/>
      <c r="AD364" s="108"/>
    </row>
    <row r="365" spans="1:30" ht="13.5" customHeight="1">
      <c r="A365" s="108"/>
      <c r="B365" s="49"/>
      <c r="C365" s="50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  <c r="AA365" s="108"/>
      <c r="AB365" s="108"/>
      <c r="AC365" s="108"/>
      <c r="AD365" s="108"/>
    </row>
    <row r="366" spans="1:30" ht="13.5" customHeight="1">
      <c r="A366" s="108"/>
      <c r="B366" s="49"/>
      <c r="C366" s="50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  <c r="AA366" s="108"/>
      <c r="AB366" s="108"/>
      <c r="AC366" s="108"/>
      <c r="AD366" s="108"/>
    </row>
    <row r="367" spans="1:30" ht="13.5" customHeight="1">
      <c r="A367" s="108"/>
      <c r="B367" s="49"/>
      <c r="C367" s="50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  <c r="AA367" s="108"/>
      <c r="AB367" s="108"/>
      <c r="AC367" s="108"/>
      <c r="AD367" s="108"/>
    </row>
    <row r="368" spans="1:30" ht="13.5" customHeight="1">
      <c r="A368" s="108"/>
      <c r="B368" s="49"/>
      <c r="C368" s="50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  <c r="AA368" s="108"/>
      <c r="AB368" s="108"/>
      <c r="AC368" s="108"/>
      <c r="AD368" s="108"/>
    </row>
    <row r="369" spans="1:30" ht="13.5" customHeight="1">
      <c r="A369" s="108"/>
      <c r="B369" s="49"/>
      <c r="C369" s="50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  <c r="AA369" s="108"/>
      <c r="AB369" s="108"/>
      <c r="AC369" s="108"/>
      <c r="AD369" s="108"/>
    </row>
    <row r="370" spans="1:30" ht="13.5" customHeight="1">
      <c r="A370" s="108"/>
      <c r="B370" s="49"/>
      <c r="C370" s="50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  <c r="AA370" s="108"/>
      <c r="AB370" s="108"/>
      <c r="AC370" s="108"/>
      <c r="AD370" s="108"/>
    </row>
    <row r="371" spans="1:30" ht="13.5" customHeight="1">
      <c r="A371" s="108"/>
      <c r="B371" s="49"/>
      <c r="C371" s="50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  <c r="AB371" s="108"/>
      <c r="AC371" s="108"/>
      <c r="AD371" s="108"/>
    </row>
    <row r="372" spans="1:30" ht="13.5" customHeight="1">
      <c r="A372" s="108"/>
      <c r="B372" s="49"/>
      <c r="C372" s="50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  <c r="AA372" s="108"/>
      <c r="AB372" s="108"/>
      <c r="AC372" s="108"/>
      <c r="AD372" s="108"/>
    </row>
    <row r="373" spans="1:30" ht="13.5" customHeight="1">
      <c r="A373" s="108"/>
      <c r="B373" s="49"/>
      <c r="C373" s="50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  <c r="AA373" s="108"/>
      <c r="AB373" s="108"/>
      <c r="AC373" s="108"/>
      <c r="AD373" s="108"/>
    </row>
    <row r="374" spans="1:30" ht="13.5" customHeight="1">
      <c r="A374" s="108"/>
      <c r="B374" s="49"/>
      <c r="C374" s="50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  <c r="AA374" s="108"/>
      <c r="AB374" s="108"/>
      <c r="AC374" s="108"/>
      <c r="AD374" s="108"/>
    </row>
    <row r="375" spans="1:30" ht="13.5" customHeight="1">
      <c r="A375" s="108"/>
      <c r="B375" s="49"/>
      <c r="C375" s="50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  <c r="AA375" s="108"/>
      <c r="AB375" s="108"/>
      <c r="AC375" s="108"/>
      <c r="AD375" s="108"/>
    </row>
    <row r="376" spans="1:30" ht="13.5" customHeight="1">
      <c r="A376" s="108"/>
      <c r="B376" s="49"/>
      <c r="C376" s="50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  <c r="AA376" s="108"/>
      <c r="AB376" s="108"/>
      <c r="AC376" s="108"/>
      <c r="AD376" s="108"/>
    </row>
    <row r="377" spans="1:30" ht="13.5" customHeight="1">
      <c r="A377" s="108"/>
      <c r="B377" s="49"/>
      <c r="C377" s="50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  <c r="AB377" s="108"/>
      <c r="AC377" s="108"/>
      <c r="AD377" s="108"/>
    </row>
    <row r="378" spans="1:30" ht="13.5" customHeight="1">
      <c r="A378" s="108"/>
      <c r="B378" s="49"/>
      <c r="C378" s="50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  <c r="AA378" s="108"/>
      <c r="AB378" s="108"/>
      <c r="AC378" s="108"/>
      <c r="AD378" s="108"/>
    </row>
    <row r="379" spans="1:30" ht="13.5" customHeight="1">
      <c r="A379" s="108"/>
      <c r="B379" s="49"/>
      <c r="C379" s="50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  <c r="AA379" s="108"/>
      <c r="AB379" s="108"/>
      <c r="AC379" s="108"/>
      <c r="AD379" s="108"/>
    </row>
    <row r="380" spans="1:30" ht="13.5" customHeight="1">
      <c r="A380" s="108"/>
      <c r="B380" s="49"/>
      <c r="C380" s="50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  <c r="AA380" s="108"/>
      <c r="AB380" s="108"/>
      <c r="AC380" s="108"/>
      <c r="AD380" s="108"/>
    </row>
    <row r="381" spans="1:30" ht="13.5" customHeight="1">
      <c r="A381" s="108"/>
      <c r="B381" s="49"/>
      <c r="C381" s="50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  <c r="AA381" s="108"/>
      <c r="AB381" s="108"/>
      <c r="AC381" s="108"/>
      <c r="AD381" s="108"/>
    </row>
    <row r="382" spans="1:30" ht="13.5" customHeight="1">
      <c r="A382" s="108"/>
      <c r="B382" s="49"/>
      <c r="C382" s="50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  <c r="AA382" s="108"/>
      <c r="AB382" s="108"/>
      <c r="AC382" s="108"/>
      <c r="AD382" s="108"/>
    </row>
    <row r="383" spans="1:30" ht="13.5" customHeight="1">
      <c r="A383" s="108"/>
      <c r="B383" s="49"/>
      <c r="C383" s="50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  <c r="AA383" s="108"/>
      <c r="AB383" s="108"/>
      <c r="AC383" s="108"/>
      <c r="AD383" s="108"/>
    </row>
    <row r="384" spans="1:30" ht="13.5" customHeight="1">
      <c r="A384" s="108"/>
      <c r="B384" s="49"/>
      <c r="C384" s="50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  <c r="AA384" s="108"/>
      <c r="AB384" s="108"/>
      <c r="AC384" s="108"/>
      <c r="AD384" s="108"/>
    </row>
    <row r="385" spans="1:30" ht="13.5" customHeight="1">
      <c r="A385" s="108"/>
      <c r="B385" s="49"/>
      <c r="C385" s="50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  <c r="AA385" s="108"/>
      <c r="AB385" s="108"/>
      <c r="AC385" s="108"/>
      <c r="AD385" s="108"/>
    </row>
    <row r="386" spans="1:30" ht="13.5" customHeight="1">
      <c r="A386" s="108"/>
      <c r="B386" s="49"/>
      <c r="C386" s="50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  <c r="AA386" s="108"/>
      <c r="AB386" s="108"/>
      <c r="AC386" s="108"/>
      <c r="AD386" s="108"/>
    </row>
    <row r="387" spans="1:30" ht="13.5" customHeight="1">
      <c r="A387" s="108"/>
      <c r="B387" s="49"/>
      <c r="C387" s="50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  <c r="AA387" s="108"/>
      <c r="AB387" s="108"/>
      <c r="AC387" s="108"/>
      <c r="AD387" s="108"/>
    </row>
    <row r="388" spans="1:30" ht="13.5" customHeight="1">
      <c r="A388" s="108"/>
      <c r="B388" s="49"/>
      <c r="C388" s="50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  <c r="AA388" s="108"/>
      <c r="AB388" s="108"/>
      <c r="AC388" s="108"/>
      <c r="AD388" s="108"/>
    </row>
    <row r="389" spans="1:30" ht="13.5" customHeight="1">
      <c r="A389" s="108"/>
      <c r="B389" s="49"/>
      <c r="C389" s="50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  <c r="AA389" s="108"/>
      <c r="AB389" s="108"/>
      <c r="AC389" s="108"/>
      <c r="AD389" s="108"/>
    </row>
    <row r="390" spans="1:30" ht="13.5" customHeight="1">
      <c r="A390" s="108"/>
      <c r="B390" s="49"/>
      <c r="C390" s="50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  <c r="AA390" s="108"/>
      <c r="AB390" s="108"/>
      <c r="AC390" s="108"/>
      <c r="AD390" s="108"/>
    </row>
    <row r="391" spans="1:30" ht="13.5" customHeight="1">
      <c r="A391" s="108"/>
      <c r="B391" s="49"/>
      <c r="C391" s="50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  <c r="AA391" s="108"/>
      <c r="AB391" s="108"/>
      <c r="AC391" s="108"/>
      <c r="AD391" s="108"/>
    </row>
    <row r="392" spans="1:30" ht="13.5" customHeight="1">
      <c r="A392" s="108"/>
      <c r="B392" s="49"/>
      <c r="C392" s="50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  <c r="AA392" s="108"/>
      <c r="AB392" s="108"/>
      <c r="AC392" s="108"/>
      <c r="AD392" s="108"/>
    </row>
    <row r="393" spans="1:30" ht="13.5" customHeight="1">
      <c r="A393" s="108"/>
      <c r="B393" s="49"/>
      <c r="C393" s="50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  <c r="AA393" s="108"/>
      <c r="AB393" s="108"/>
      <c r="AC393" s="108"/>
      <c r="AD393" s="108"/>
    </row>
    <row r="394" spans="1:30" ht="13.5" customHeight="1">
      <c r="A394" s="108"/>
      <c r="B394" s="49"/>
      <c r="C394" s="50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  <c r="AA394" s="108"/>
      <c r="AB394" s="108"/>
      <c r="AC394" s="108"/>
      <c r="AD394" s="108"/>
    </row>
    <row r="395" spans="1:30" ht="13.5" customHeight="1">
      <c r="A395" s="108"/>
      <c r="B395" s="49"/>
      <c r="C395" s="50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  <c r="AA395" s="108"/>
      <c r="AB395" s="108"/>
      <c r="AC395" s="108"/>
      <c r="AD395" s="108"/>
    </row>
    <row r="396" spans="1:30" ht="13.5" customHeight="1">
      <c r="A396" s="108"/>
      <c r="B396" s="49"/>
      <c r="C396" s="50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  <c r="AA396" s="108"/>
      <c r="AB396" s="108"/>
      <c r="AC396" s="108"/>
      <c r="AD396" s="108"/>
    </row>
    <row r="397" spans="1:30" ht="13.5" customHeight="1">
      <c r="A397" s="108"/>
      <c r="B397" s="49"/>
      <c r="C397" s="50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  <c r="AA397" s="108"/>
      <c r="AB397" s="108"/>
      <c r="AC397" s="108"/>
      <c r="AD397" s="108"/>
    </row>
    <row r="398" spans="1:30" ht="13.5" customHeight="1">
      <c r="A398" s="108"/>
      <c r="B398" s="49"/>
      <c r="C398" s="50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  <c r="AA398" s="108"/>
      <c r="AB398" s="108"/>
      <c r="AC398" s="108"/>
      <c r="AD398" s="108"/>
    </row>
    <row r="399" spans="1:30" ht="13.5" customHeight="1">
      <c r="A399" s="108"/>
      <c r="B399" s="49"/>
      <c r="C399" s="50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  <c r="AA399" s="108"/>
      <c r="AB399" s="108"/>
      <c r="AC399" s="108"/>
      <c r="AD399" s="108"/>
    </row>
    <row r="400" spans="1:30" ht="13.5" customHeight="1">
      <c r="A400" s="108"/>
      <c r="B400" s="49"/>
      <c r="C400" s="50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  <c r="AA400" s="108"/>
      <c r="AB400" s="108"/>
      <c r="AC400" s="108"/>
      <c r="AD400" s="108"/>
    </row>
    <row r="401" spans="1:30" ht="13.5" customHeight="1">
      <c r="A401" s="108"/>
      <c r="B401" s="49"/>
      <c r="C401" s="50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  <c r="AA401" s="108"/>
      <c r="AB401" s="108"/>
      <c r="AC401" s="108"/>
      <c r="AD401" s="108"/>
    </row>
    <row r="402" spans="1:30" ht="13.5" customHeight="1">
      <c r="A402" s="108"/>
      <c r="B402" s="49"/>
      <c r="C402" s="50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  <c r="AA402" s="108"/>
      <c r="AB402" s="108"/>
      <c r="AC402" s="108"/>
      <c r="AD402" s="108"/>
    </row>
    <row r="403" spans="1:30" ht="13.5" customHeight="1">
      <c r="A403" s="108"/>
      <c r="B403" s="49"/>
      <c r="C403" s="50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  <c r="AA403" s="108"/>
      <c r="AB403" s="108"/>
      <c r="AC403" s="108"/>
      <c r="AD403" s="108"/>
    </row>
    <row r="404" spans="1:30" ht="13.5" customHeight="1">
      <c r="A404" s="108"/>
      <c r="B404" s="49"/>
      <c r="C404" s="50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  <c r="AA404" s="108"/>
      <c r="AB404" s="108"/>
      <c r="AC404" s="108"/>
      <c r="AD404" s="108"/>
    </row>
    <row r="405" spans="1:30" ht="13.5" customHeight="1">
      <c r="A405" s="108"/>
      <c r="B405" s="49"/>
      <c r="C405" s="50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  <c r="AA405" s="108"/>
      <c r="AB405" s="108"/>
      <c r="AC405" s="108"/>
      <c r="AD405" s="108"/>
    </row>
    <row r="406" spans="1:30" ht="13.5" customHeight="1">
      <c r="A406" s="108"/>
      <c r="B406" s="49"/>
      <c r="C406" s="50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  <c r="AA406" s="108"/>
      <c r="AB406" s="108"/>
      <c r="AC406" s="108"/>
      <c r="AD406" s="108"/>
    </row>
    <row r="407" spans="1:30" ht="13.5" customHeight="1">
      <c r="A407" s="108"/>
      <c r="B407" s="49"/>
      <c r="C407" s="50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  <c r="AA407" s="108"/>
      <c r="AB407" s="108"/>
      <c r="AC407" s="108"/>
      <c r="AD407" s="108"/>
    </row>
    <row r="408" spans="1:30" ht="13.5" customHeight="1">
      <c r="A408" s="108"/>
      <c r="B408" s="49"/>
      <c r="C408" s="50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  <c r="AA408" s="108"/>
      <c r="AB408" s="108"/>
      <c r="AC408" s="108"/>
      <c r="AD408" s="108"/>
    </row>
    <row r="409" spans="1:30" ht="13.5" customHeight="1">
      <c r="A409" s="108"/>
      <c r="B409" s="49"/>
      <c r="C409" s="50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  <c r="AA409" s="108"/>
      <c r="AB409" s="108"/>
      <c r="AC409" s="108"/>
      <c r="AD409" s="108"/>
    </row>
    <row r="410" spans="1:30" ht="13.5" customHeight="1">
      <c r="A410" s="108"/>
      <c r="B410" s="49"/>
      <c r="C410" s="50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  <c r="AA410" s="108"/>
      <c r="AB410" s="108"/>
      <c r="AC410" s="108"/>
      <c r="AD410" s="108"/>
    </row>
    <row r="411" spans="1:30" ht="13.5" customHeight="1">
      <c r="A411" s="108"/>
      <c r="B411" s="49"/>
      <c r="C411" s="50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  <c r="AA411" s="108"/>
      <c r="AB411" s="108"/>
      <c r="AC411" s="108"/>
      <c r="AD411" s="108"/>
    </row>
    <row r="412" spans="1:30" ht="13.5" customHeight="1">
      <c r="A412" s="108"/>
      <c r="B412" s="49"/>
      <c r="C412" s="50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  <c r="AA412" s="108"/>
      <c r="AB412" s="108"/>
      <c r="AC412" s="108"/>
      <c r="AD412" s="108"/>
    </row>
    <row r="413" spans="1:30" ht="13.5" customHeight="1">
      <c r="A413" s="108"/>
      <c r="B413" s="49"/>
      <c r="C413" s="50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  <c r="AA413" s="108"/>
      <c r="AB413" s="108"/>
      <c r="AC413" s="108"/>
      <c r="AD413" s="108"/>
    </row>
    <row r="414" spans="1:30" ht="13.5" customHeight="1">
      <c r="A414" s="108"/>
      <c r="B414" s="49"/>
      <c r="C414" s="50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  <c r="AA414" s="108"/>
      <c r="AB414" s="108"/>
      <c r="AC414" s="108"/>
      <c r="AD414" s="108"/>
    </row>
    <row r="415" spans="1:30" ht="13.5" customHeight="1">
      <c r="A415" s="108"/>
      <c r="B415" s="49"/>
      <c r="C415" s="50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  <c r="AA415" s="108"/>
      <c r="AB415" s="108"/>
      <c r="AC415" s="108"/>
      <c r="AD415" s="108"/>
    </row>
    <row r="416" spans="1:30" ht="13.5" customHeight="1">
      <c r="A416" s="108"/>
      <c r="B416" s="49"/>
      <c r="C416" s="50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  <c r="AA416" s="108"/>
      <c r="AB416" s="108"/>
      <c r="AC416" s="108"/>
      <c r="AD416" s="108"/>
    </row>
    <row r="417" spans="1:30" ht="13.5" customHeight="1">
      <c r="A417" s="108"/>
      <c r="B417" s="49"/>
      <c r="C417" s="50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  <c r="AA417" s="108"/>
      <c r="AB417" s="108"/>
      <c r="AC417" s="108"/>
      <c r="AD417" s="108"/>
    </row>
    <row r="418" spans="1:30" ht="13.5" customHeight="1">
      <c r="A418" s="108"/>
      <c r="B418" s="49"/>
      <c r="C418" s="50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  <c r="AA418" s="108"/>
      <c r="AB418" s="108"/>
      <c r="AC418" s="108"/>
      <c r="AD418" s="108"/>
    </row>
    <row r="419" spans="1:30" ht="13.5" customHeight="1">
      <c r="A419" s="108"/>
      <c r="B419" s="49"/>
      <c r="C419" s="50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  <c r="AA419" s="108"/>
      <c r="AB419" s="108"/>
      <c r="AC419" s="108"/>
      <c r="AD419" s="108"/>
    </row>
    <row r="420" spans="1:30" ht="13.5" customHeight="1">
      <c r="A420" s="108"/>
      <c r="B420" s="49"/>
      <c r="C420" s="50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  <c r="AA420" s="108"/>
      <c r="AB420" s="108"/>
      <c r="AC420" s="108"/>
      <c r="AD420" s="108"/>
    </row>
    <row r="421" spans="1:30" ht="13.5" customHeight="1">
      <c r="A421" s="108"/>
      <c r="B421" s="49"/>
      <c r="C421" s="50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  <c r="AA421" s="108"/>
      <c r="AB421" s="108"/>
      <c r="AC421" s="108"/>
      <c r="AD421" s="108"/>
    </row>
    <row r="422" spans="1:30" ht="13.5" customHeight="1">
      <c r="A422" s="108"/>
      <c r="B422" s="49"/>
      <c r="C422" s="50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  <c r="AA422" s="108"/>
      <c r="AB422" s="108"/>
      <c r="AC422" s="108"/>
      <c r="AD422" s="108"/>
    </row>
    <row r="423" spans="1:30" ht="13.5" customHeight="1">
      <c r="A423" s="108"/>
      <c r="B423" s="49"/>
      <c r="C423" s="50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  <c r="AA423" s="108"/>
      <c r="AB423" s="108"/>
      <c r="AC423" s="108"/>
      <c r="AD423" s="108"/>
    </row>
    <row r="424" spans="1:30" ht="13.5" customHeight="1">
      <c r="A424" s="108"/>
      <c r="B424" s="49"/>
      <c r="C424" s="50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  <c r="AA424" s="108"/>
      <c r="AB424" s="108"/>
      <c r="AC424" s="108"/>
      <c r="AD424" s="108"/>
    </row>
    <row r="425" spans="1:30" ht="13.5" customHeight="1">
      <c r="A425" s="108"/>
      <c r="B425" s="49"/>
      <c r="C425" s="50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  <c r="AA425" s="108"/>
      <c r="AB425" s="108"/>
      <c r="AC425" s="108"/>
      <c r="AD425" s="108"/>
    </row>
    <row r="426" spans="1:30" ht="13.5" customHeight="1">
      <c r="A426" s="108"/>
      <c r="B426" s="49"/>
      <c r="C426" s="50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  <c r="AA426" s="108"/>
      <c r="AB426" s="108"/>
      <c r="AC426" s="108"/>
      <c r="AD426" s="108"/>
    </row>
    <row r="427" spans="1:30" ht="13.5" customHeight="1">
      <c r="A427" s="108"/>
      <c r="B427" s="49"/>
      <c r="C427" s="50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  <c r="AA427" s="108"/>
      <c r="AB427" s="108"/>
      <c r="AC427" s="108"/>
      <c r="AD427" s="108"/>
    </row>
    <row r="428" spans="1:30" ht="13.5" customHeight="1">
      <c r="A428" s="108"/>
      <c r="B428" s="49"/>
      <c r="C428" s="50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  <c r="AA428" s="108"/>
      <c r="AB428" s="108"/>
      <c r="AC428" s="108"/>
      <c r="AD428" s="108"/>
    </row>
    <row r="429" spans="1:30" ht="13.5" customHeight="1">
      <c r="A429" s="108"/>
      <c r="B429" s="49"/>
      <c r="C429" s="50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  <c r="AB429" s="108"/>
      <c r="AC429" s="108"/>
      <c r="AD429" s="108"/>
    </row>
    <row r="430" spans="1:30" ht="13.5" customHeight="1">
      <c r="A430" s="108"/>
      <c r="B430" s="49"/>
      <c r="C430" s="50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  <c r="AA430" s="108"/>
      <c r="AB430" s="108"/>
      <c r="AC430" s="108"/>
      <c r="AD430" s="108"/>
    </row>
    <row r="431" spans="1:30" ht="13.5" customHeight="1">
      <c r="A431" s="108"/>
      <c r="B431" s="49"/>
      <c r="C431" s="50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  <c r="AA431" s="108"/>
      <c r="AB431" s="108"/>
      <c r="AC431" s="108"/>
      <c r="AD431" s="108"/>
    </row>
    <row r="432" spans="1:30" ht="13.5" customHeight="1">
      <c r="A432" s="108"/>
      <c r="B432" s="49"/>
      <c r="C432" s="50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  <c r="AA432" s="108"/>
      <c r="AB432" s="108"/>
      <c r="AC432" s="108"/>
      <c r="AD432" s="108"/>
    </row>
    <row r="433" spans="1:30" ht="13.5" customHeight="1">
      <c r="A433" s="108"/>
      <c r="B433" s="49"/>
      <c r="C433" s="50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  <c r="AB433" s="108"/>
      <c r="AC433" s="108"/>
      <c r="AD433" s="108"/>
    </row>
    <row r="434" spans="1:30" ht="13.5" customHeight="1">
      <c r="A434" s="108"/>
      <c r="B434" s="49"/>
      <c r="C434" s="50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  <c r="AA434" s="108"/>
      <c r="AB434" s="108"/>
      <c r="AC434" s="108"/>
      <c r="AD434" s="108"/>
    </row>
    <row r="435" spans="1:30" ht="13.5" customHeight="1">
      <c r="A435" s="108"/>
      <c r="B435" s="49"/>
      <c r="C435" s="50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  <c r="AA435" s="108"/>
      <c r="AB435" s="108"/>
      <c r="AC435" s="108"/>
      <c r="AD435" s="108"/>
    </row>
    <row r="436" spans="1:30" ht="13.5" customHeight="1">
      <c r="A436" s="108"/>
      <c r="B436" s="49"/>
      <c r="C436" s="50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  <c r="AA436" s="108"/>
      <c r="AB436" s="108"/>
      <c r="AC436" s="108"/>
      <c r="AD436" s="108"/>
    </row>
    <row r="437" spans="1:30" ht="13.5" customHeight="1">
      <c r="A437" s="108"/>
      <c r="B437" s="49"/>
      <c r="C437" s="50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  <c r="AA437" s="108"/>
      <c r="AB437" s="108"/>
      <c r="AC437" s="108"/>
      <c r="AD437" s="108"/>
    </row>
    <row r="438" spans="1:30" ht="13.5" customHeight="1">
      <c r="A438" s="108"/>
      <c r="B438" s="49"/>
      <c r="C438" s="50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  <c r="AA438" s="108"/>
      <c r="AB438" s="108"/>
      <c r="AC438" s="108"/>
      <c r="AD438" s="108"/>
    </row>
    <row r="439" spans="1:30" ht="13.5" customHeight="1">
      <c r="A439" s="108"/>
      <c r="B439" s="49"/>
      <c r="C439" s="50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  <c r="AA439" s="108"/>
      <c r="AB439" s="108"/>
      <c r="AC439" s="108"/>
      <c r="AD439" s="108"/>
    </row>
    <row r="440" spans="1:30" ht="13.5" customHeight="1">
      <c r="A440" s="108"/>
      <c r="B440" s="49"/>
      <c r="C440" s="50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  <c r="AA440" s="108"/>
      <c r="AB440" s="108"/>
      <c r="AC440" s="108"/>
      <c r="AD440" s="108"/>
    </row>
    <row r="441" spans="1:30" ht="13.5" customHeight="1">
      <c r="A441" s="108"/>
      <c r="B441" s="49"/>
      <c r="C441" s="50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  <c r="AA441" s="108"/>
      <c r="AB441" s="108"/>
      <c r="AC441" s="108"/>
      <c r="AD441" s="108"/>
    </row>
    <row r="442" spans="1:30" ht="13.5" customHeight="1">
      <c r="A442" s="108"/>
      <c r="B442" s="49"/>
      <c r="C442" s="50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  <c r="AA442" s="108"/>
      <c r="AB442" s="108"/>
      <c r="AC442" s="108"/>
      <c r="AD442" s="108"/>
    </row>
    <row r="443" spans="1:30" ht="13.5" customHeight="1">
      <c r="A443" s="108"/>
      <c r="B443" s="49"/>
      <c r="C443" s="50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  <c r="AA443" s="108"/>
      <c r="AB443" s="108"/>
      <c r="AC443" s="108"/>
      <c r="AD443" s="108"/>
    </row>
    <row r="444" spans="1:30" ht="13.5" customHeight="1">
      <c r="A444" s="108"/>
      <c r="B444" s="49"/>
      <c r="C444" s="50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  <c r="AA444" s="108"/>
      <c r="AB444" s="108"/>
      <c r="AC444" s="108"/>
      <c r="AD444" s="108"/>
    </row>
    <row r="445" spans="1:30" ht="13.5" customHeight="1">
      <c r="A445" s="108"/>
      <c r="B445" s="49"/>
      <c r="C445" s="50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  <c r="AA445" s="108"/>
      <c r="AB445" s="108"/>
      <c r="AC445" s="108"/>
      <c r="AD445" s="108"/>
    </row>
    <row r="446" spans="1:30" ht="13.5" customHeight="1">
      <c r="A446" s="108"/>
      <c r="B446" s="49"/>
      <c r="C446" s="50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  <c r="AA446" s="108"/>
      <c r="AB446" s="108"/>
      <c r="AC446" s="108"/>
      <c r="AD446" s="108"/>
    </row>
    <row r="447" spans="1:30" ht="13.5" customHeight="1">
      <c r="A447" s="108"/>
      <c r="B447" s="49"/>
      <c r="C447" s="50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  <c r="AA447" s="108"/>
      <c r="AB447" s="108"/>
      <c r="AC447" s="108"/>
      <c r="AD447" s="108"/>
    </row>
    <row r="448" spans="1:30" ht="13.5" customHeight="1">
      <c r="A448" s="108"/>
      <c r="B448" s="49"/>
      <c r="C448" s="50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  <c r="AB448" s="108"/>
      <c r="AC448" s="108"/>
      <c r="AD448" s="108"/>
    </row>
    <row r="449" spans="1:30" ht="13.5" customHeight="1">
      <c r="A449" s="108"/>
      <c r="B449" s="49"/>
      <c r="C449" s="50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</row>
    <row r="450" spans="1:30" ht="13.5" customHeight="1">
      <c r="A450" s="108"/>
      <c r="B450" s="49"/>
      <c r="C450" s="50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  <c r="AA450" s="108"/>
      <c r="AB450" s="108"/>
      <c r="AC450" s="108"/>
      <c r="AD450" s="108"/>
    </row>
    <row r="451" spans="1:30" ht="13.5" customHeight="1">
      <c r="A451" s="108"/>
      <c r="B451" s="49"/>
      <c r="C451" s="50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</row>
    <row r="452" spans="1:30" ht="13.5" customHeight="1">
      <c r="A452" s="108"/>
      <c r="B452" s="49"/>
      <c r="C452" s="50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  <c r="AA452" s="108"/>
      <c r="AB452" s="108"/>
      <c r="AC452" s="108"/>
      <c r="AD452" s="108"/>
    </row>
    <row r="453" spans="1:30" ht="13.5" customHeight="1">
      <c r="A453" s="108"/>
      <c r="B453" s="49"/>
      <c r="C453" s="50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  <c r="AA453" s="108"/>
      <c r="AB453" s="108"/>
      <c r="AC453" s="108"/>
      <c r="AD453" s="108"/>
    </row>
    <row r="454" spans="1:30" ht="13.5" customHeight="1">
      <c r="A454" s="108"/>
      <c r="B454" s="49"/>
      <c r="C454" s="50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  <c r="AA454" s="108"/>
      <c r="AB454" s="108"/>
      <c r="AC454" s="108"/>
      <c r="AD454" s="108"/>
    </row>
    <row r="455" spans="1:30" ht="13.5" customHeight="1">
      <c r="A455" s="108"/>
      <c r="B455" s="49"/>
      <c r="C455" s="50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  <c r="AA455" s="108"/>
      <c r="AB455" s="108"/>
      <c r="AC455" s="108"/>
      <c r="AD455" s="108"/>
    </row>
    <row r="456" spans="1:30" ht="13.5" customHeight="1">
      <c r="A456" s="108"/>
      <c r="B456" s="49"/>
      <c r="C456" s="50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  <c r="AA456" s="108"/>
      <c r="AB456" s="108"/>
      <c r="AC456" s="108"/>
      <c r="AD456" s="108"/>
    </row>
    <row r="457" spans="1:30" ht="13.5" customHeight="1">
      <c r="A457" s="108"/>
      <c r="B457" s="49"/>
      <c r="C457" s="50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  <c r="AA457" s="108"/>
      <c r="AB457" s="108"/>
      <c r="AC457" s="108"/>
      <c r="AD457" s="108"/>
    </row>
    <row r="458" spans="1:30" ht="13.5" customHeight="1">
      <c r="A458" s="108"/>
      <c r="B458" s="49"/>
      <c r="C458" s="50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  <c r="AA458" s="108"/>
      <c r="AB458" s="108"/>
      <c r="AC458" s="108"/>
      <c r="AD458" s="108"/>
    </row>
    <row r="459" spans="1:30" ht="13.5" customHeight="1">
      <c r="A459" s="108"/>
      <c r="B459" s="49"/>
      <c r="C459" s="50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  <c r="AA459" s="108"/>
      <c r="AB459" s="108"/>
      <c r="AC459" s="108"/>
      <c r="AD459" s="108"/>
    </row>
    <row r="460" spans="1:30" ht="13.5" customHeight="1">
      <c r="A460" s="108"/>
      <c r="B460" s="49"/>
      <c r="C460" s="50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  <c r="AC460" s="108"/>
      <c r="AD460" s="108"/>
    </row>
    <row r="461" spans="1:30" ht="13.5" customHeight="1">
      <c r="A461" s="108"/>
      <c r="B461" s="49"/>
      <c r="C461" s="50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  <c r="AC461" s="108"/>
      <c r="AD461" s="108"/>
    </row>
    <row r="462" spans="1:30" ht="13.5" customHeight="1">
      <c r="A462" s="108"/>
      <c r="B462" s="49"/>
      <c r="C462" s="50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</row>
    <row r="463" spans="1:30" ht="13.5" customHeight="1">
      <c r="A463" s="108"/>
      <c r="B463" s="49"/>
      <c r="C463" s="50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</row>
    <row r="464" spans="1:30" ht="13.5" customHeight="1">
      <c r="A464" s="108"/>
      <c r="B464" s="49"/>
      <c r="C464" s="50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  <c r="AC464" s="108"/>
      <c r="AD464" s="108"/>
    </row>
    <row r="465" spans="1:30" ht="13.5" customHeight="1">
      <c r="A465" s="108"/>
      <c r="B465" s="49"/>
      <c r="C465" s="50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  <c r="AA465" s="108"/>
      <c r="AB465" s="108"/>
      <c r="AC465" s="108"/>
      <c r="AD465" s="108"/>
    </row>
    <row r="466" spans="1:30" ht="13.5" customHeight="1">
      <c r="A466" s="108"/>
      <c r="B466" s="49"/>
      <c r="C466" s="50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  <c r="AA466" s="108"/>
      <c r="AB466" s="108"/>
      <c r="AC466" s="108"/>
      <c r="AD466" s="108"/>
    </row>
    <row r="467" spans="1:30" ht="13.5" customHeight="1">
      <c r="A467" s="108"/>
      <c r="B467" s="49"/>
      <c r="C467" s="50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  <c r="AA467" s="108"/>
      <c r="AB467" s="108"/>
      <c r="AC467" s="108"/>
      <c r="AD467" s="108"/>
    </row>
    <row r="468" spans="1:30" ht="13.5" customHeight="1">
      <c r="A468" s="108"/>
      <c r="B468" s="49"/>
      <c r="C468" s="50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  <c r="AA468" s="108"/>
      <c r="AB468" s="108"/>
      <c r="AC468" s="108"/>
      <c r="AD468" s="108"/>
    </row>
    <row r="469" spans="1:30" ht="13.5" customHeight="1">
      <c r="A469" s="108"/>
      <c r="B469" s="49"/>
      <c r="C469" s="50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  <c r="AA469" s="108"/>
      <c r="AB469" s="108"/>
      <c r="AC469" s="108"/>
      <c r="AD469" s="108"/>
    </row>
    <row r="470" spans="1:30" ht="13.5" customHeight="1">
      <c r="A470" s="108"/>
      <c r="B470" s="49"/>
      <c r="C470" s="50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  <c r="AA470" s="108"/>
      <c r="AB470" s="108"/>
      <c r="AC470" s="108"/>
      <c r="AD470" s="108"/>
    </row>
    <row r="471" spans="1:30" ht="13.5" customHeight="1">
      <c r="A471" s="108"/>
      <c r="B471" s="49"/>
      <c r="C471" s="50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  <c r="AA471" s="108"/>
      <c r="AB471" s="108"/>
      <c r="AC471" s="108"/>
      <c r="AD471" s="108"/>
    </row>
    <row r="472" spans="1:30" ht="13.5" customHeight="1">
      <c r="A472" s="108"/>
      <c r="B472" s="49"/>
      <c r="C472" s="50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  <c r="AA472" s="108"/>
      <c r="AB472" s="108"/>
      <c r="AC472" s="108"/>
      <c r="AD472" s="108"/>
    </row>
    <row r="473" spans="1:30" ht="13.5" customHeight="1">
      <c r="A473" s="108"/>
      <c r="B473" s="49"/>
      <c r="C473" s="50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  <c r="AA473" s="108"/>
      <c r="AB473" s="108"/>
      <c r="AC473" s="108"/>
      <c r="AD473" s="108"/>
    </row>
    <row r="474" spans="1:30" ht="13.5" customHeight="1">
      <c r="A474" s="108"/>
      <c r="B474" s="49"/>
      <c r="C474" s="50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  <c r="AA474" s="108"/>
      <c r="AB474" s="108"/>
      <c r="AC474" s="108"/>
      <c r="AD474" s="108"/>
    </row>
    <row r="475" spans="1:30" ht="13.5" customHeight="1">
      <c r="A475" s="108"/>
      <c r="B475" s="49"/>
      <c r="C475" s="50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  <c r="AA475" s="108"/>
      <c r="AB475" s="108"/>
      <c r="AC475" s="108"/>
      <c r="AD475" s="108"/>
    </row>
    <row r="476" spans="1:30" ht="13.5" customHeight="1">
      <c r="A476" s="108"/>
      <c r="B476" s="49"/>
      <c r="C476" s="50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  <c r="AA476" s="108"/>
      <c r="AB476" s="108"/>
      <c r="AC476" s="108"/>
      <c r="AD476" s="108"/>
    </row>
    <row r="477" spans="1:30" ht="13.5" customHeight="1">
      <c r="A477" s="108"/>
      <c r="B477" s="49"/>
      <c r="C477" s="50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  <c r="AA477" s="108"/>
      <c r="AB477" s="108"/>
      <c r="AC477" s="108"/>
      <c r="AD477" s="108"/>
    </row>
    <row r="478" spans="1:30" ht="13.5" customHeight="1">
      <c r="A478" s="108"/>
      <c r="B478" s="49"/>
      <c r="C478" s="50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  <c r="AA478" s="108"/>
      <c r="AB478" s="108"/>
      <c r="AC478" s="108"/>
      <c r="AD478" s="108"/>
    </row>
    <row r="479" spans="1:30" ht="13.5" customHeight="1">
      <c r="A479" s="108"/>
      <c r="B479" s="49"/>
      <c r="C479" s="50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  <c r="AA479" s="108"/>
      <c r="AB479" s="108"/>
      <c r="AC479" s="108"/>
      <c r="AD479" s="108"/>
    </row>
    <row r="480" spans="1:30" ht="13.5" customHeight="1">
      <c r="A480" s="108"/>
      <c r="B480" s="49"/>
      <c r="C480" s="50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  <c r="AA480" s="108"/>
      <c r="AB480" s="108"/>
      <c r="AC480" s="108"/>
      <c r="AD480" s="108"/>
    </row>
    <row r="481" spans="1:30" ht="13.5" customHeight="1">
      <c r="A481" s="108"/>
      <c r="B481" s="49"/>
      <c r="C481" s="50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  <c r="AB481" s="108"/>
      <c r="AC481" s="108"/>
      <c r="AD481" s="108"/>
    </row>
    <row r="482" spans="1:30" ht="13.5" customHeight="1">
      <c r="A482" s="108"/>
      <c r="B482" s="49"/>
      <c r="C482" s="50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  <c r="AA482" s="108"/>
      <c r="AB482" s="108"/>
      <c r="AC482" s="108"/>
      <c r="AD482" s="108"/>
    </row>
    <row r="483" spans="1:30" ht="13.5" customHeight="1">
      <c r="A483" s="108"/>
      <c r="B483" s="49"/>
      <c r="C483" s="50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  <c r="AA483" s="108"/>
      <c r="AB483" s="108"/>
      <c r="AC483" s="108"/>
      <c r="AD483" s="108"/>
    </row>
    <row r="484" spans="1:30" ht="13.5" customHeight="1">
      <c r="A484" s="108"/>
      <c r="B484" s="49"/>
      <c r="C484" s="50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  <c r="AA484" s="108"/>
      <c r="AB484" s="108"/>
      <c r="AC484" s="108"/>
      <c r="AD484" s="108"/>
    </row>
    <row r="485" spans="1:30" ht="13.5" customHeight="1">
      <c r="A485" s="108"/>
      <c r="B485" s="49"/>
      <c r="C485" s="50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  <c r="AA485" s="108"/>
      <c r="AB485" s="108"/>
      <c r="AC485" s="108"/>
      <c r="AD485" s="108"/>
    </row>
    <row r="486" spans="1:30" ht="13.5" customHeight="1">
      <c r="A486" s="108"/>
      <c r="B486" s="49"/>
      <c r="C486" s="50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  <c r="AA486" s="108"/>
      <c r="AB486" s="108"/>
      <c r="AC486" s="108"/>
      <c r="AD486" s="108"/>
    </row>
    <row r="487" spans="1:30" ht="13.5" customHeight="1">
      <c r="A487" s="108"/>
      <c r="B487" s="49"/>
      <c r="C487" s="50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  <c r="AA487" s="108"/>
      <c r="AB487" s="108"/>
      <c r="AC487" s="108"/>
      <c r="AD487" s="108"/>
    </row>
    <row r="488" spans="1:30" ht="13.5" customHeight="1">
      <c r="A488" s="108"/>
      <c r="B488" s="49"/>
      <c r="C488" s="50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  <c r="AA488" s="108"/>
      <c r="AB488" s="108"/>
      <c r="AC488" s="108"/>
      <c r="AD488" s="108"/>
    </row>
    <row r="489" spans="1:30" ht="13.5" customHeight="1">
      <c r="A489" s="108"/>
      <c r="B489" s="49"/>
      <c r="C489" s="50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  <c r="AA489" s="108"/>
      <c r="AB489" s="108"/>
      <c r="AC489" s="108"/>
      <c r="AD489" s="108"/>
    </row>
    <row r="490" spans="1:30" ht="13.5" customHeight="1">
      <c r="A490" s="108"/>
      <c r="B490" s="49"/>
      <c r="C490" s="50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  <c r="AA490" s="108"/>
      <c r="AB490" s="108"/>
      <c r="AC490" s="108"/>
      <c r="AD490" s="108"/>
    </row>
    <row r="491" spans="1:30" ht="13.5" customHeight="1">
      <c r="A491" s="108"/>
      <c r="B491" s="49"/>
      <c r="C491" s="50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  <c r="AA491" s="108"/>
      <c r="AB491" s="108"/>
      <c r="AC491" s="108"/>
      <c r="AD491" s="108"/>
    </row>
    <row r="492" spans="1:30" ht="13.5" customHeight="1">
      <c r="A492" s="108"/>
      <c r="B492" s="49"/>
      <c r="C492" s="50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  <c r="AA492" s="108"/>
      <c r="AB492" s="108"/>
      <c r="AC492" s="108"/>
      <c r="AD492" s="108"/>
    </row>
    <row r="493" spans="1:30" ht="13.5" customHeight="1">
      <c r="A493" s="108"/>
      <c r="B493" s="49"/>
      <c r="C493" s="50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  <c r="AA493" s="108"/>
      <c r="AB493" s="108"/>
      <c r="AC493" s="108"/>
      <c r="AD493" s="108"/>
    </row>
    <row r="494" spans="1:30" ht="13.5" customHeight="1">
      <c r="A494" s="108"/>
      <c r="B494" s="49"/>
      <c r="C494" s="50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  <c r="AB494" s="108"/>
      <c r="AC494" s="108"/>
      <c r="AD494" s="108"/>
    </row>
    <row r="495" spans="1:30" ht="13.5" customHeight="1">
      <c r="A495" s="108"/>
      <c r="B495" s="49"/>
      <c r="C495" s="50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  <c r="AA495" s="108"/>
      <c r="AB495" s="108"/>
      <c r="AC495" s="108"/>
      <c r="AD495" s="108"/>
    </row>
    <row r="496" spans="1:30" ht="13.5" customHeight="1">
      <c r="A496" s="108"/>
      <c r="B496" s="49"/>
      <c r="C496" s="50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  <c r="AA496" s="108"/>
      <c r="AB496" s="108"/>
      <c r="AC496" s="108"/>
      <c r="AD496" s="108"/>
    </row>
    <row r="497" spans="1:30" ht="13.5" customHeight="1">
      <c r="A497" s="108"/>
      <c r="B497" s="49"/>
      <c r="C497" s="50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  <c r="AA497" s="108"/>
      <c r="AB497" s="108"/>
      <c r="AC497" s="108"/>
      <c r="AD497" s="108"/>
    </row>
    <row r="498" spans="1:30" ht="13.5" customHeight="1">
      <c r="A498" s="108"/>
      <c r="B498" s="49"/>
      <c r="C498" s="50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  <c r="AA498" s="108"/>
      <c r="AB498" s="108"/>
      <c r="AC498" s="108"/>
      <c r="AD498" s="108"/>
    </row>
    <row r="499" spans="1:30" ht="13.5" customHeight="1">
      <c r="A499" s="108"/>
      <c r="B499" s="49"/>
      <c r="C499" s="50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  <c r="AA499" s="108"/>
      <c r="AB499" s="108"/>
      <c r="AC499" s="108"/>
      <c r="AD499" s="108"/>
    </row>
    <row r="500" spans="1:30" ht="13.5" customHeight="1">
      <c r="A500" s="108"/>
      <c r="B500" s="49"/>
      <c r="C500" s="50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  <c r="AA500" s="108"/>
      <c r="AB500" s="108"/>
      <c r="AC500" s="108"/>
      <c r="AD500" s="108"/>
    </row>
    <row r="501" spans="1:30" ht="13.5" customHeight="1">
      <c r="A501" s="108"/>
      <c r="B501" s="49"/>
      <c r="C501" s="50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  <c r="AA501" s="108"/>
      <c r="AB501" s="108"/>
      <c r="AC501" s="108"/>
      <c r="AD501" s="108"/>
    </row>
    <row r="502" spans="1:30" ht="13.5" customHeight="1">
      <c r="A502" s="108"/>
      <c r="B502" s="49"/>
      <c r="C502" s="50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  <c r="AA502" s="108"/>
      <c r="AB502" s="108"/>
      <c r="AC502" s="108"/>
      <c r="AD502" s="108"/>
    </row>
    <row r="503" spans="1:30" ht="13.5" customHeight="1">
      <c r="A503" s="108"/>
      <c r="B503" s="49"/>
      <c r="C503" s="50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  <c r="AB503" s="108"/>
      <c r="AC503" s="108"/>
      <c r="AD503" s="108"/>
    </row>
    <row r="504" spans="1:30" ht="13.5" customHeight="1">
      <c r="A504" s="108"/>
      <c r="B504" s="49"/>
      <c r="C504" s="50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  <c r="AA504" s="108"/>
      <c r="AB504" s="108"/>
      <c r="AC504" s="108"/>
      <c r="AD504" s="108"/>
    </row>
    <row r="505" spans="1:30" ht="13.5" customHeight="1">
      <c r="A505" s="108"/>
      <c r="B505" s="49"/>
      <c r="C505" s="50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  <c r="AA505" s="108"/>
      <c r="AB505" s="108"/>
      <c r="AC505" s="108"/>
      <c r="AD505" s="108"/>
    </row>
    <row r="506" spans="1:30" ht="13.5" customHeight="1">
      <c r="A506" s="108"/>
      <c r="B506" s="49"/>
      <c r="C506" s="50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  <c r="AA506" s="108"/>
      <c r="AB506" s="108"/>
      <c r="AC506" s="108"/>
      <c r="AD506" s="108"/>
    </row>
    <row r="507" spans="1:30" ht="13.5" customHeight="1">
      <c r="A507" s="108"/>
      <c r="B507" s="49"/>
      <c r="C507" s="50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  <c r="AA507" s="108"/>
      <c r="AB507" s="108"/>
      <c r="AC507" s="108"/>
      <c r="AD507" s="108"/>
    </row>
    <row r="508" spans="1:30" ht="13.5" customHeight="1">
      <c r="A508" s="108"/>
      <c r="B508" s="49"/>
      <c r="C508" s="50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  <c r="AA508" s="108"/>
      <c r="AB508" s="108"/>
      <c r="AC508" s="108"/>
      <c r="AD508" s="108"/>
    </row>
    <row r="509" spans="1:30" ht="13.5" customHeight="1">
      <c r="A509" s="108"/>
      <c r="B509" s="49"/>
      <c r="C509" s="50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  <c r="AA509" s="108"/>
      <c r="AB509" s="108"/>
      <c r="AC509" s="108"/>
      <c r="AD509" s="108"/>
    </row>
    <row r="510" spans="1:30" ht="13.5" customHeight="1">
      <c r="A510" s="108"/>
      <c r="B510" s="49"/>
      <c r="C510" s="50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  <c r="AA510" s="108"/>
      <c r="AB510" s="108"/>
      <c r="AC510" s="108"/>
      <c r="AD510" s="108"/>
    </row>
    <row r="511" spans="1:30" ht="13.5" customHeight="1">
      <c r="A511" s="108"/>
      <c r="B511" s="49"/>
      <c r="C511" s="50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  <c r="AA511" s="108"/>
      <c r="AB511" s="108"/>
      <c r="AC511" s="108"/>
      <c r="AD511" s="108"/>
    </row>
    <row r="512" spans="1:30" ht="13.5" customHeight="1">
      <c r="A512" s="108"/>
      <c r="B512" s="49"/>
      <c r="C512" s="50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  <c r="AA512" s="108"/>
      <c r="AB512" s="108"/>
      <c r="AC512" s="108"/>
      <c r="AD512" s="108"/>
    </row>
    <row r="513" spans="1:30" ht="13.5" customHeight="1">
      <c r="A513" s="108"/>
      <c r="B513" s="49"/>
      <c r="C513" s="50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  <c r="AA513" s="108"/>
      <c r="AB513" s="108"/>
      <c r="AC513" s="108"/>
      <c r="AD513" s="108"/>
    </row>
    <row r="514" spans="1:30" ht="13.5" customHeight="1">
      <c r="A514" s="108"/>
      <c r="B514" s="49"/>
      <c r="C514" s="50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  <c r="AA514" s="108"/>
      <c r="AB514" s="108"/>
      <c r="AC514" s="108"/>
      <c r="AD514" s="108"/>
    </row>
    <row r="515" spans="1:30" ht="13.5" customHeight="1">
      <c r="A515" s="108"/>
      <c r="B515" s="49"/>
      <c r="C515" s="50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  <c r="AA515" s="108"/>
      <c r="AB515" s="108"/>
      <c r="AC515" s="108"/>
      <c r="AD515" s="108"/>
    </row>
    <row r="516" spans="1:30" ht="13.5" customHeight="1">
      <c r="A516" s="108"/>
      <c r="B516" s="49"/>
      <c r="C516" s="50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  <c r="AA516" s="108"/>
      <c r="AB516" s="108"/>
      <c r="AC516" s="108"/>
      <c r="AD516" s="108"/>
    </row>
    <row r="517" spans="1:30" ht="13.5" customHeight="1">
      <c r="A517" s="108"/>
      <c r="B517" s="49"/>
      <c r="C517" s="50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  <c r="AA517" s="108"/>
      <c r="AB517" s="108"/>
      <c r="AC517" s="108"/>
      <c r="AD517" s="108"/>
    </row>
    <row r="518" spans="1:30" ht="13.5" customHeight="1">
      <c r="A518" s="108"/>
      <c r="B518" s="49"/>
      <c r="C518" s="50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  <c r="AA518" s="108"/>
      <c r="AB518" s="108"/>
      <c r="AC518" s="108"/>
      <c r="AD518" s="108"/>
    </row>
    <row r="519" spans="1:30" ht="13.5" customHeight="1">
      <c r="A519" s="108"/>
      <c r="B519" s="49"/>
      <c r="C519" s="50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  <c r="AA519" s="108"/>
      <c r="AB519" s="108"/>
      <c r="AC519" s="108"/>
      <c r="AD519" s="108"/>
    </row>
    <row r="520" spans="1:30" ht="13.5" customHeight="1">
      <c r="A520" s="108"/>
      <c r="B520" s="49"/>
      <c r="C520" s="50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  <c r="AA520" s="108"/>
      <c r="AB520" s="108"/>
      <c r="AC520" s="108"/>
      <c r="AD520" s="108"/>
    </row>
    <row r="521" spans="1:30" ht="13.5" customHeight="1">
      <c r="A521" s="108"/>
      <c r="B521" s="49"/>
      <c r="C521" s="50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  <c r="AA521" s="108"/>
      <c r="AB521" s="108"/>
      <c r="AC521" s="108"/>
      <c r="AD521" s="108"/>
    </row>
    <row r="522" spans="1:30" ht="13.5" customHeight="1">
      <c r="A522" s="108"/>
      <c r="B522" s="49"/>
      <c r="C522" s="50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  <c r="AA522" s="108"/>
      <c r="AB522" s="108"/>
      <c r="AC522" s="108"/>
      <c r="AD522" s="108"/>
    </row>
    <row r="523" spans="1:30" ht="13.5" customHeight="1">
      <c r="A523" s="108"/>
      <c r="B523" s="49"/>
      <c r="C523" s="50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  <c r="AA523" s="108"/>
      <c r="AB523" s="108"/>
      <c r="AC523" s="108"/>
      <c r="AD523" s="108"/>
    </row>
    <row r="524" spans="1:30" ht="13.5" customHeight="1">
      <c r="A524" s="108"/>
      <c r="B524" s="49"/>
      <c r="C524" s="50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  <c r="AA524" s="108"/>
      <c r="AB524" s="108"/>
      <c r="AC524" s="108"/>
      <c r="AD524" s="108"/>
    </row>
    <row r="525" spans="1:30" ht="13.5" customHeight="1">
      <c r="A525" s="108"/>
      <c r="B525" s="49"/>
      <c r="C525" s="50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  <c r="AA525" s="108"/>
      <c r="AB525" s="108"/>
      <c r="AC525" s="108"/>
      <c r="AD525" s="108"/>
    </row>
    <row r="526" spans="1:30" ht="13.5" customHeight="1">
      <c r="A526" s="108"/>
      <c r="B526" s="49"/>
      <c r="C526" s="50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  <c r="AA526" s="108"/>
      <c r="AB526" s="108"/>
      <c r="AC526" s="108"/>
      <c r="AD526" s="108"/>
    </row>
    <row r="527" spans="1:30" ht="13.5" customHeight="1">
      <c r="A527" s="108"/>
      <c r="B527" s="49"/>
      <c r="C527" s="50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  <c r="AA527" s="108"/>
      <c r="AB527" s="108"/>
      <c r="AC527" s="108"/>
      <c r="AD527" s="108"/>
    </row>
    <row r="528" spans="1:30" ht="13.5" customHeight="1">
      <c r="A528" s="108"/>
      <c r="B528" s="49"/>
      <c r="C528" s="50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  <c r="AA528" s="108"/>
      <c r="AB528" s="108"/>
      <c r="AC528" s="108"/>
      <c r="AD528" s="108"/>
    </row>
    <row r="529" spans="1:30" ht="13.5" customHeight="1">
      <c r="A529" s="108"/>
      <c r="B529" s="49"/>
      <c r="C529" s="50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  <c r="AA529" s="108"/>
      <c r="AB529" s="108"/>
      <c r="AC529" s="108"/>
      <c r="AD529" s="108"/>
    </row>
    <row r="530" spans="1:30" ht="13.5" customHeight="1">
      <c r="A530" s="108"/>
      <c r="B530" s="49"/>
      <c r="C530" s="50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  <c r="AA530" s="108"/>
      <c r="AB530" s="108"/>
      <c r="AC530" s="108"/>
      <c r="AD530" s="108"/>
    </row>
    <row r="531" spans="1:30" ht="13.5" customHeight="1">
      <c r="A531" s="108"/>
      <c r="B531" s="49"/>
      <c r="C531" s="50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  <c r="AA531" s="108"/>
      <c r="AB531" s="108"/>
      <c r="AC531" s="108"/>
      <c r="AD531" s="108"/>
    </row>
    <row r="532" spans="1:30" ht="13.5" customHeight="1">
      <c r="A532" s="108"/>
      <c r="B532" s="49"/>
      <c r="C532" s="50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  <c r="AA532" s="108"/>
      <c r="AB532" s="108"/>
      <c r="AC532" s="108"/>
      <c r="AD532" s="108"/>
    </row>
    <row r="533" spans="1:30" ht="13.5" customHeight="1">
      <c r="A533" s="108"/>
      <c r="B533" s="49"/>
      <c r="C533" s="50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  <c r="AA533" s="108"/>
      <c r="AB533" s="108"/>
      <c r="AC533" s="108"/>
      <c r="AD533" s="108"/>
    </row>
    <row r="534" spans="1:30" ht="13.5" customHeight="1">
      <c r="A534" s="108"/>
      <c r="B534" s="49"/>
      <c r="C534" s="50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  <c r="AB534" s="108"/>
      <c r="AC534" s="108"/>
      <c r="AD534" s="108"/>
    </row>
    <row r="535" spans="1:30" ht="13.5" customHeight="1">
      <c r="A535" s="108"/>
      <c r="B535" s="49"/>
      <c r="C535" s="50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  <c r="AA535" s="108"/>
      <c r="AB535" s="108"/>
      <c r="AC535" s="108"/>
      <c r="AD535" s="108"/>
    </row>
    <row r="536" spans="1:30" ht="13.5" customHeight="1">
      <c r="A536" s="108"/>
      <c r="B536" s="49"/>
      <c r="C536" s="50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  <c r="AA536" s="108"/>
      <c r="AB536" s="108"/>
      <c r="AC536" s="108"/>
      <c r="AD536" s="108"/>
    </row>
    <row r="537" spans="1:30" ht="13.5" customHeight="1">
      <c r="A537" s="108"/>
      <c r="B537" s="49"/>
      <c r="C537" s="50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  <c r="AA537" s="108"/>
      <c r="AB537" s="108"/>
      <c r="AC537" s="108"/>
      <c r="AD537" s="108"/>
    </row>
    <row r="538" spans="1:30" ht="13.5" customHeight="1">
      <c r="A538" s="108"/>
      <c r="B538" s="49"/>
      <c r="C538" s="50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  <c r="AA538" s="108"/>
      <c r="AB538" s="108"/>
      <c r="AC538" s="108"/>
      <c r="AD538" s="108"/>
    </row>
    <row r="539" spans="1:30" ht="13.5" customHeight="1">
      <c r="A539" s="108"/>
      <c r="B539" s="49"/>
      <c r="C539" s="50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  <c r="AA539" s="108"/>
      <c r="AB539" s="108"/>
      <c r="AC539" s="108"/>
      <c r="AD539" s="108"/>
    </row>
    <row r="540" spans="1:30" ht="13.5" customHeight="1">
      <c r="A540" s="108"/>
      <c r="B540" s="49"/>
      <c r="C540" s="50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  <c r="AA540" s="108"/>
      <c r="AB540" s="108"/>
      <c r="AC540" s="108"/>
      <c r="AD540" s="108"/>
    </row>
    <row r="541" spans="1:30" ht="13.5" customHeight="1">
      <c r="A541" s="108"/>
      <c r="B541" s="49"/>
      <c r="C541" s="50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  <c r="AA541" s="108"/>
      <c r="AB541" s="108"/>
      <c r="AC541" s="108"/>
      <c r="AD541" s="108"/>
    </row>
    <row r="542" spans="1:30" ht="13.5" customHeight="1">
      <c r="A542" s="108"/>
      <c r="B542" s="49"/>
      <c r="C542" s="50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  <c r="AA542" s="108"/>
      <c r="AB542" s="108"/>
      <c r="AC542" s="108"/>
      <c r="AD542" s="108"/>
    </row>
    <row r="543" spans="1:30" ht="13.5" customHeight="1">
      <c r="A543" s="108"/>
      <c r="B543" s="49"/>
      <c r="C543" s="50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  <c r="AA543" s="108"/>
      <c r="AB543" s="108"/>
      <c r="AC543" s="108"/>
      <c r="AD543" s="108"/>
    </row>
    <row r="544" spans="1:30" ht="13.5" customHeight="1">
      <c r="A544" s="108"/>
      <c r="B544" s="49"/>
      <c r="C544" s="50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  <c r="AA544" s="108"/>
      <c r="AB544" s="108"/>
      <c r="AC544" s="108"/>
      <c r="AD544" s="108"/>
    </row>
    <row r="545" spans="1:30" ht="13.5" customHeight="1">
      <c r="A545" s="108"/>
      <c r="B545" s="49"/>
      <c r="C545" s="50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  <c r="AA545" s="108"/>
      <c r="AB545" s="108"/>
      <c r="AC545" s="108"/>
      <c r="AD545" s="108"/>
    </row>
    <row r="546" spans="1:30" ht="13.5" customHeight="1">
      <c r="A546" s="108"/>
      <c r="B546" s="49"/>
      <c r="C546" s="50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  <c r="AA546" s="108"/>
      <c r="AB546" s="108"/>
      <c r="AC546" s="108"/>
      <c r="AD546" s="108"/>
    </row>
    <row r="547" spans="1:30" ht="13.5" customHeight="1">
      <c r="A547" s="108"/>
      <c r="B547" s="49"/>
      <c r="C547" s="50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  <c r="AA547" s="108"/>
      <c r="AB547" s="108"/>
      <c r="AC547" s="108"/>
      <c r="AD547" s="108"/>
    </row>
    <row r="548" spans="1:30" ht="13.5" customHeight="1">
      <c r="A548" s="108"/>
      <c r="B548" s="49"/>
      <c r="C548" s="50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  <c r="AA548" s="108"/>
      <c r="AB548" s="108"/>
      <c r="AC548" s="108"/>
      <c r="AD548" s="108"/>
    </row>
    <row r="549" spans="1:30" ht="13.5" customHeight="1">
      <c r="A549" s="108"/>
      <c r="B549" s="49"/>
      <c r="C549" s="50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  <c r="AA549" s="108"/>
      <c r="AB549" s="108"/>
      <c r="AC549" s="108"/>
      <c r="AD549" s="108"/>
    </row>
    <row r="550" spans="1:30" ht="13.5" customHeight="1">
      <c r="A550" s="108"/>
      <c r="B550" s="49"/>
      <c r="C550" s="50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  <c r="AA550" s="108"/>
      <c r="AB550" s="108"/>
      <c r="AC550" s="108"/>
      <c r="AD550" s="108"/>
    </row>
    <row r="551" spans="1:30" ht="13.5" customHeight="1">
      <c r="A551" s="108"/>
      <c r="B551" s="49"/>
      <c r="C551" s="50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  <c r="AA551" s="108"/>
      <c r="AB551" s="108"/>
      <c r="AC551" s="108"/>
      <c r="AD551" s="108"/>
    </row>
    <row r="552" spans="1:30" ht="13.5" customHeight="1">
      <c r="A552" s="108"/>
      <c r="B552" s="49"/>
      <c r="C552" s="50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  <c r="AA552" s="108"/>
      <c r="AB552" s="108"/>
      <c r="AC552" s="108"/>
      <c r="AD552" s="108"/>
    </row>
    <row r="553" spans="1:30" ht="13.5" customHeight="1">
      <c r="A553" s="108"/>
      <c r="B553" s="49"/>
      <c r="C553" s="50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  <c r="AB553" s="108"/>
      <c r="AC553" s="108"/>
      <c r="AD553" s="108"/>
    </row>
    <row r="554" spans="1:30" ht="13.5" customHeight="1">
      <c r="A554" s="108"/>
      <c r="B554" s="49"/>
      <c r="C554" s="50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  <c r="AA554" s="108"/>
      <c r="AB554" s="108"/>
      <c r="AC554" s="108"/>
      <c r="AD554" s="108"/>
    </row>
    <row r="555" spans="1:30" ht="13.5" customHeight="1">
      <c r="A555" s="108"/>
      <c r="B555" s="49"/>
      <c r="C555" s="50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  <c r="AC555" s="108"/>
      <c r="AD555" s="108"/>
    </row>
    <row r="556" spans="1:30" ht="13.5" customHeight="1">
      <c r="A556" s="108"/>
      <c r="B556" s="49"/>
      <c r="C556" s="50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  <c r="AA556" s="108"/>
      <c r="AB556" s="108"/>
      <c r="AC556" s="108"/>
      <c r="AD556" s="108"/>
    </row>
    <row r="557" spans="1:30" ht="13.5" customHeight="1">
      <c r="A557" s="108"/>
      <c r="B557" s="49"/>
      <c r="C557" s="50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  <c r="AA557" s="108"/>
      <c r="AB557" s="108"/>
      <c r="AC557" s="108"/>
      <c r="AD557" s="108"/>
    </row>
    <row r="558" spans="1:30" ht="13.5" customHeight="1">
      <c r="A558" s="108"/>
      <c r="B558" s="49"/>
      <c r="C558" s="50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  <c r="AA558" s="108"/>
      <c r="AB558" s="108"/>
      <c r="AC558" s="108"/>
      <c r="AD558" s="108"/>
    </row>
    <row r="559" spans="1:30" ht="13.5" customHeight="1">
      <c r="A559" s="108"/>
      <c r="B559" s="49"/>
      <c r="C559" s="50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  <c r="AA559" s="108"/>
      <c r="AB559" s="108"/>
      <c r="AC559" s="108"/>
      <c r="AD559" s="108"/>
    </row>
    <row r="560" spans="1:30" ht="13.5" customHeight="1">
      <c r="A560" s="108"/>
      <c r="B560" s="49"/>
      <c r="C560" s="50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  <c r="AA560" s="108"/>
      <c r="AB560" s="108"/>
      <c r="AC560" s="108"/>
      <c r="AD560" s="108"/>
    </row>
    <row r="561" spans="1:30" ht="13.5" customHeight="1">
      <c r="A561" s="108"/>
      <c r="B561" s="49"/>
      <c r="C561" s="50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  <c r="AA561" s="108"/>
      <c r="AB561" s="108"/>
      <c r="AC561" s="108"/>
      <c r="AD561" s="108"/>
    </row>
    <row r="562" spans="1:30" ht="13.5" customHeight="1">
      <c r="A562" s="108"/>
      <c r="B562" s="49"/>
      <c r="C562" s="50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  <c r="AA562" s="108"/>
      <c r="AB562" s="108"/>
      <c r="AC562" s="108"/>
      <c r="AD562" s="108"/>
    </row>
    <row r="563" spans="1:30" ht="13.5" customHeight="1">
      <c r="A563" s="108"/>
      <c r="B563" s="49"/>
      <c r="C563" s="50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  <c r="AA563" s="108"/>
      <c r="AB563" s="108"/>
      <c r="AC563" s="108"/>
      <c r="AD563" s="108"/>
    </row>
    <row r="564" spans="1:30" ht="13.5" customHeight="1">
      <c r="A564" s="108"/>
      <c r="B564" s="49"/>
      <c r="C564" s="50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  <c r="AC564" s="108"/>
      <c r="AD564" s="108"/>
    </row>
    <row r="565" spans="1:30" ht="13.5" customHeight="1">
      <c r="A565" s="108"/>
      <c r="B565" s="49"/>
      <c r="C565" s="50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  <c r="AB565" s="108"/>
      <c r="AC565" s="108"/>
      <c r="AD565" s="108"/>
    </row>
    <row r="566" spans="1:30" ht="13.5" customHeight="1">
      <c r="A566" s="108"/>
      <c r="B566" s="49"/>
      <c r="C566" s="50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  <c r="AA566" s="108"/>
      <c r="AB566" s="108"/>
      <c r="AC566" s="108"/>
      <c r="AD566" s="108"/>
    </row>
    <row r="567" spans="1:30" ht="13.5" customHeight="1">
      <c r="A567" s="108"/>
      <c r="B567" s="49"/>
      <c r="C567" s="50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  <c r="AA567" s="108"/>
      <c r="AB567" s="108"/>
      <c r="AC567" s="108"/>
      <c r="AD567" s="108"/>
    </row>
    <row r="568" spans="1:30" ht="13.5" customHeight="1">
      <c r="A568" s="108"/>
      <c r="B568" s="49"/>
      <c r="C568" s="50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  <c r="AA568" s="108"/>
      <c r="AB568" s="108"/>
      <c r="AC568" s="108"/>
      <c r="AD568" s="108"/>
    </row>
    <row r="569" spans="1:30" ht="13.5" customHeight="1">
      <c r="A569" s="108"/>
      <c r="B569" s="49"/>
      <c r="C569" s="50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  <c r="AA569" s="108"/>
      <c r="AB569" s="108"/>
      <c r="AC569" s="108"/>
      <c r="AD569" s="108"/>
    </row>
    <row r="570" spans="1:30" ht="13.5" customHeight="1">
      <c r="A570" s="108"/>
      <c r="B570" s="49"/>
      <c r="C570" s="50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  <c r="AA570" s="108"/>
      <c r="AB570" s="108"/>
      <c r="AC570" s="108"/>
      <c r="AD570" s="108"/>
    </row>
    <row r="571" spans="1:30" ht="13.5" customHeight="1">
      <c r="A571" s="108"/>
      <c r="B571" s="49"/>
      <c r="C571" s="50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</row>
    <row r="572" spans="1:30" ht="13.5" customHeight="1">
      <c r="A572" s="108"/>
      <c r="B572" s="49"/>
      <c r="C572" s="50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</row>
    <row r="573" spans="1:30" ht="13.5" customHeight="1">
      <c r="A573" s="108"/>
      <c r="B573" s="49"/>
      <c r="C573" s="50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  <c r="AC573" s="108"/>
      <c r="AD573" s="108"/>
    </row>
    <row r="574" spans="1:30" ht="13.5" customHeight="1">
      <c r="A574" s="108"/>
      <c r="B574" s="49"/>
      <c r="C574" s="50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  <c r="AC574" s="108"/>
      <c r="AD574" s="108"/>
    </row>
    <row r="575" spans="1:30" ht="13.5" customHeight="1">
      <c r="A575" s="108"/>
      <c r="B575" s="49"/>
      <c r="C575" s="50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  <c r="AC575" s="108"/>
      <c r="AD575" s="108"/>
    </row>
    <row r="576" spans="1:30" ht="13.5" customHeight="1">
      <c r="A576" s="108"/>
      <c r="B576" s="49"/>
      <c r="C576" s="50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</row>
    <row r="577" spans="1:30" ht="13.5" customHeight="1">
      <c r="A577" s="108"/>
      <c r="B577" s="49"/>
      <c r="C577" s="50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  <c r="AA577" s="108"/>
      <c r="AB577" s="108"/>
      <c r="AC577" s="108"/>
      <c r="AD577" s="108"/>
    </row>
    <row r="578" spans="1:30" ht="13.5" customHeight="1">
      <c r="A578" s="108"/>
      <c r="B578" s="49"/>
      <c r="C578" s="50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  <c r="AA578" s="108"/>
      <c r="AB578" s="108"/>
      <c r="AC578" s="108"/>
      <c r="AD578" s="108"/>
    </row>
    <row r="579" spans="1:30" ht="13.5" customHeight="1">
      <c r="A579" s="108"/>
      <c r="B579" s="49"/>
      <c r="C579" s="50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  <c r="AA579" s="108"/>
      <c r="AB579" s="108"/>
      <c r="AC579" s="108"/>
      <c r="AD579" s="108"/>
    </row>
    <row r="580" spans="1:30" ht="13.5" customHeight="1">
      <c r="A580" s="108"/>
      <c r="B580" s="49"/>
      <c r="C580" s="50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  <c r="AA580" s="108"/>
      <c r="AB580" s="108"/>
      <c r="AC580" s="108"/>
      <c r="AD580" s="108"/>
    </row>
    <row r="581" spans="1:30" ht="13.5" customHeight="1">
      <c r="A581" s="108"/>
      <c r="B581" s="49"/>
      <c r="C581" s="50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  <c r="AA581" s="108"/>
      <c r="AB581" s="108"/>
      <c r="AC581" s="108"/>
      <c r="AD581" s="108"/>
    </row>
    <row r="582" spans="1:30" ht="13.5" customHeight="1">
      <c r="A582" s="108"/>
      <c r="B582" s="49"/>
      <c r="C582" s="50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  <c r="AA582" s="108"/>
      <c r="AB582" s="108"/>
      <c r="AC582" s="108"/>
      <c r="AD582" s="108"/>
    </row>
    <row r="583" spans="1:30" ht="13.5" customHeight="1">
      <c r="A583" s="108"/>
      <c r="B583" s="49"/>
      <c r="C583" s="50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  <c r="AA583" s="108"/>
      <c r="AB583" s="108"/>
      <c r="AC583" s="108"/>
      <c r="AD583" s="108"/>
    </row>
    <row r="584" spans="1:30" ht="13.5" customHeight="1">
      <c r="A584" s="108"/>
      <c r="B584" s="49"/>
      <c r="C584" s="50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  <c r="AA584" s="108"/>
      <c r="AB584" s="108"/>
      <c r="AC584" s="108"/>
      <c r="AD584" s="108"/>
    </row>
    <row r="585" spans="1:30" ht="13.5" customHeight="1">
      <c r="A585" s="108"/>
      <c r="B585" s="49"/>
      <c r="C585" s="50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  <c r="AA585" s="108"/>
      <c r="AB585" s="108"/>
      <c r="AC585" s="108"/>
      <c r="AD585" s="108"/>
    </row>
    <row r="586" spans="1:30" ht="13.5" customHeight="1">
      <c r="A586" s="108"/>
      <c r="B586" s="49"/>
      <c r="C586" s="50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  <c r="AB586" s="108"/>
      <c r="AC586" s="108"/>
      <c r="AD586" s="108"/>
    </row>
    <row r="587" spans="1:30" ht="13.5" customHeight="1">
      <c r="A587" s="108"/>
      <c r="B587" s="49"/>
      <c r="C587" s="50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  <c r="AA587" s="108"/>
      <c r="AB587" s="108"/>
      <c r="AC587" s="108"/>
      <c r="AD587" s="108"/>
    </row>
    <row r="588" spans="1:30" ht="13.5" customHeight="1">
      <c r="A588" s="108"/>
      <c r="B588" s="49"/>
      <c r="C588" s="50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  <c r="AC588" s="108"/>
      <c r="AD588" s="108"/>
    </row>
    <row r="589" spans="1:30" ht="13.5" customHeight="1">
      <c r="A589" s="108"/>
      <c r="B589" s="49"/>
      <c r="C589" s="50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  <c r="AA589" s="108"/>
      <c r="AB589" s="108"/>
      <c r="AC589" s="108"/>
      <c r="AD589" s="108"/>
    </row>
    <row r="590" spans="1:30" ht="13.5" customHeight="1">
      <c r="A590" s="108"/>
      <c r="B590" s="49"/>
      <c r="C590" s="50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  <c r="AA590" s="108"/>
      <c r="AB590" s="108"/>
      <c r="AC590" s="108"/>
      <c r="AD590" s="108"/>
    </row>
    <row r="591" spans="1:30" ht="13.5" customHeight="1">
      <c r="A591" s="108"/>
      <c r="B591" s="49"/>
      <c r="C591" s="50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  <c r="AA591" s="108"/>
      <c r="AB591" s="108"/>
      <c r="AC591" s="108"/>
      <c r="AD591" s="108"/>
    </row>
    <row r="592" spans="1:30" ht="13.5" customHeight="1">
      <c r="A592" s="108"/>
      <c r="B592" s="49"/>
      <c r="C592" s="50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  <c r="AA592" s="108"/>
      <c r="AB592" s="108"/>
      <c r="AC592" s="108"/>
      <c r="AD592" s="108"/>
    </row>
    <row r="593" spans="1:30" ht="13.5" customHeight="1">
      <c r="A593" s="108"/>
      <c r="B593" s="49"/>
      <c r="C593" s="50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  <c r="AA593" s="108"/>
      <c r="AB593" s="108"/>
      <c r="AC593" s="108"/>
      <c r="AD593" s="108"/>
    </row>
    <row r="594" spans="1:30" ht="13.5" customHeight="1">
      <c r="A594" s="108"/>
      <c r="B594" s="49"/>
      <c r="C594" s="50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  <c r="AA594" s="108"/>
      <c r="AB594" s="108"/>
      <c r="AC594" s="108"/>
      <c r="AD594" s="108"/>
    </row>
    <row r="595" spans="1:30" ht="13.5" customHeight="1">
      <c r="A595" s="108"/>
      <c r="B595" s="49"/>
      <c r="C595" s="50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  <c r="AA595" s="108"/>
      <c r="AB595" s="108"/>
      <c r="AC595" s="108"/>
      <c r="AD595" s="108"/>
    </row>
    <row r="596" spans="1:30" ht="13.5" customHeight="1">
      <c r="A596" s="108"/>
      <c r="B596" s="49"/>
      <c r="C596" s="50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  <c r="AA596" s="108"/>
      <c r="AB596" s="108"/>
      <c r="AC596" s="108"/>
      <c r="AD596" s="108"/>
    </row>
    <row r="597" spans="1:30" ht="13.5" customHeight="1">
      <c r="A597" s="108"/>
      <c r="B597" s="49"/>
      <c r="C597" s="50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  <c r="AA597" s="108"/>
      <c r="AB597" s="108"/>
      <c r="AC597" s="108"/>
      <c r="AD597" s="108"/>
    </row>
    <row r="598" spans="1:30" ht="13.5" customHeight="1">
      <c r="A598" s="108"/>
      <c r="B598" s="49"/>
      <c r="C598" s="50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  <c r="AA598" s="108"/>
      <c r="AB598" s="108"/>
      <c r="AC598" s="108"/>
      <c r="AD598" s="108"/>
    </row>
    <row r="599" spans="1:30" ht="13.5" customHeight="1">
      <c r="A599" s="108"/>
      <c r="B599" s="49"/>
      <c r="C599" s="50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  <c r="AA599" s="108"/>
      <c r="AB599" s="108"/>
      <c r="AC599" s="108"/>
      <c r="AD599" s="108"/>
    </row>
    <row r="600" spans="1:30" ht="13.5" customHeight="1">
      <c r="A600" s="108"/>
      <c r="B600" s="49"/>
      <c r="C600" s="50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  <c r="AA600" s="108"/>
      <c r="AB600" s="108"/>
      <c r="AC600" s="108"/>
      <c r="AD600" s="108"/>
    </row>
    <row r="601" spans="1:30" ht="13.5" customHeight="1">
      <c r="A601" s="108"/>
      <c r="B601" s="49"/>
      <c r="C601" s="50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  <c r="AA601" s="108"/>
      <c r="AB601" s="108"/>
      <c r="AC601" s="108"/>
      <c r="AD601" s="108"/>
    </row>
    <row r="602" spans="1:30" ht="13.5" customHeight="1">
      <c r="A602" s="108"/>
      <c r="B602" s="49"/>
      <c r="C602" s="50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  <c r="AA602" s="108"/>
      <c r="AB602" s="108"/>
      <c r="AC602" s="108"/>
      <c r="AD602" s="108"/>
    </row>
    <row r="603" spans="1:30" ht="13.5" customHeight="1">
      <c r="A603" s="108"/>
      <c r="B603" s="49"/>
      <c r="C603" s="50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  <c r="AA603" s="108"/>
      <c r="AB603" s="108"/>
      <c r="AC603" s="108"/>
      <c r="AD603" s="108"/>
    </row>
    <row r="604" spans="1:30" ht="13.5" customHeight="1">
      <c r="A604" s="108"/>
      <c r="B604" s="49"/>
      <c r="C604" s="50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  <c r="AA604" s="108"/>
      <c r="AB604" s="108"/>
      <c r="AC604" s="108"/>
      <c r="AD604" s="108"/>
    </row>
    <row r="605" spans="1:30" ht="13.5" customHeight="1">
      <c r="A605" s="108"/>
      <c r="B605" s="49"/>
      <c r="C605" s="50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  <c r="AA605" s="108"/>
      <c r="AB605" s="108"/>
      <c r="AC605" s="108"/>
      <c r="AD605" s="108"/>
    </row>
    <row r="606" spans="1:30" ht="13.5" customHeight="1">
      <c r="A606" s="108"/>
      <c r="B606" s="49"/>
      <c r="C606" s="50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  <c r="AA606" s="108"/>
      <c r="AB606" s="108"/>
      <c r="AC606" s="108"/>
      <c r="AD606" s="108"/>
    </row>
    <row r="607" spans="1:30" ht="13.5" customHeight="1">
      <c r="A607" s="108"/>
      <c r="B607" s="49"/>
      <c r="C607" s="50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  <c r="AA607" s="108"/>
      <c r="AB607" s="108"/>
      <c r="AC607" s="108"/>
      <c r="AD607" s="108"/>
    </row>
    <row r="608" spans="1:30" ht="13.5" customHeight="1">
      <c r="A608" s="108"/>
      <c r="B608" s="49"/>
      <c r="C608" s="50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  <c r="AA608" s="108"/>
      <c r="AB608" s="108"/>
      <c r="AC608" s="108"/>
      <c r="AD608" s="108"/>
    </row>
    <row r="609" spans="1:30" ht="13.5" customHeight="1">
      <c r="A609" s="108"/>
      <c r="B609" s="49"/>
      <c r="C609" s="50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  <c r="AA609" s="108"/>
      <c r="AB609" s="108"/>
      <c r="AC609" s="108"/>
      <c r="AD609" s="108"/>
    </row>
    <row r="610" spans="1:30" ht="13.5" customHeight="1">
      <c r="A610" s="108"/>
      <c r="B610" s="49"/>
      <c r="C610" s="50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  <c r="AA610" s="108"/>
      <c r="AB610" s="108"/>
      <c r="AC610" s="108"/>
      <c r="AD610" s="108"/>
    </row>
    <row r="611" spans="1:30" ht="13.5" customHeight="1">
      <c r="A611" s="108"/>
      <c r="B611" s="49"/>
      <c r="C611" s="50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  <c r="AA611" s="108"/>
      <c r="AB611" s="108"/>
      <c r="AC611" s="108"/>
      <c r="AD611" s="108"/>
    </row>
    <row r="612" spans="1:30" ht="13.5" customHeight="1">
      <c r="A612" s="108"/>
      <c r="B612" s="49"/>
      <c r="C612" s="50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  <c r="AA612" s="108"/>
      <c r="AB612" s="108"/>
      <c r="AC612" s="108"/>
      <c r="AD612" s="108"/>
    </row>
    <row r="613" spans="1:30" ht="13.5" customHeight="1">
      <c r="A613" s="108"/>
      <c r="B613" s="49"/>
      <c r="C613" s="50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  <c r="AA613" s="108"/>
      <c r="AB613" s="108"/>
      <c r="AC613" s="108"/>
      <c r="AD613" s="108"/>
    </row>
    <row r="614" spans="1:30" ht="13.5" customHeight="1">
      <c r="A614" s="108"/>
      <c r="B614" s="49"/>
      <c r="C614" s="50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  <c r="AA614" s="108"/>
      <c r="AB614" s="108"/>
      <c r="AC614" s="108"/>
      <c r="AD614" s="108"/>
    </row>
    <row r="615" spans="1:30" ht="13.5" customHeight="1">
      <c r="A615" s="108"/>
      <c r="B615" s="49"/>
      <c r="C615" s="50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  <c r="AA615" s="108"/>
      <c r="AB615" s="108"/>
      <c r="AC615" s="108"/>
      <c r="AD615" s="108"/>
    </row>
    <row r="616" spans="1:30" ht="13.5" customHeight="1">
      <c r="A616" s="108"/>
      <c r="B616" s="49"/>
      <c r="C616" s="50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  <c r="AB616" s="108"/>
      <c r="AC616" s="108"/>
      <c r="AD616" s="108"/>
    </row>
    <row r="617" spans="1:30" ht="13.5" customHeight="1">
      <c r="A617" s="108"/>
      <c r="B617" s="49"/>
      <c r="C617" s="50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  <c r="AA617" s="108"/>
      <c r="AB617" s="108"/>
      <c r="AC617" s="108"/>
      <c r="AD617" s="108"/>
    </row>
    <row r="618" spans="1:30" ht="13.5" customHeight="1">
      <c r="A618" s="108"/>
      <c r="B618" s="49"/>
      <c r="C618" s="50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  <c r="AA618" s="108"/>
      <c r="AB618" s="108"/>
      <c r="AC618" s="108"/>
      <c r="AD618" s="108"/>
    </row>
    <row r="619" spans="1:30" ht="13.5" customHeight="1">
      <c r="A619" s="108"/>
      <c r="B619" s="49"/>
      <c r="C619" s="50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  <c r="AA619" s="108"/>
      <c r="AB619" s="108"/>
      <c r="AC619" s="108"/>
      <c r="AD619" s="108"/>
    </row>
    <row r="620" spans="1:30" ht="13.5" customHeight="1">
      <c r="A620" s="108"/>
      <c r="B620" s="49"/>
      <c r="C620" s="50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  <c r="AA620" s="108"/>
      <c r="AB620" s="108"/>
      <c r="AC620" s="108"/>
      <c r="AD620" s="108"/>
    </row>
    <row r="621" spans="1:30" ht="13.5" customHeight="1">
      <c r="A621" s="108"/>
      <c r="B621" s="49"/>
      <c r="C621" s="50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  <c r="AA621" s="108"/>
      <c r="AB621" s="108"/>
      <c r="AC621" s="108"/>
      <c r="AD621" s="108"/>
    </row>
    <row r="622" spans="1:30" ht="13.5" customHeight="1">
      <c r="A622" s="108"/>
      <c r="B622" s="49"/>
      <c r="C622" s="50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  <c r="AA622" s="108"/>
      <c r="AB622" s="108"/>
      <c r="AC622" s="108"/>
      <c r="AD622" s="108"/>
    </row>
    <row r="623" spans="1:30" ht="13.5" customHeight="1">
      <c r="A623" s="108"/>
      <c r="B623" s="49"/>
      <c r="C623" s="50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  <c r="AA623" s="108"/>
      <c r="AB623" s="108"/>
      <c r="AC623" s="108"/>
      <c r="AD623" s="108"/>
    </row>
    <row r="624" spans="1:30" ht="13.5" customHeight="1">
      <c r="A624" s="108"/>
      <c r="B624" s="49"/>
      <c r="C624" s="50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  <c r="AA624" s="108"/>
      <c r="AB624" s="108"/>
      <c r="AC624" s="108"/>
      <c r="AD624" s="108"/>
    </row>
    <row r="625" spans="1:30" ht="13.5" customHeight="1">
      <c r="A625" s="108"/>
      <c r="B625" s="49"/>
      <c r="C625" s="50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  <c r="AA625" s="108"/>
      <c r="AB625" s="108"/>
      <c r="AC625" s="108"/>
      <c r="AD625" s="108"/>
    </row>
    <row r="626" spans="1:30" ht="13.5" customHeight="1">
      <c r="A626" s="108"/>
      <c r="B626" s="49"/>
      <c r="C626" s="50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  <c r="AA626" s="108"/>
      <c r="AB626" s="108"/>
      <c r="AC626" s="108"/>
      <c r="AD626" s="108"/>
    </row>
    <row r="627" spans="1:30" ht="13.5" customHeight="1">
      <c r="A627" s="108"/>
      <c r="B627" s="49"/>
      <c r="C627" s="50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  <c r="AA627" s="108"/>
      <c r="AB627" s="108"/>
      <c r="AC627" s="108"/>
      <c r="AD627" s="108"/>
    </row>
    <row r="628" spans="1:30" ht="13.5" customHeight="1">
      <c r="A628" s="108"/>
      <c r="B628" s="49"/>
      <c r="C628" s="50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  <c r="AA628" s="108"/>
      <c r="AB628" s="108"/>
      <c r="AC628" s="108"/>
      <c r="AD628" s="108"/>
    </row>
    <row r="629" spans="1:30" ht="13.5" customHeight="1">
      <c r="A629" s="108"/>
      <c r="B629" s="49"/>
      <c r="C629" s="50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  <c r="AA629" s="108"/>
      <c r="AB629" s="108"/>
      <c r="AC629" s="108"/>
      <c r="AD629" s="108"/>
    </row>
    <row r="630" spans="1:30" ht="13.5" customHeight="1">
      <c r="A630" s="108"/>
      <c r="B630" s="49"/>
      <c r="C630" s="50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  <c r="AA630" s="108"/>
      <c r="AB630" s="108"/>
      <c r="AC630" s="108"/>
      <c r="AD630" s="108"/>
    </row>
    <row r="631" spans="1:30" ht="13.5" customHeight="1">
      <c r="A631" s="108"/>
      <c r="B631" s="49"/>
      <c r="C631" s="50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  <c r="AA631" s="108"/>
      <c r="AB631" s="108"/>
      <c r="AC631" s="108"/>
      <c r="AD631" s="108"/>
    </row>
    <row r="632" spans="1:30" ht="13.5" customHeight="1">
      <c r="A632" s="108"/>
      <c r="B632" s="49"/>
      <c r="C632" s="50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  <c r="AA632" s="108"/>
      <c r="AB632" s="108"/>
      <c r="AC632" s="108"/>
      <c r="AD632" s="108"/>
    </row>
    <row r="633" spans="1:30" ht="13.5" customHeight="1">
      <c r="A633" s="108"/>
      <c r="B633" s="49"/>
      <c r="C633" s="50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  <c r="AA633" s="108"/>
      <c r="AB633" s="108"/>
      <c r="AC633" s="108"/>
      <c r="AD633" s="108"/>
    </row>
    <row r="634" spans="1:30" ht="13.5" customHeight="1">
      <c r="A634" s="108"/>
      <c r="B634" s="49"/>
      <c r="C634" s="50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  <c r="AA634" s="108"/>
      <c r="AB634" s="108"/>
      <c r="AC634" s="108"/>
      <c r="AD634" s="108"/>
    </row>
    <row r="635" spans="1:30" ht="13.5" customHeight="1">
      <c r="A635" s="108"/>
      <c r="B635" s="49"/>
      <c r="C635" s="50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  <c r="AA635" s="108"/>
      <c r="AB635" s="108"/>
      <c r="AC635" s="108"/>
      <c r="AD635" s="108"/>
    </row>
    <row r="636" spans="1:30" ht="13.5" customHeight="1">
      <c r="A636" s="108"/>
      <c r="B636" s="49"/>
      <c r="C636" s="50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  <c r="AA636" s="108"/>
      <c r="AB636" s="108"/>
      <c r="AC636" s="108"/>
      <c r="AD636" s="108"/>
    </row>
    <row r="637" spans="1:30" ht="13.5" customHeight="1">
      <c r="A637" s="108"/>
      <c r="B637" s="49"/>
      <c r="C637" s="50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  <c r="AB637" s="108"/>
      <c r="AC637" s="108"/>
      <c r="AD637" s="108"/>
    </row>
    <row r="638" spans="1:30" ht="13.5" customHeight="1">
      <c r="A638" s="108"/>
      <c r="B638" s="49"/>
      <c r="C638" s="50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  <c r="AA638" s="108"/>
      <c r="AB638" s="108"/>
      <c r="AC638" s="108"/>
      <c r="AD638" s="108"/>
    </row>
    <row r="639" spans="1:30" ht="13.5" customHeight="1">
      <c r="A639" s="108"/>
      <c r="B639" s="49"/>
      <c r="C639" s="50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  <c r="AA639" s="108"/>
      <c r="AB639" s="108"/>
      <c r="AC639" s="108"/>
      <c r="AD639" s="108"/>
    </row>
    <row r="640" spans="1:30" ht="13.5" customHeight="1">
      <c r="A640" s="108"/>
      <c r="B640" s="49"/>
      <c r="C640" s="50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  <c r="AA640" s="108"/>
      <c r="AB640" s="108"/>
      <c r="AC640" s="108"/>
      <c r="AD640" s="108"/>
    </row>
    <row r="641" spans="1:30" ht="13.5" customHeight="1">
      <c r="A641" s="108"/>
      <c r="B641" s="49"/>
      <c r="C641" s="50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  <c r="AA641" s="108"/>
      <c r="AB641" s="108"/>
      <c r="AC641" s="108"/>
      <c r="AD641" s="108"/>
    </row>
    <row r="642" spans="1:30" ht="13.5" customHeight="1">
      <c r="A642" s="108"/>
      <c r="B642" s="49"/>
      <c r="C642" s="50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  <c r="AA642" s="108"/>
      <c r="AB642" s="108"/>
      <c r="AC642" s="108"/>
      <c r="AD642" s="108"/>
    </row>
    <row r="643" spans="1:30" ht="13.5" customHeight="1">
      <c r="A643" s="108"/>
      <c r="B643" s="49"/>
      <c r="C643" s="50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  <c r="AA643" s="108"/>
      <c r="AB643" s="108"/>
      <c r="AC643" s="108"/>
      <c r="AD643" s="108"/>
    </row>
    <row r="644" spans="1:30" ht="13.5" customHeight="1">
      <c r="A644" s="108"/>
      <c r="B644" s="49"/>
      <c r="C644" s="50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  <c r="AA644" s="108"/>
      <c r="AB644" s="108"/>
      <c r="AC644" s="108"/>
      <c r="AD644" s="108"/>
    </row>
    <row r="645" spans="1:30" ht="13.5" customHeight="1">
      <c r="A645" s="108"/>
      <c r="B645" s="49"/>
      <c r="C645" s="50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  <c r="AA645" s="108"/>
      <c r="AB645" s="108"/>
      <c r="AC645" s="108"/>
      <c r="AD645" s="108"/>
    </row>
    <row r="646" spans="1:30" ht="13.5" customHeight="1">
      <c r="A646" s="108"/>
      <c r="B646" s="49"/>
      <c r="C646" s="50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  <c r="AA646" s="108"/>
      <c r="AB646" s="108"/>
      <c r="AC646" s="108"/>
      <c r="AD646" s="108"/>
    </row>
    <row r="647" spans="1:30" ht="13.5" customHeight="1">
      <c r="A647" s="108"/>
      <c r="B647" s="49"/>
      <c r="C647" s="50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  <c r="AA647" s="108"/>
      <c r="AB647" s="108"/>
      <c r="AC647" s="108"/>
      <c r="AD647" s="108"/>
    </row>
    <row r="648" spans="1:30" ht="13.5" customHeight="1">
      <c r="A648" s="108"/>
      <c r="B648" s="49"/>
      <c r="C648" s="50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  <c r="AA648" s="108"/>
      <c r="AB648" s="108"/>
      <c r="AC648" s="108"/>
      <c r="AD648" s="108"/>
    </row>
    <row r="649" spans="1:30" ht="13.5" customHeight="1">
      <c r="A649" s="108"/>
      <c r="B649" s="49"/>
      <c r="C649" s="50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  <c r="AA649" s="108"/>
      <c r="AB649" s="108"/>
      <c r="AC649" s="108"/>
      <c r="AD649" s="108"/>
    </row>
    <row r="650" spans="1:30" ht="13.5" customHeight="1">
      <c r="A650" s="108"/>
      <c r="B650" s="49"/>
      <c r="C650" s="50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  <c r="AA650" s="108"/>
      <c r="AB650" s="108"/>
      <c r="AC650" s="108"/>
      <c r="AD650" s="108"/>
    </row>
    <row r="651" spans="1:30" ht="13.5" customHeight="1">
      <c r="A651" s="108"/>
      <c r="B651" s="49"/>
      <c r="C651" s="50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  <c r="AA651" s="108"/>
      <c r="AB651" s="108"/>
      <c r="AC651" s="108"/>
      <c r="AD651" s="108"/>
    </row>
    <row r="652" spans="1:30" ht="13.5" customHeight="1">
      <c r="A652" s="108"/>
      <c r="B652" s="49"/>
      <c r="C652" s="50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  <c r="AA652" s="108"/>
      <c r="AB652" s="108"/>
      <c r="AC652" s="108"/>
      <c r="AD652" s="108"/>
    </row>
    <row r="653" spans="1:30" ht="13.5" customHeight="1">
      <c r="A653" s="108"/>
      <c r="B653" s="49"/>
      <c r="C653" s="50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  <c r="AA653" s="108"/>
      <c r="AB653" s="108"/>
      <c r="AC653" s="108"/>
      <c r="AD653" s="108"/>
    </row>
    <row r="654" spans="1:30" ht="13.5" customHeight="1">
      <c r="A654" s="108"/>
      <c r="B654" s="49"/>
      <c r="C654" s="50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  <c r="AA654" s="108"/>
      <c r="AB654" s="108"/>
      <c r="AC654" s="108"/>
      <c r="AD654" s="108"/>
    </row>
    <row r="655" spans="1:30" ht="13.5" customHeight="1">
      <c r="A655" s="108"/>
      <c r="B655" s="49"/>
      <c r="C655" s="50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  <c r="AA655" s="108"/>
      <c r="AB655" s="108"/>
      <c r="AC655" s="108"/>
      <c r="AD655" s="108"/>
    </row>
    <row r="656" spans="1:30" ht="13.5" customHeight="1">
      <c r="A656" s="108"/>
      <c r="B656" s="49"/>
      <c r="C656" s="50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  <c r="AB656" s="108"/>
      <c r="AC656" s="108"/>
      <c r="AD656" s="108"/>
    </row>
    <row r="657" spans="1:30" ht="13.5" customHeight="1">
      <c r="A657" s="108"/>
      <c r="B657" s="49"/>
      <c r="C657" s="50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  <c r="AC657" s="108"/>
      <c r="AD657" s="108"/>
    </row>
    <row r="658" spans="1:30" ht="13.5" customHeight="1">
      <c r="A658" s="108"/>
      <c r="B658" s="49"/>
      <c r="C658" s="50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</row>
    <row r="659" spans="1:30" ht="13.5" customHeight="1">
      <c r="A659" s="108"/>
      <c r="B659" s="49"/>
      <c r="C659" s="50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  <c r="AA659" s="108"/>
      <c r="AB659" s="108"/>
      <c r="AC659" s="108"/>
      <c r="AD659" s="108"/>
    </row>
    <row r="660" spans="1:30" ht="13.5" customHeight="1">
      <c r="A660" s="108"/>
      <c r="B660" s="49"/>
      <c r="C660" s="50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  <c r="AC660" s="108"/>
      <c r="AD660" s="108"/>
    </row>
    <row r="661" spans="1:30" ht="13.5" customHeight="1">
      <c r="A661" s="108"/>
      <c r="B661" s="49"/>
      <c r="C661" s="50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  <c r="AA661" s="108"/>
      <c r="AB661" s="108"/>
      <c r="AC661" s="108"/>
      <c r="AD661" s="108"/>
    </row>
    <row r="662" spans="1:30" ht="13.5" customHeight="1">
      <c r="A662" s="108"/>
      <c r="B662" s="49"/>
      <c r="C662" s="50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  <c r="AC662" s="108"/>
      <c r="AD662" s="108"/>
    </row>
    <row r="663" spans="1:30" ht="13.5" customHeight="1">
      <c r="A663" s="108"/>
      <c r="B663" s="49"/>
      <c r="C663" s="50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  <c r="AA663" s="108"/>
      <c r="AB663" s="108"/>
      <c r="AC663" s="108"/>
      <c r="AD663" s="108"/>
    </row>
    <row r="664" spans="1:30" ht="13.5" customHeight="1">
      <c r="A664" s="108"/>
      <c r="B664" s="49"/>
      <c r="C664" s="50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  <c r="AA664" s="108"/>
      <c r="AB664" s="108"/>
      <c r="AC664" s="108"/>
      <c r="AD664" s="108"/>
    </row>
    <row r="665" spans="1:30" ht="13.5" customHeight="1">
      <c r="A665" s="108"/>
      <c r="B665" s="49"/>
      <c r="C665" s="50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  <c r="AA665" s="108"/>
      <c r="AB665" s="108"/>
      <c r="AC665" s="108"/>
      <c r="AD665" s="108"/>
    </row>
    <row r="666" spans="1:30" ht="13.5" customHeight="1">
      <c r="A666" s="108"/>
      <c r="B666" s="49"/>
      <c r="C666" s="50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  <c r="AA666" s="108"/>
      <c r="AB666" s="108"/>
      <c r="AC666" s="108"/>
      <c r="AD666" s="108"/>
    </row>
    <row r="667" spans="1:30" ht="13.5" customHeight="1">
      <c r="A667" s="108"/>
      <c r="B667" s="49"/>
      <c r="C667" s="50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  <c r="AA667" s="108"/>
      <c r="AB667" s="108"/>
      <c r="AC667" s="108"/>
      <c r="AD667" s="108"/>
    </row>
    <row r="668" spans="1:30" ht="13.5" customHeight="1">
      <c r="A668" s="108"/>
      <c r="B668" s="49"/>
      <c r="C668" s="50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  <c r="AB668" s="108"/>
      <c r="AC668" s="108"/>
      <c r="AD668" s="108"/>
    </row>
    <row r="669" spans="1:30" ht="13.5" customHeight="1">
      <c r="A669" s="108"/>
      <c r="B669" s="49"/>
      <c r="C669" s="50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  <c r="AC669" s="108"/>
      <c r="AD669" s="108"/>
    </row>
    <row r="670" spans="1:30" ht="13.5" customHeight="1">
      <c r="A670" s="108"/>
      <c r="B670" s="49"/>
      <c r="C670" s="50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</row>
    <row r="671" spans="1:30" ht="13.5" customHeight="1">
      <c r="A671" s="108"/>
      <c r="B671" s="49"/>
      <c r="C671" s="50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  <c r="AC671" s="108"/>
      <c r="AD671" s="108"/>
    </row>
    <row r="672" spans="1:30" ht="13.5" customHeight="1">
      <c r="A672" s="108"/>
      <c r="B672" s="49"/>
      <c r="C672" s="50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  <c r="AC672" s="108"/>
      <c r="AD672" s="108"/>
    </row>
    <row r="673" spans="1:30" ht="13.5" customHeight="1">
      <c r="A673" s="108"/>
      <c r="B673" s="49"/>
      <c r="C673" s="50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  <c r="AA673" s="108"/>
      <c r="AB673" s="108"/>
      <c r="AC673" s="108"/>
      <c r="AD673" s="108"/>
    </row>
    <row r="674" spans="1:30" ht="13.5" customHeight="1">
      <c r="A674" s="108"/>
      <c r="B674" s="49"/>
      <c r="C674" s="50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  <c r="AA674" s="108"/>
      <c r="AB674" s="108"/>
      <c r="AC674" s="108"/>
      <c r="AD674" s="108"/>
    </row>
    <row r="675" spans="1:30" ht="13.5" customHeight="1">
      <c r="A675" s="108"/>
      <c r="B675" s="49"/>
      <c r="C675" s="50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  <c r="AA675" s="108"/>
      <c r="AB675" s="108"/>
      <c r="AC675" s="108"/>
      <c r="AD675" s="108"/>
    </row>
    <row r="676" spans="1:30" ht="13.5" customHeight="1">
      <c r="A676" s="108"/>
      <c r="B676" s="49"/>
      <c r="C676" s="50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  <c r="AA676" s="108"/>
      <c r="AB676" s="108"/>
      <c r="AC676" s="108"/>
      <c r="AD676" s="108"/>
    </row>
    <row r="677" spans="1:30" ht="13.5" customHeight="1">
      <c r="A677" s="108"/>
      <c r="B677" s="49"/>
      <c r="C677" s="50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  <c r="AB677" s="108"/>
      <c r="AC677" s="108"/>
      <c r="AD677" s="108"/>
    </row>
    <row r="678" spans="1:30" ht="13.5" customHeight="1">
      <c r="A678" s="108"/>
      <c r="B678" s="49"/>
      <c r="C678" s="50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  <c r="AA678" s="108"/>
      <c r="AB678" s="108"/>
      <c r="AC678" s="108"/>
      <c r="AD678" s="108"/>
    </row>
    <row r="679" spans="1:30" ht="13.5" customHeight="1">
      <c r="A679" s="108"/>
      <c r="B679" s="49"/>
      <c r="C679" s="50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  <c r="AA679" s="108"/>
      <c r="AB679" s="108"/>
      <c r="AC679" s="108"/>
      <c r="AD679" s="108"/>
    </row>
    <row r="680" spans="1:30" ht="13.5" customHeight="1">
      <c r="A680" s="108"/>
      <c r="B680" s="49"/>
      <c r="C680" s="50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  <c r="AA680" s="108"/>
      <c r="AB680" s="108"/>
      <c r="AC680" s="108"/>
      <c r="AD680" s="108"/>
    </row>
    <row r="681" spans="1:30" ht="13.5" customHeight="1">
      <c r="A681" s="108"/>
      <c r="B681" s="49"/>
      <c r="C681" s="50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  <c r="AA681" s="108"/>
      <c r="AB681" s="108"/>
      <c r="AC681" s="108"/>
      <c r="AD681" s="108"/>
    </row>
    <row r="682" spans="1:30" ht="13.5" customHeight="1">
      <c r="A682" s="108"/>
      <c r="B682" s="49"/>
      <c r="C682" s="50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  <c r="AA682" s="108"/>
      <c r="AB682" s="108"/>
      <c r="AC682" s="108"/>
      <c r="AD682" s="108"/>
    </row>
    <row r="683" spans="1:30" ht="13.5" customHeight="1">
      <c r="A683" s="108"/>
      <c r="B683" s="49"/>
      <c r="C683" s="50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  <c r="AA683" s="108"/>
      <c r="AB683" s="108"/>
      <c r="AC683" s="108"/>
      <c r="AD683" s="108"/>
    </row>
    <row r="684" spans="1:30" ht="13.5" customHeight="1">
      <c r="A684" s="108"/>
      <c r="B684" s="49"/>
      <c r="C684" s="50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  <c r="AA684" s="108"/>
      <c r="AB684" s="108"/>
      <c r="AC684" s="108"/>
      <c r="AD684" s="108"/>
    </row>
    <row r="685" spans="1:30" ht="13.5" customHeight="1">
      <c r="A685" s="108"/>
      <c r="B685" s="49"/>
      <c r="C685" s="50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  <c r="AA685" s="108"/>
      <c r="AB685" s="108"/>
      <c r="AC685" s="108"/>
      <c r="AD685" s="108"/>
    </row>
    <row r="686" spans="1:30" ht="13.5" customHeight="1">
      <c r="A686" s="108"/>
      <c r="B686" s="49"/>
      <c r="C686" s="50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  <c r="AA686" s="108"/>
      <c r="AB686" s="108"/>
      <c r="AC686" s="108"/>
      <c r="AD686" s="108"/>
    </row>
    <row r="687" spans="1:30" ht="13.5" customHeight="1">
      <c r="A687" s="108"/>
      <c r="B687" s="49"/>
      <c r="C687" s="50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  <c r="AA687" s="108"/>
      <c r="AB687" s="108"/>
      <c r="AC687" s="108"/>
      <c r="AD687" s="108"/>
    </row>
    <row r="688" spans="1:30" ht="13.5" customHeight="1">
      <c r="A688" s="108"/>
      <c r="B688" s="49"/>
      <c r="C688" s="50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  <c r="AA688" s="108"/>
      <c r="AB688" s="108"/>
      <c r="AC688" s="108"/>
      <c r="AD688" s="108"/>
    </row>
    <row r="689" spans="1:30" ht="13.5" customHeight="1">
      <c r="A689" s="108"/>
      <c r="B689" s="49"/>
      <c r="C689" s="50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  <c r="AB689" s="108"/>
      <c r="AC689" s="108"/>
      <c r="AD689" s="108"/>
    </row>
    <row r="690" spans="1:30" ht="13.5" customHeight="1">
      <c r="A690" s="108"/>
      <c r="B690" s="49"/>
      <c r="C690" s="50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  <c r="AA690" s="108"/>
      <c r="AB690" s="108"/>
      <c r="AC690" s="108"/>
      <c r="AD690" s="108"/>
    </row>
    <row r="691" spans="1:30" ht="13.5" customHeight="1">
      <c r="A691" s="108"/>
      <c r="B691" s="49"/>
      <c r="C691" s="50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  <c r="AA691" s="108"/>
      <c r="AB691" s="108"/>
      <c r="AC691" s="108"/>
      <c r="AD691" s="108"/>
    </row>
    <row r="692" spans="1:30" ht="13.5" customHeight="1">
      <c r="A692" s="108"/>
      <c r="B692" s="49"/>
      <c r="C692" s="50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  <c r="AC692" s="108"/>
      <c r="AD692" s="108"/>
    </row>
    <row r="693" spans="1:30" ht="13.5" customHeight="1">
      <c r="A693" s="108"/>
      <c r="B693" s="49"/>
      <c r="C693" s="50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  <c r="AA693" s="108"/>
      <c r="AB693" s="108"/>
      <c r="AC693" s="108"/>
      <c r="AD693" s="108"/>
    </row>
    <row r="694" spans="1:30" ht="13.5" customHeight="1">
      <c r="A694" s="108"/>
      <c r="B694" s="49"/>
      <c r="C694" s="50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  <c r="AA694" s="108"/>
      <c r="AB694" s="108"/>
      <c r="AC694" s="108"/>
      <c r="AD694" s="108"/>
    </row>
    <row r="695" spans="1:30" ht="13.5" customHeight="1">
      <c r="A695" s="108"/>
      <c r="B695" s="49"/>
      <c r="C695" s="50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  <c r="AA695" s="108"/>
      <c r="AB695" s="108"/>
      <c r="AC695" s="108"/>
      <c r="AD695" s="108"/>
    </row>
    <row r="696" spans="1:30" ht="13.5" customHeight="1">
      <c r="A696" s="108"/>
      <c r="B696" s="49"/>
      <c r="C696" s="50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  <c r="AA696" s="108"/>
      <c r="AB696" s="108"/>
      <c r="AC696" s="108"/>
      <c r="AD696" s="108"/>
    </row>
    <row r="697" spans="1:30" ht="13.5" customHeight="1">
      <c r="A697" s="108"/>
      <c r="B697" s="49"/>
      <c r="C697" s="50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  <c r="AA697" s="108"/>
      <c r="AB697" s="108"/>
      <c r="AC697" s="108"/>
      <c r="AD697" s="108"/>
    </row>
    <row r="698" spans="1:30" ht="13.5" customHeight="1">
      <c r="A698" s="108"/>
      <c r="B698" s="49"/>
      <c r="C698" s="50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  <c r="AA698" s="108"/>
      <c r="AB698" s="108"/>
      <c r="AC698" s="108"/>
      <c r="AD698" s="108"/>
    </row>
    <row r="699" spans="1:30" ht="13.5" customHeight="1">
      <c r="A699" s="108"/>
      <c r="B699" s="49"/>
      <c r="C699" s="50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  <c r="AA699" s="108"/>
      <c r="AB699" s="108"/>
      <c r="AC699" s="108"/>
      <c r="AD699" s="108"/>
    </row>
    <row r="700" spans="1:30" ht="13.5" customHeight="1">
      <c r="A700" s="108"/>
      <c r="B700" s="49"/>
      <c r="C700" s="50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  <c r="AA700" s="108"/>
      <c r="AB700" s="108"/>
      <c r="AC700" s="108"/>
      <c r="AD700" s="108"/>
    </row>
    <row r="701" spans="1:30" ht="13.5" customHeight="1">
      <c r="A701" s="108"/>
      <c r="B701" s="49"/>
      <c r="C701" s="50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  <c r="AA701" s="108"/>
      <c r="AB701" s="108"/>
      <c r="AC701" s="108"/>
      <c r="AD701" s="108"/>
    </row>
    <row r="702" spans="1:30" ht="13.5" customHeight="1">
      <c r="A702" s="108"/>
      <c r="B702" s="49"/>
      <c r="C702" s="50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  <c r="AA702" s="108"/>
      <c r="AB702" s="108"/>
      <c r="AC702" s="108"/>
      <c r="AD702" s="108"/>
    </row>
    <row r="703" spans="1:30" ht="13.5" customHeight="1">
      <c r="A703" s="108"/>
      <c r="B703" s="49"/>
      <c r="C703" s="50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  <c r="AA703" s="108"/>
      <c r="AB703" s="108"/>
      <c r="AC703" s="108"/>
      <c r="AD703" s="108"/>
    </row>
    <row r="704" spans="1:30" ht="13.5" customHeight="1">
      <c r="A704" s="108"/>
      <c r="B704" s="49"/>
      <c r="C704" s="50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  <c r="AA704" s="108"/>
      <c r="AB704" s="108"/>
      <c r="AC704" s="108"/>
      <c r="AD704" s="108"/>
    </row>
    <row r="705" spans="1:30" ht="13.5" customHeight="1">
      <c r="A705" s="108"/>
      <c r="B705" s="49"/>
      <c r="C705" s="50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  <c r="AA705" s="108"/>
      <c r="AB705" s="108"/>
      <c r="AC705" s="108"/>
      <c r="AD705" s="108"/>
    </row>
    <row r="706" spans="1:30" ht="13.5" customHeight="1">
      <c r="A706" s="108"/>
      <c r="B706" s="49"/>
      <c r="C706" s="50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  <c r="AA706" s="108"/>
      <c r="AB706" s="108"/>
      <c r="AC706" s="108"/>
      <c r="AD706" s="108"/>
    </row>
    <row r="707" spans="1:30" ht="13.5" customHeight="1">
      <c r="A707" s="108"/>
      <c r="B707" s="49"/>
      <c r="C707" s="50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  <c r="AA707" s="108"/>
      <c r="AB707" s="108"/>
      <c r="AC707" s="108"/>
      <c r="AD707" s="108"/>
    </row>
    <row r="708" spans="1:30" ht="13.5" customHeight="1">
      <c r="A708" s="108"/>
      <c r="B708" s="49"/>
      <c r="C708" s="50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  <c r="AA708" s="108"/>
      <c r="AB708" s="108"/>
      <c r="AC708" s="108"/>
      <c r="AD708" s="108"/>
    </row>
    <row r="709" spans="1:30" ht="13.5" customHeight="1">
      <c r="A709" s="108"/>
      <c r="B709" s="49"/>
      <c r="C709" s="50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  <c r="AA709" s="108"/>
      <c r="AB709" s="108"/>
      <c r="AC709" s="108"/>
      <c r="AD709" s="108"/>
    </row>
    <row r="710" spans="1:30" ht="13.5" customHeight="1">
      <c r="A710" s="108"/>
      <c r="B710" s="49"/>
      <c r="C710" s="50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  <c r="AA710" s="108"/>
      <c r="AB710" s="108"/>
      <c r="AC710" s="108"/>
      <c r="AD710" s="108"/>
    </row>
    <row r="711" spans="1:30" ht="13.5" customHeight="1">
      <c r="A711" s="108"/>
      <c r="B711" s="49"/>
      <c r="C711" s="50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  <c r="AA711" s="108"/>
      <c r="AB711" s="108"/>
      <c r="AC711" s="108"/>
      <c r="AD711" s="108"/>
    </row>
    <row r="712" spans="1:30" ht="13.5" customHeight="1">
      <c r="A712" s="108"/>
      <c r="B712" s="49"/>
      <c r="C712" s="50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  <c r="AA712" s="108"/>
      <c r="AB712" s="108"/>
      <c r="AC712" s="108"/>
      <c r="AD712" s="108"/>
    </row>
    <row r="713" spans="1:30" ht="13.5" customHeight="1">
      <c r="A713" s="108"/>
      <c r="B713" s="49"/>
      <c r="C713" s="50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  <c r="AA713" s="108"/>
      <c r="AB713" s="108"/>
      <c r="AC713" s="108"/>
      <c r="AD713" s="108"/>
    </row>
    <row r="714" spans="1:30" ht="13.5" customHeight="1">
      <c r="A714" s="108"/>
      <c r="B714" s="49"/>
      <c r="C714" s="50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  <c r="AA714" s="108"/>
      <c r="AB714" s="108"/>
      <c r="AC714" s="108"/>
      <c r="AD714" s="108"/>
    </row>
    <row r="715" spans="1:30" ht="13.5" customHeight="1">
      <c r="A715" s="108"/>
      <c r="B715" s="49"/>
      <c r="C715" s="50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  <c r="AA715" s="108"/>
      <c r="AB715" s="108"/>
      <c r="AC715" s="108"/>
      <c r="AD715" s="108"/>
    </row>
    <row r="716" spans="1:30" ht="13.5" customHeight="1">
      <c r="A716" s="108"/>
      <c r="B716" s="49"/>
      <c r="C716" s="50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  <c r="AA716" s="108"/>
      <c r="AB716" s="108"/>
      <c r="AC716" s="108"/>
      <c r="AD716" s="108"/>
    </row>
    <row r="717" spans="1:30" ht="13.5" customHeight="1">
      <c r="A717" s="108"/>
      <c r="B717" s="49"/>
      <c r="C717" s="50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  <c r="AA717" s="108"/>
      <c r="AB717" s="108"/>
      <c r="AC717" s="108"/>
      <c r="AD717" s="108"/>
    </row>
    <row r="718" spans="1:30" ht="13.5" customHeight="1">
      <c r="A718" s="108"/>
      <c r="B718" s="49"/>
      <c r="C718" s="50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  <c r="AA718" s="108"/>
      <c r="AB718" s="108"/>
      <c r="AC718" s="108"/>
      <c r="AD718" s="108"/>
    </row>
    <row r="719" spans="1:30" ht="13.5" customHeight="1">
      <c r="A719" s="108"/>
      <c r="B719" s="49"/>
      <c r="C719" s="50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  <c r="AA719" s="108"/>
      <c r="AB719" s="108"/>
      <c r="AC719" s="108"/>
      <c r="AD719" s="108"/>
    </row>
    <row r="720" spans="1:30" ht="13.5" customHeight="1">
      <c r="A720" s="108"/>
      <c r="B720" s="49"/>
      <c r="C720" s="50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  <c r="AA720" s="108"/>
      <c r="AB720" s="108"/>
      <c r="AC720" s="108"/>
      <c r="AD720" s="108"/>
    </row>
    <row r="721" spans="1:30" ht="13.5" customHeight="1">
      <c r="A721" s="108"/>
      <c r="B721" s="49"/>
      <c r="C721" s="50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  <c r="AA721" s="108"/>
      <c r="AB721" s="108"/>
      <c r="AC721" s="108"/>
      <c r="AD721" s="108"/>
    </row>
    <row r="722" spans="1:30" ht="13.5" customHeight="1">
      <c r="A722" s="108"/>
      <c r="B722" s="49"/>
      <c r="C722" s="50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  <c r="AA722" s="108"/>
      <c r="AB722" s="108"/>
      <c r="AC722" s="108"/>
      <c r="AD722" s="108"/>
    </row>
    <row r="723" spans="1:30" ht="13.5" customHeight="1">
      <c r="A723" s="108"/>
      <c r="B723" s="49"/>
      <c r="C723" s="50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  <c r="AC723" s="108"/>
      <c r="AD723" s="108"/>
    </row>
    <row r="724" spans="1:30" ht="13.5" customHeight="1">
      <c r="A724" s="108"/>
      <c r="B724" s="49"/>
      <c r="C724" s="50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  <c r="AA724" s="108"/>
      <c r="AB724" s="108"/>
      <c r="AC724" s="108"/>
      <c r="AD724" s="108"/>
    </row>
    <row r="725" spans="1:30" ht="13.5" customHeight="1">
      <c r="A725" s="108"/>
      <c r="B725" s="49"/>
      <c r="C725" s="50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  <c r="AA725" s="108"/>
      <c r="AB725" s="108"/>
      <c r="AC725" s="108"/>
      <c r="AD725" s="108"/>
    </row>
    <row r="726" spans="1:30" ht="13.5" customHeight="1">
      <c r="A726" s="108"/>
      <c r="B726" s="49"/>
      <c r="C726" s="50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  <c r="AA726" s="108"/>
      <c r="AB726" s="108"/>
      <c r="AC726" s="108"/>
      <c r="AD726" s="108"/>
    </row>
    <row r="727" spans="1:30" ht="13.5" customHeight="1">
      <c r="A727" s="108"/>
      <c r="B727" s="49"/>
      <c r="C727" s="50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  <c r="AA727" s="108"/>
      <c r="AB727" s="108"/>
      <c r="AC727" s="108"/>
      <c r="AD727" s="108"/>
    </row>
    <row r="728" spans="1:30" ht="13.5" customHeight="1">
      <c r="A728" s="108"/>
      <c r="B728" s="49"/>
      <c r="C728" s="50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  <c r="AC728" s="108"/>
      <c r="AD728" s="108"/>
    </row>
    <row r="729" spans="1:30" ht="13.5" customHeight="1">
      <c r="A729" s="108"/>
      <c r="B729" s="49"/>
      <c r="C729" s="50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  <c r="AA729" s="108"/>
      <c r="AB729" s="108"/>
      <c r="AC729" s="108"/>
      <c r="AD729" s="108"/>
    </row>
    <row r="730" spans="1:30" ht="13.5" customHeight="1">
      <c r="A730" s="108"/>
      <c r="B730" s="49"/>
      <c r="C730" s="50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  <c r="AA730" s="108"/>
      <c r="AB730" s="108"/>
      <c r="AC730" s="108"/>
      <c r="AD730" s="108"/>
    </row>
    <row r="731" spans="1:30" ht="13.5" customHeight="1">
      <c r="A731" s="108"/>
      <c r="B731" s="49"/>
      <c r="C731" s="50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  <c r="AA731" s="108"/>
      <c r="AB731" s="108"/>
      <c r="AC731" s="108"/>
      <c r="AD731" s="108"/>
    </row>
    <row r="732" spans="1:30" ht="13.5" customHeight="1">
      <c r="A732" s="108"/>
      <c r="B732" s="49"/>
      <c r="C732" s="50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  <c r="AA732" s="108"/>
      <c r="AB732" s="108"/>
      <c r="AC732" s="108"/>
      <c r="AD732" s="108"/>
    </row>
    <row r="733" spans="1:30" ht="13.5" customHeight="1">
      <c r="A733" s="108"/>
      <c r="B733" s="49"/>
      <c r="C733" s="50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  <c r="AA733" s="108"/>
      <c r="AB733" s="108"/>
      <c r="AC733" s="108"/>
      <c r="AD733" s="108"/>
    </row>
    <row r="734" spans="1:30" ht="13.5" customHeight="1">
      <c r="A734" s="108"/>
      <c r="B734" s="49"/>
      <c r="C734" s="50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</row>
    <row r="735" spans="1:30" ht="13.5" customHeight="1">
      <c r="A735" s="108"/>
      <c r="B735" s="49"/>
      <c r="C735" s="50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  <c r="AA735" s="108"/>
      <c r="AB735" s="108"/>
      <c r="AC735" s="108"/>
      <c r="AD735" s="108"/>
    </row>
    <row r="736" spans="1:30" ht="13.5" customHeight="1">
      <c r="A736" s="108"/>
      <c r="B736" s="49"/>
      <c r="C736" s="50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  <c r="AA736" s="108"/>
      <c r="AB736" s="108"/>
      <c r="AC736" s="108"/>
      <c r="AD736" s="108"/>
    </row>
    <row r="737" spans="1:30" ht="13.5" customHeight="1">
      <c r="A737" s="108"/>
      <c r="B737" s="49"/>
      <c r="C737" s="50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  <c r="AA737" s="108"/>
      <c r="AB737" s="108"/>
      <c r="AC737" s="108"/>
      <c r="AD737" s="108"/>
    </row>
    <row r="738" spans="1:30" ht="13.5" customHeight="1">
      <c r="A738" s="108"/>
      <c r="B738" s="49"/>
      <c r="C738" s="50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  <c r="AA738" s="108"/>
      <c r="AB738" s="108"/>
      <c r="AC738" s="108"/>
      <c r="AD738" s="108"/>
    </row>
    <row r="739" spans="1:30" ht="13.5" customHeight="1">
      <c r="A739" s="108"/>
      <c r="B739" s="49"/>
      <c r="C739" s="50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  <c r="AB739" s="108"/>
      <c r="AC739" s="108"/>
      <c r="AD739" s="108"/>
    </row>
    <row r="740" spans="1:30" ht="13.5" customHeight="1">
      <c r="A740" s="108"/>
      <c r="B740" s="49"/>
      <c r="C740" s="50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  <c r="AA740" s="108"/>
      <c r="AB740" s="108"/>
      <c r="AC740" s="108"/>
      <c r="AD740" s="108"/>
    </row>
    <row r="741" spans="1:30" ht="13.5" customHeight="1">
      <c r="A741" s="108"/>
      <c r="B741" s="49"/>
      <c r="C741" s="50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  <c r="AA741" s="108"/>
      <c r="AB741" s="108"/>
      <c r="AC741" s="108"/>
      <c r="AD741" s="108"/>
    </row>
    <row r="742" spans="1:30" ht="13.5" customHeight="1">
      <c r="A742" s="108"/>
      <c r="B742" s="49"/>
      <c r="C742" s="50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  <c r="AA742" s="108"/>
      <c r="AB742" s="108"/>
      <c r="AC742" s="108"/>
      <c r="AD742" s="108"/>
    </row>
    <row r="743" spans="1:30" ht="13.5" customHeight="1">
      <c r="A743" s="108"/>
      <c r="B743" s="49"/>
      <c r="C743" s="50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  <c r="AA743" s="108"/>
      <c r="AB743" s="108"/>
      <c r="AC743" s="108"/>
      <c r="AD743" s="108"/>
    </row>
    <row r="744" spans="1:30" ht="13.5" customHeight="1">
      <c r="A744" s="108"/>
      <c r="B744" s="49"/>
      <c r="C744" s="50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  <c r="AA744" s="108"/>
      <c r="AB744" s="108"/>
      <c r="AC744" s="108"/>
      <c r="AD744" s="108"/>
    </row>
    <row r="745" spans="1:30" ht="13.5" customHeight="1">
      <c r="A745" s="108"/>
      <c r="B745" s="49"/>
      <c r="C745" s="50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  <c r="AA745" s="108"/>
      <c r="AB745" s="108"/>
      <c r="AC745" s="108"/>
      <c r="AD745" s="108"/>
    </row>
    <row r="746" spans="1:30" ht="13.5" customHeight="1">
      <c r="A746" s="108"/>
      <c r="B746" s="49"/>
      <c r="C746" s="50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  <c r="AA746" s="108"/>
      <c r="AB746" s="108"/>
      <c r="AC746" s="108"/>
      <c r="AD746" s="108"/>
    </row>
    <row r="747" spans="1:30" ht="13.5" customHeight="1">
      <c r="A747" s="108"/>
      <c r="B747" s="49"/>
      <c r="C747" s="50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  <c r="AA747" s="108"/>
      <c r="AB747" s="108"/>
      <c r="AC747" s="108"/>
      <c r="AD747" s="108"/>
    </row>
    <row r="748" spans="1:30" ht="13.5" customHeight="1">
      <c r="A748" s="108"/>
      <c r="B748" s="49"/>
      <c r="C748" s="50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  <c r="AA748" s="108"/>
      <c r="AB748" s="108"/>
      <c r="AC748" s="108"/>
      <c r="AD748" s="108"/>
    </row>
    <row r="749" spans="1:30" ht="13.5" customHeight="1">
      <c r="A749" s="108"/>
      <c r="B749" s="49"/>
      <c r="C749" s="50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  <c r="AA749" s="108"/>
      <c r="AB749" s="108"/>
      <c r="AC749" s="108"/>
      <c r="AD749" s="108"/>
    </row>
    <row r="750" spans="1:30" ht="13.5" customHeight="1">
      <c r="A750" s="108"/>
      <c r="B750" s="49"/>
      <c r="C750" s="50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  <c r="AA750" s="108"/>
      <c r="AB750" s="108"/>
      <c r="AC750" s="108"/>
      <c r="AD750" s="108"/>
    </row>
    <row r="751" spans="1:30" ht="13.5" customHeight="1">
      <c r="A751" s="108"/>
      <c r="B751" s="49"/>
      <c r="C751" s="50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  <c r="AA751" s="108"/>
      <c r="AB751" s="108"/>
      <c r="AC751" s="108"/>
      <c r="AD751" s="108"/>
    </row>
    <row r="752" spans="1:30" ht="13.5" customHeight="1">
      <c r="A752" s="108"/>
      <c r="B752" s="49"/>
      <c r="C752" s="50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  <c r="AA752" s="108"/>
      <c r="AB752" s="108"/>
      <c r="AC752" s="108"/>
      <c r="AD752" s="108"/>
    </row>
    <row r="753" spans="1:30" ht="13.5" customHeight="1">
      <c r="A753" s="108"/>
      <c r="B753" s="49"/>
      <c r="C753" s="50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  <c r="AB753" s="108"/>
      <c r="AC753" s="108"/>
      <c r="AD753" s="108"/>
    </row>
    <row r="754" spans="1:30" ht="13.5" customHeight="1">
      <c r="A754" s="108"/>
      <c r="B754" s="49"/>
      <c r="C754" s="50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  <c r="AA754" s="108"/>
      <c r="AB754" s="108"/>
      <c r="AC754" s="108"/>
      <c r="AD754" s="108"/>
    </row>
    <row r="755" spans="1:30" ht="13.5" customHeight="1">
      <c r="A755" s="108"/>
      <c r="B755" s="49"/>
      <c r="C755" s="50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  <c r="AA755" s="108"/>
      <c r="AB755" s="108"/>
      <c r="AC755" s="108"/>
      <c r="AD755" s="108"/>
    </row>
    <row r="756" spans="1:30" ht="13.5" customHeight="1">
      <c r="A756" s="108"/>
      <c r="B756" s="49"/>
      <c r="C756" s="50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  <c r="AA756" s="108"/>
      <c r="AB756" s="108"/>
      <c r="AC756" s="108"/>
      <c r="AD756" s="108"/>
    </row>
    <row r="757" spans="1:30" ht="13.5" customHeight="1">
      <c r="A757" s="108"/>
      <c r="B757" s="49"/>
      <c r="C757" s="50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  <c r="AA757" s="108"/>
      <c r="AB757" s="108"/>
      <c r="AC757" s="108"/>
      <c r="AD757" s="108"/>
    </row>
    <row r="758" spans="1:30" ht="13.5" customHeight="1">
      <c r="A758" s="108"/>
      <c r="B758" s="49"/>
      <c r="C758" s="50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  <c r="AA758" s="108"/>
      <c r="AB758" s="108"/>
      <c r="AC758" s="108"/>
      <c r="AD758" s="108"/>
    </row>
    <row r="759" spans="1:30" ht="13.5" customHeight="1">
      <c r="A759" s="108"/>
      <c r="B759" s="49"/>
      <c r="C759" s="50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  <c r="AA759" s="108"/>
      <c r="AB759" s="108"/>
      <c r="AC759" s="108"/>
      <c r="AD759" s="108"/>
    </row>
    <row r="760" spans="1:30" ht="13.5" customHeight="1">
      <c r="A760" s="108"/>
      <c r="B760" s="49"/>
      <c r="C760" s="50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  <c r="AA760" s="108"/>
      <c r="AB760" s="108"/>
      <c r="AC760" s="108"/>
      <c r="AD760" s="108"/>
    </row>
    <row r="761" spans="1:30" ht="13.5" customHeight="1">
      <c r="A761" s="108"/>
      <c r="B761" s="49"/>
      <c r="C761" s="50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  <c r="AA761" s="108"/>
      <c r="AB761" s="108"/>
      <c r="AC761" s="108"/>
      <c r="AD761" s="108"/>
    </row>
    <row r="762" spans="1:30" ht="13.5" customHeight="1">
      <c r="A762" s="108"/>
      <c r="B762" s="49"/>
      <c r="C762" s="50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  <c r="AA762" s="108"/>
      <c r="AB762" s="108"/>
      <c r="AC762" s="108"/>
      <c r="AD762" s="108"/>
    </row>
    <row r="763" spans="1:30" ht="13.5" customHeight="1">
      <c r="A763" s="108"/>
      <c r="B763" s="49"/>
      <c r="C763" s="50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  <c r="AA763" s="108"/>
      <c r="AB763" s="108"/>
      <c r="AC763" s="108"/>
      <c r="AD763" s="108"/>
    </row>
    <row r="764" spans="1:30" ht="13.5" customHeight="1">
      <c r="A764" s="108"/>
      <c r="B764" s="49"/>
      <c r="C764" s="50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  <c r="AA764" s="108"/>
      <c r="AB764" s="108"/>
      <c r="AC764" s="108"/>
      <c r="AD764" s="108"/>
    </row>
    <row r="765" spans="1:30" ht="13.5" customHeight="1">
      <c r="A765" s="108"/>
      <c r="B765" s="49"/>
      <c r="C765" s="50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  <c r="AB765" s="108"/>
      <c r="AC765" s="108"/>
      <c r="AD765" s="108"/>
    </row>
    <row r="766" spans="1:30" ht="13.5" customHeight="1">
      <c r="A766" s="108"/>
      <c r="B766" s="49"/>
      <c r="C766" s="50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  <c r="AA766" s="108"/>
      <c r="AB766" s="108"/>
      <c r="AC766" s="108"/>
      <c r="AD766" s="108"/>
    </row>
    <row r="767" spans="1:30" ht="13.5" customHeight="1">
      <c r="A767" s="108"/>
      <c r="B767" s="49"/>
      <c r="C767" s="50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  <c r="AA767" s="108"/>
      <c r="AB767" s="108"/>
      <c r="AC767" s="108"/>
      <c r="AD767" s="108"/>
    </row>
    <row r="768" spans="1:30" ht="13.5" customHeight="1">
      <c r="A768" s="108"/>
      <c r="B768" s="49"/>
      <c r="C768" s="50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  <c r="AA768" s="108"/>
      <c r="AB768" s="108"/>
      <c r="AC768" s="108"/>
      <c r="AD768" s="108"/>
    </row>
    <row r="769" spans="1:30" ht="13.5" customHeight="1">
      <c r="A769" s="108"/>
      <c r="B769" s="49"/>
      <c r="C769" s="50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  <c r="AA769" s="108"/>
      <c r="AB769" s="108"/>
      <c r="AC769" s="108"/>
      <c r="AD769" s="108"/>
    </row>
    <row r="770" spans="1:30" ht="13.5" customHeight="1">
      <c r="A770" s="108"/>
      <c r="B770" s="49"/>
      <c r="C770" s="50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  <c r="AA770" s="108"/>
      <c r="AB770" s="108"/>
      <c r="AC770" s="108"/>
      <c r="AD770" s="108"/>
    </row>
    <row r="771" spans="1:30" ht="13.5" customHeight="1">
      <c r="A771" s="108"/>
      <c r="B771" s="49"/>
      <c r="C771" s="50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  <c r="AA771" s="108"/>
      <c r="AB771" s="108"/>
      <c r="AC771" s="108"/>
      <c r="AD771" s="108"/>
    </row>
    <row r="772" spans="1:30" ht="13.5" customHeight="1">
      <c r="A772" s="108"/>
      <c r="B772" s="49"/>
      <c r="C772" s="50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  <c r="AA772" s="108"/>
      <c r="AB772" s="108"/>
      <c r="AC772" s="108"/>
      <c r="AD772" s="108"/>
    </row>
    <row r="773" spans="1:30" ht="13.5" customHeight="1">
      <c r="A773" s="108"/>
      <c r="B773" s="49"/>
      <c r="C773" s="50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  <c r="AA773" s="108"/>
      <c r="AB773" s="108"/>
      <c r="AC773" s="108"/>
      <c r="AD773" s="108"/>
    </row>
    <row r="774" spans="1:30" ht="13.5" customHeight="1">
      <c r="A774" s="108"/>
      <c r="B774" s="49"/>
      <c r="C774" s="50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  <c r="AA774" s="108"/>
      <c r="AB774" s="108"/>
      <c r="AC774" s="108"/>
      <c r="AD774" s="108"/>
    </row>
    <row r="775" spans="1:30" ht="13.5" customHeight="1">
      <c r="A775" s="108"/>
      <c r="B775" s="49"/>
      <c r="C775" s="50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  <c r="AA775" s="108"/>
      <c r="AB775" s="108"/>
      <c r="AC775" s="108"/>
      <c r="AD775" s="108"/>
    </row>
    <row r="776" spans="1:30" ht="13.5" customHeight="1">
      <c r="A776" s="108"/>
      <c r="B776" s="49"/>
      <c r="C776" s="50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  <c r="AA776" s="108"/>
      <c r="AB776" s="108"/>
      <c r="AC776" s="108"/>
      <c r="AD776" s="108"/>
    </row>
    <row r="777" spans="1:30" ht="13.5" customHeight="1">
      <c r="A777" s="108"/>
      <c r="B777" s="49"/>
      <c r="C777" s="50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  <c r="AA777" s="108"/>
      <c r="AB777" s="108"/>
      <c r="AC777" s="108"/>
      <c r="AD777" s="108"/>
    </row>
    <row r="778" spans="1:30" ht="13.5" customHeight="1">
      <c r="A778" s="108"/>
      <c r="B778" s="49"/>
      <c r="C778" s="50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  <c r="AA778" s="108"/>
      <c r="AB778" s="108"/>
      <c r="AC778" s="108"/>
      <c r="AD778" s="108"/>
    </row>
    <row r="779" spans="1:30" ht="13.5" customHeight="1">
      <c r="A779" s="108"/>
      <c r="B779" s="49"/>
      <c r="C779" s="50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  <c r="AA779" s="108"/>
      <c r="AB779" s="108"/>
      <c r="AC779" s="108"/>
      <c r="AD779" s="108"/>
    </row>
    <row r="780" spans="1:30" ht="13.5" customHeight="1">
      <c r="A780" s="108"/>
      <c r="B780" s="49"/>
      <c r="C780" s="50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  <c r="AA780" s="108"/>
      <c r="AB780" s="108"/>
      <c r="AC780" s="108"/>
      <c r="AD780" s="108"/>
    </row>
    <row r="781" spans="1:30" ht="13.5" customHeight="1">
      <c r="A781" s="108"/>
      <c r="B781" s="49"/>
      <c r="C781" s="50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  <c r="AA781" s="108"/>
      <c r="AB781" s="108"/>
      <c r="AC781" s="108"/>
      <c r="AD781" s="108"/>
    </row>
    <row r="782" spans="1:30" ht="13.5" customHeight="1">
      <c r="A782" s="108"/>
      <c r="B782" s="49"/>
      <c r="C782" s="50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  <c r="AA782" s="108"/>
      <c r="AB782" s="108"/>
      <c r="AC782" s="108"/>
      <c r="AD782" s="108"/>
    </row>
    <row r="783" spans="1:30" ht="13.5" customHeight="1">
      <c r="A783" s="108"/>
      <c r="B783" s="49"/>
      <c r="C783" s="50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  <c r="AA783" s="108"/>
      <c r="AB783" s="108"/>
      <c r="AC783" s="108"/>
      <c r="AD783" s="108"/>
    </row>
    <row r="784" spans="1:30" ht="13.5" customHeight="1">
      <c r="A784" s="108"/>
      <c r="B784" s="49"/>
      <c r="C784" s="50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  <c r="AA784" s="108"/>
      <c r="AB784" s="108"/>
      <c r="AC784" s="108"/>
      <c r="AD784" s="108"/>
    </row>
    <row r="785" spans="1:30" ht="13.5" customHeight="1">
      <c r="A785" s="108"/>
      <c r="B785" s="49"/>
      <c r="C785" s="50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  <c r="AA785" s="108"/>
      <c r="AB785" s="108"/>
      <c r="AC785" s="108"/>
      <c r="AD785" s="108"/>
    </row>
    <row r="786" spans="1:30" ht="13.5" customHeight="1">
      <c r="A786" s="108"/>
      <c r="B786" s="49"/>
      <c r="C786" s="50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  <c r="AB786" s="108"/>
      <c r="AC786" s="108"/>
      <c r="AD786" s="108"/>
    </row>
    <row r="787" spans="1:30" ht="13.5" customHeight="1">
      <c r="A787" s="108"/>
      <c r="B787" s="49"/>
      <c r="C787" s="50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  <c r="AA787" s="108"/>
      <c r="AB787" s="108"/>
      <c r="AC787" s="108"/>
      <c r="AD787" s="108"/>
    </row>
    <row r="788" spans="1:30" ht="13.5" customHeight="1">
      <c r="A788" s="108"/>
      <c r="B788" s="49"/>
      <c r="C788" s="50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  <c r="AA788" s="108"/>
      <c r="AB788" s="108"/>
      <c r="AC788" s="108"/>
      <c r="AD788" s="108"/>
    </row>
    <row r="789" spans="1:30" ht="13.5" customHeight="1">
      <c r="A789" s="108"/>
      <c r="B789" s="49"/>
      <c r="C789" s="50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  <c r="AA789" s="108"/>
      <c r="AB789" s="108"/>
      <c r="AC789" s="108"/>
      <c r="AD789" s="108"/>
    </row>
    <row r="790" spans="1:30" ht="13.5" customHeight="1">
      <c r="A790" s="108"/>
      <c r="B790" s="49"/>
      <c r="C790" s="50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  <c r="AA790" s="108"/>
      <c r="AB790" s="108"/>
      <c r="AC790" s="108"/>
      <c r="AD790" s="108"/>
    </row>
    <row r="791" spans="1:30" ht="13.5" customHeight="1">
      <c r="A791" s="108"/>
      <c r="B791" s="49"/>
      <c r="C791" s="50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  <c r="AA791" s="108"/>
      <c r="AB791" s="108"/>
      <c r="AC791" s="108"/>
      <c r="AD791" s="108"/>
    </row>
    <row r="792" spans="1:30" ht="13.5" customHeight="1">
      <c r="A792" s="108"/>
      <c r="B792" s="49"/>
      <c r="C792" s="50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  <c r="AA792" s="108"/>
      <c r="AB792" s="108"/>
      <c r="AC792" s="108"/>
      <c r="AD792" s="108"/>
    </row>
    <row r="793" spans="1:30" ht="13.5" customHeight="1">
      <c r="A793" s="108"/>
      <c r="B793" s="49"/>
      <c r="C793" s="50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  <c r="AA793" s="108"/>
      <c r="AB793" s="108"/>
      <c r="AC793" s="108"/>
      <c r="AD793" s="108"/>
    </row>
    <row r="794" spans="1:30" ht="13.5" customHeight="1">
      <c r="A794" s="108"/>
      <c r="B794" s="49"/>
      <c r="C794" s="50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  <c r="AA794" s="108"/>
      <c r="AB794" s="108"/>
      <c r="AC794" s="108"/>
      <c r="AD794" s="108"/>
    </row>
    <row r="795" spans="1:30" ht="13.5" customHeight="1">
      <c r="A795" s="108"/>
      <c r="B795" s="49"/>
      <c r="C795" s="50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  <c r="AA795" s="108"/>
      <c r="AB795" s="108"/>
      <c r="AC795" s="108"/>
      <c r="AD795" s="108"/>
    </row>
    <row r="796" spans="1:30" ht="13.5" customHeight="1">
      <c r="A796" s="108"/>
      <c r="B796" s="49"/>
      <c r="C796" s="50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  <c r="AA796" s="108"/>
      <c r="AB796" s="108"/>
      <c r="AC796" s="108"/>
      <c r="AD796" s="108"/>
    </row>
    <row r="797" spans="1:30" ht="13.5" customHeight="1">
      <c r="A797" s="108"/>
      <c r="B797" s="49"/>
      <c r="C797" s="50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  <c r="AA797" s="108"/>
      <c r="AB797" s="108"/>
      <c r="AC797" s="108"/>
      <c r="AD797" s="108"/>
    </row>
    <row r="798" spans="1:30" ht="13.5" customHeight="1">
      <c r="A798" s="108"/>
      <c r="B798" s="49"/>
      <c r="C798" s="50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  <c r="AA798" s="108"/>
      <c r="AB798" s="108"/>
      <c r="AC798" s="108"/>
      <c r="AD798" s="108"/>
    </row>
    <row r="799" spans="1:30" ht="13.5" customHeight="1">
      <c r="A799" s="108"/>
      <c r="B799" s="49"/>
      <c r="C799" s="50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  <c r="AA799" s="108"/>
      <c r="AB799" s="108"/>
      <c r="AC799" s="108"/>
      <c r="AD799" s="108"/>
    </row>
    <row r="800" spans="1:30" ht="13.5" customHeight="1">
      <c r="A800" s="108"/>
      <c r="B800" s="49"/>
      <c r="C800" s="50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  <c r="AA800" s="108"/>
      <c r="AB800" s="108"/>
      <c r="AC800" s="108"/>
      <c r="AD800" s="108"/>
    </row>
    <row r="801" spans="1:30" ht="13.5" customHeight="1">
      <c r="A801" s="108"/>
      <c r="B801" s="49"/>
      <c r="C801" s="50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  <c r="AA801" s="108"/>
      <c r="AB801" s="108"/>
      <c r="AC801" s="108"/>
      <c r="AD801" s="108"/>
    </row>
    <row r="802" spans="1:30" ht="13.5" customHeight="1">
      <c r="A802" s="108"/>
      <c r="B802" s="49"/>
      <c r="C802" s="50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  <c r="AA802" s="108"/>
      <c r="AB802" s="108"/>
      <c r="AC802" s="108"/>
      <c r="AD802" s="108"/>
    </row>
    <row r="803" spans="1:30" ht="13.5" customHeight="1">
      <c r="A803" s="108"/>
      <c r="B803" s="49"/>
      <c r="C803" s="50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  <c r="AA803" s="108"/>
      <c r="AB803" s="108"/>
      <c r="AC803" s="108"/>
      <c r="AD803" s="108"/>
    </row>
    <row r="804" spans="1:30" ht="13.5" customHeight="1">
      <c r="A804" s="108"/>
      <c r="B804" s="49"/>
      <c r="C804" s="50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  <c r="AA804" s="108"/>
      <c r="AB804" s="108"/>
      <c r="AC804" s="108"/>
      <c r="AD804" s="108"/>
    </row>
    <row r="805" spans="1:30" ht="13.5" customHeight="1">
      <c r="A805" s="108"/>
      <c r="B805" s="49"/>
      <c r="C805" s="50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  <c r="AA805" s="108"/>
      <c r="AB805" s="108"/>
      <c r="AC805" s="108"/>
      <c r="AD805" s="108"/>
    </row>
    <row r="806" spans="1:30" ht="13.5" customHeight="1">
      <c r="A806" s="108"/>
      <c r="B806" s="49"/>
      <c r="C806" s="50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  <c r="AA806" s="108"/>
      <c r="AB806" s="108"/>
      <c r="AC806" s="108"/>
      <c r="AD806" s="108"/>
    </row>
    <row r="807" spans="1:30" ht="13.5" customHeight="1">
      <c r="A807" s="108"/>
      <c r="B807" s="49"/>
      <c r="C807" s="50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  <c r="AA807" s="108"/>
      <c r="AB807" s="108"/>
      <c r="AC807" s="108"/>
      <c r="AD807" s="108"/>
    </row>
    <row r="808" spans="1:30" ht="13.5" customHeight="1">
      <c r="A808" s="108"/>
      <c r="B808" s="49"/>
      <c r="C808" s="50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  <c r="AA808" s="108"/>
      <c r="AB808" s="108"/>
      <c r="AC808" s="108"/>
      <c r="AD808" s="108"/>
    </row>
    <row r="809" spans="1:30" ht="13.5" customHeight="1">
      <c r="A809" s="108"/>
      <c r="B809" s="49"/>
      <c r="C809" s="50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  <c r="AA809" s="108"/>
      <c r="AB809" s="108"/>
      <c r="AC809" s="108"/>
      <c r="AD809" s="108"/>
    </row>
    <row r="810" spans="1:30" ht="13.5" customHeight="1">
      <c r="A810" s="108"/>
      <c r="B810" s="49"/>
      <c r="C810" s="50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  <c r="AA810" s="108"/>
      <c r="AB810" s="108"/>
      <c r="AC810" s="108"/>
      <c r="AD810" s="108"/>
    </row>
    <row r="811" spans="1:30" ht="13.5" customHeight="1">
      <c r="A811" s="108"/>
      <c r="B811" s="49"/>
      <c r="C811" s="50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  <c r="AA811" s="108"/>
      <c r="AB811" s="108"/>
      <c r="AC811" s="108"/>
      <c r="AD811" s="108"/>
    </row>
    <row r="812" spans="1:30" ht="13.5" customHeight="1">
      <c r="A812" s="108"/>
      <c r="B812" s="49"/>
      <c r="C812" s="50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  <c r="AA812" s="108"/>
      <c r="AB812" s="108"/>
      <c r="AC812" s="108"/>
      <c r="AD812" s="108"/>
    </row>
    <row r="813" spans="1:30" ht="13.5" customHeight="1">
      <c r="A813" s="108"/>
      <c r="B813" s="49"/>
      <c r="C813" s="50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  <c r="AA813" s="108"/>
      <c r="AB813" s="108"/>
      <c r="AC813" s="108"/>
      <c r="AD813" s="108"/>
    </row>
    <row r="814" spans="1:30" ht="13.5" customHeight="1">
      <c r="A814" s="108"/>
      <c r="B814" s="49"/>
      <c r="C814" s="50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  <c r="AA814" s="108"/>
      <c r="AB814" s="108"/>
      <c r="AC814" s="108"/>
      <c r="AD814" s="108"/>
    </row>
    <row r="815" spans="1:30" ht="13.5" customHeight="1">
      <c r="A815" s="108"/>
      <c r="B815" s="49"/>
      <c r="C815" s="50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  <c r="AA815" s="108"/>
      <c r="AB815" s="108"/>
      <c r="AC815" s="108"/>
      <c r="AD815" s="108"/>
    </row>
    <row r="816" spans="1:30" ht="13.5" customHeight="1">
      <c r="A816" s="108"/>
      <c r="B816" s="49"/>
      <c r="C816" s="50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  <c r="AA816" s="108"/>
      <c r="AB816" s="108"/>
      <c r="AC816" s="108"/>
      <c r="AD816" s="108"/>
    </row>
    <row r="817" spans="1:30" ht="13.5" customHeight="1">
      <c r="A817" s="108"/>
      <c r="B817" s="49"/>
      <c r="C817" s="50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  <c r="AA817" s="108"/>
      <c r="AB817" s="108"/>
      <c r="AC817" s="108"/>
      <c r="AD817" s="108"/>
    </row>
    <row r="818" spans="1:30" ht="13.5" customHeight="1">
      <c r="A818" s="108"/>
      <c r="B818" s="49"/>
      <c r="C818" s="50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  <c r="AA818" s="108"/>
      <c r="AB818" s="108"/>
      <c r="AC818" s="108"/>
      <c r="AD818" s="108"/>
    </row>
    <row r="819" spans="1:30" ht="13.5" customHeight="1">
      <c r="A819" s="108"/>
      <c r="B819" s="49"/>
      <c r="C819" s="50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  <c r="AA819" s="108"/>
      <c r="AB819" s="108"/>
      <c r="AC819" s="108"/>
      <c r="AD819" s="108"/>
    </row>
    <row r="820" spans="1:30" ht="13.5" customHeight="1">
      <c r="A820" s="108"/>
      <c r="B820" s="49"/>
      <c r="C820" s="50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  <c r="AA820" s="108"/>
      <c r="AB820" s="108"/>
      <c r="AC820" s="108"/>
      <c r="AD820" s="108"/>
    </row>
    <row r="821" spans="1:30" ht="13.5" customHeight="1">
      <c r="A821" s="108"/>
      <c r="B821" s="49"/>
      <c r="C821" s="50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  <c r="AA821" s="108"/>
      <c r="AB821" s="108"/>
      <c r="AC821" s="108"/>
      <c r="AD821" s="108"/>
    </row>
    <row r="822" spans="1:30" ht="13.5" customHeight="1">
      <c r="A822" s="108"/>
      <c r="B822" s="49"/>
      <c r="C822" s="50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  <c r="AA822" s="108"/>
      <c r="AB822" s="108"/>
      <c r="AC822" s="108"/>
      <c r="AD822" s="108"/>
    </row>
    <row r="823" spans="1:30" ht="13.5" customHeight="1">
      <c r="A823" s="108"/>
      <c r="B823" s="49"/>
      <c r="C823" s="50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  <c r="AA823" s="108"/>
      <c r="AB823" s="108"/>
      <c r="AC823" s="108"/>
      <c r="AD823" s="108"/>
    </row>
    <row r="824" spans="1:30" ht="13.5" customHeight="1">
      <c r="A824" s="108"/>
      <c r="B824" s="49"/>
      <c r="C824" s="50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  <c r="AA824" s="108"/>
      <c r="AB824" s="108"/>
      <c r="AC824" s="108"/>
      <c r="AD824" s="108"/>
    </row>
    <row r="825" spans="1:30" ht="13.5" customHeight="1">
      <c r="A825" s="108"/>
      <c r="B825" s="49"/>
      <c r="C825" s="50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  <c r="AA825" s="108"/>
      <c r="AB825" s="108"/>
      <c r="AC825" s="108"/>
      <c r="AD825" s="108"/>
    </row>
    <row r="826" spans="1:30" ht="13.5" customHeight="1">
      <c r="A826" s="108"/>
      <c r="B826" s="49"/>
      <c r="C826" s="50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  <c r="AA826" s="108"/>
      <c r="AB826" s="108"/>
      <c r="AC826" s="108"/>
      <c r="AD826" s="108"/>
    </row>
    <row r="827" spans="1:30" ht="13.5" customHeight="1">
      <c r="A827" s="108"/>
      <c r="B827" s="49"/>
      <c r="C827" s="50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  <c r="AA827" s="108"/>
      <c r="AB827" s="108"/>
      <c r="AC827" s="108"/>
      <c r="AD827" s="108"/>
    </row>
    <row r="828" spans="1:30" ht="13.5" customHeight="1">
      <c r="A828" s="108"/>
      <c r="B828" s="49"/>
      <c r="C828" s="50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  <c r="AA828" s="108"/>
      <c r="AB828" s="108"/>
      <c r="AC828" s="108"/>
      <c r="AD828" s="108"/>
    </row>
    <row r="829" spans="1:30" ht="13.5" customHeight="1">
      <c r="A829" s="108"/>
      <c r="B829" s="49"/>
      <c r="C829" s="50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  <c r="AA829" s="108"/>
      <c r="AB829" s="108"/>
      <c r="AC829" s="108"/>
      <c r="AD829" s="108"/>
    </row>
    <row r="830" spans="1:30" ht="13.5" customHeight="1">
      <c r="A830" s="108"/>
      <c r="B830" s="49"/>
      <c r="C830" s="50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  <c r="AA830" s="108"/>
      <c r="AB830" s="108"/>
      <c r="AC830" s="108"/>
      <c r="AD830" s="108"/>
    </row>
    <row r="831" spans="1:30" ht="13.5" customHeight="1">
      <c r="A831" s="108"/>
      <c r="B831" s="49"/>
      <c r="C831" s="50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  <c r="AA831" s="108"/>
      <c r="AB831" s="108"/>
      <c r="AC831" s="108"/>
      <c r="AD831" s="108"/>
    </row>
    <row r="832" spans="1:30" ht="13.5" customHeight="1">
      <c r="A832" s="108"/>
      <c r="B832" s="49"/>
      <c r="C832" s="50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  <c r="AA832" s="108"/>
      <c r="AB832" s="108"/>
      <c r="AC832" s="108"/>
      <c r="AD832" s="108"/>
    </row>
    <row r="833" spans="1:30" ht="13.5" customHeight="1">
      <c r="A833" s="108"/>
      <c r="B833" s="49"/>
      <c r="C833" s="50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  <c r="AA833" s="108"/>
      <c r="AB833" s="108"/>
      <c r="AC833" s="108"/>
      <c r="AD833" s="108"/>
    </row>
    <row r="834" spans="1:30" ht="13.5" customHeight="1">
      <c r="A834" s="108"/>
      <c r="B834" s="49"/>
      <c r="C834" s="50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  <c r="AA834" s="108"/>
      <c r="AB834" s="108"/>
      <c r="AC834" s="108"/>
      <c r="AD834" s="108"/>
    </row>
    <row r="835" spans="1:30" ht="13.5" customHeight="1">
      <c r="A835" s="108"/>
      <c r="B835" s="49"/>
      <c r="C835" s="50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  <c r="AA835" s="108"/>
      <c r="AB835" s="108"/>
      <c r="AC835" s="108"/>
      <c r="AD835" s="108"/>
    </row>
    <row r="836" spans="1:30" ht="13.5" customHeight="1">
      <c r="A836" s="108"/>
      <c r="B836" s="49"/>
      <c r="C836" s="50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  <c r="AA836" s="108"/>
      <c r="AB836" s="108"/>
      <c r="AC836" s="108"/>
      <c r="AD836" s="108"/>
    </row>
    <row r="837" spans="1:30" ht="13.5" customHeight="1">
      <c r="A837" s="108"/>
      <c r="B837" s="49"/>
      <c r="C837" s="50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  <c r="AA837" s="108"/>
      <c r="AB837" s="108"/>
      <c r="AC837" s="108"/>
      <c r="AD837" s="108"/>
    </row>
    <row r="838" spans="1:30" ht="13.5" customHeight="1">
      <c r="A838" s="108"/>
      <c r="B838" s="49"/>
      <c r="C838" s="50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  <c r="AA838" s="108"/>
      <c r="AB838" s="108"/>
      <c r="AC838" s="108"/>
      <c r="AD838" s="108"/>
    </row>
    <row r="839" spans="1:30" ht="13.5" customHeight="1">
      <c r="A839" s="108"/>
      <c r="B839" s="49"/>
      <c r="C839" s="50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  <c r="AA839" s="108"/>
      <c r="AB839" s="108"/>
      <c r="AC839" s="108"/>
      <c r="AD839" s="108"/>
    </row>
    <row r="840" spans="1:30" ht="13.5" customHeight="1">
      <c r="A840" s="108"/>
      <c r="B840" s="49"/>
      <c r="C840" s="50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  <c r="AA840" s="108"/>
      <c r="AB840" s="108"/>
      <c r="AC840" s="108"/>
      <c r="AD840" s="108"/>
    </row>
    <row r="841" spans="1:30" ht="13.5" customHeight="1">
      <c r="A841" s="108"/>
      <c r="B841" s="49"/>
      <c r="C841" s="50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  <c r="AA841" s="108"/>
      <c r="AB841" s="108"/>
      <c r="AC841" s="108"/>
      <c r="AD841" s="108"/>
    </row>
    <row r="842" spans="1:30" ht="13.5" customHeight="1">
      <c r="A842" s="108"/>
      <c r="B842" s="49"/>
      <c r="C842" s="50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  <c r="AA842" s="108"/>
      <c r="AB842" s="108"/>
      <c r="AC842" s="108"/>
      <c r="AD842" s="108"/>
    </row>
    <row r="843" spans="1:30" ht="13.5" customHeight="1">
      <c r="A843" s="108"/>
      <c r="B843" s="49"/>
      <c r="C843" s="50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  <c r="AA843" s="108"/>
      <c r="AB843" s="108"/>
      <c r="AC843" s="108"/>
      <c r="AD843" s="108"/>
    </row>
    <row r="844" spans="1:30" ht="13.5" customHeight="1">
      <c r="A844" s="108"/>
      <c r="B844" s="49"/>
      <c r="C844" s="50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  <c r="AA844" s="108"/>
      <c r="AB844" s="108"/>
      <c r="AC844" s="108"/>
      <c r="AD844" s="108"/>
    </row>
    <row r="845" spans="1:30" ht="13.5" customHeight="1">
      <c r="A845" s="108"/>
      <c r="B845" s="49"/>
      <c r="C845" s="50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  <c r="AA845" s="108"/>
      <c r="AB845" s="108"/>
      <c r="AC845" s="108"/>
      <c r="AD845" s="108"/>
    </row>
    <row r="846" spans="1:30" ht="13.5" customHeight="1">
      <c r="A846" s="108"/>
      <c r="B846" s="49"/>
      <c r="C846" s="50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  <c r="AA846" s="108"/>
      <c r="AB846" s="108"/>
      <c r="AC846" s="108"/>
      <c r="AD846" s="108"/>
    </row>
    <row r="847" spans="1:30" ht="13.5" customHeight="1">
      <c r="A847" s="108"/>
      <c r="B847" s="49"/>
      <c r="C847" s="50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  <c r="AA847" s="108"/>
      <c r="AB847" s="108"/>
      <c r="AC847" s="108"/>
      <c r="AD847" s="108"/>
    </row>
    <row r="848" spans="1:30" ht="13.5" customHeight="1">
      <c r="A848" s="108"/>
      <c r="B848" s="49"/>
      <c r="C848" s="50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  <c r="AA848" s="108"/>
      <c r="AB848" s="108"/>
      <c r="AC848" s="108"/>
      <c r="AD848" s="108"/>
    </row>
    <row r="849" spans="1:30" ht="13.5" customHeight="1">
      <c r="A849" s="108"/>
      <c r="B849" s="49"/>
      <c r="C849" s="50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  <c r="AA849" s="108"/>
      <c r="AB849" s="108"/>
      <c r="AC849" s="108"/>
      <c r="AD849" s="108"/>
    </row>
    <row r="850" spans="1:30" ht="13.5" customHeight="1">
      <c r="A850" s="108"/>
      <c r="B850" s="49"/>
      <c r="C850" s="50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  <c r="AA850" s="108"/>
      <c r="AB850" s="108"/>
      <c r="AC850" s="108"/>
      <c r="AD850" s="108"/>
    </row>
    <row r="851" spans="1:30" ht="13.5" customHeight="1">
      <c r="A851" s="108"/>
      <c r="B851" s="49"/>
      <c r="C851" s="50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  <c r="AA851" s="108"/>
      <c r="AB851" s="108"/>
      <c r="AC851" s="108"/>
      <c r="AD851" s="108"/>
    </row>
    <row r="852" spans="1:30" ht="13.5" customHeight="1">
      <c r="A852" s="108"/>
      <c r="B852" s="49"/>
      <c r="C852" s="50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  <c r="AA852" s="108"/>
      <c r="AB852" s="108"/>
      <c r="AC852" s="108"/>
      <c r="AD852" s="108"/>
    </row>
    <row r="853" spans="1:30" ht="13.5" customHeight="1">
      <c r="A853" s="108"/>
      <c r="B853" s="49"/>
      <c r="C853" s="50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  <c r="AA853" s="108"/>
      <c r="AB853" s="108"/>
      <c r="AC853" s="108"/>
      <c r="AD853" s="108"/>
    </row>
    <row r="854" spans="1:30" ht="13.5" customHeight="1">
      <c r="A854" s="108"/>
      <c r="B854" s="49"/>
      <c r="C854" s="50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  <c r="AA854" s="108"/>
      <c r="AB854" s="108"/>
      <c r="AC854" s="108"/>
      <c r="AD854" s="108"/>
    </row>
    <row r="855" spans="1:30" ht="13.5" customHeight="1">
      <c r="A855" s="108"/>
      <c r="B855" s="49"/>
      <c r="C855" s="50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  <c r="AA855" s="108"/>
      <c r="AB855" s="108"/>
      <c r="AC855" s="108"/>
      <c r="AD855" s="108"/>
    </row>
    <row r="856" spans="1:30" ht="13.5" customHeight="1">
      <c r="A856" s="108"/>
      <c r="B856" s="49"/>
      <c r="C856" s="50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  <c r="AA856" s="108"/>
      <c r="AB856" s="108"/>
      <c r="AC856" s="108"/>
      <c r="AD856" s="108"/>
    </row>
    <row r="857" spans="1:30" ht="13.5" customHeight="1">
      <c r="A857" s="108"/>
      <c r="B857" s="49"/>
      <c r="C857" s="50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  <c r="AA857" s="108"/>
      <c r="AB857" s="108"/>
      <c r="AC857" s="108"/>
      <c r="AD857" s="108"/>
    </row>
    <row r="858" spans="1:30" ht="13.5" customHeight="1">
      <c r="A858" s="108"/>
      <c r="B858" s="49"/>
      <c r="C858" s="50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  <c r="AA858" s="108"/>
      <c r="AB858" s="108"/>
      <c r="AC858" s="108"/>
      <c r="AD858" s="108"/>
    </row>
    <row r="859" spans="1:30" ht="13.5" customHeight="1">
      <c r="A859" s="108"/>
      <c r="B859" s="49"/>
      <c r="C859" s="50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  <c r="AA859" s="108"/>
      <c r="AB859" s="108"/>
      <c r="AC859" s="108"/>
      <c r="AD859" s="108"/>
    </row>
    <row r="860" spans="1:30" ht="13.5" customHeight="1">
      <c r="A860" s="108"/>
      <c r="B860" s="49"/>
      <c r="C860" s="50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  <c r="AA860" s="108"/>
      <c r="AB860" s="108"/>
      <c r="AC860" s="108"/>
      <c r="AD860" s="108"/>
    </row>
    <row r="861" spans="1:30" ht="13.5" customHeight="1">
      <c r="A861" s="108"/>
      <c r="B861" s="49"/>
      <c r="C861" s="50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  <c r="AA861" s="108"/>
      <c r="AB861" s="108"/>
      <c r="AC861" s="108"/>
      <c r="AD861" s="108"/>
    </row>
    <row r="862" spans="1:30" ht="13.5" customHeight="1">
      <c r="A862" s="108"/>
      <c r="B862" s="49"/>
      <c r="C862" s="50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  <c r="AA862" s="108"/>
      <c r="AB862" s="108"/>
      <c r="AC862" s="108"/>
      <c r="AD862" s="108"/>
    </row>
    <row r="863" spans="1:30" ht="13.5" customHeight="1">
      <c r="A863" s="108"/>
      <c r="B863" s="49"/>
      <c r="C863" s="50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  <c r="AA863" s="108"/>
      <c r="AB863" s="108"/>
      <c r="AC863" s="108"/>
      <c r="AD863" s="108"/>
    </row>
    <row r="864" spans="1:30" ht="13.5" customHeight="1">
      <c r="A864" s="108"/>
      <c r="B864" s="49"/>
      <c r="C864" s="50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  <c r="AA864" s="108"/>
      <c r="AB864" s="108"/>
      <c r="AC864" s="108"/>
      <c r="AD864" s="108"/>
    </row>
    <row r="865" spans="1:30" ht="13.5" customHeight="1">
      <c r="A865" s="108"/>
      <c r="B865" s="49"/>
      <c r="C865" s="50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  <c r="AA865" s="108"/>
      <c r="AB865" s="108"/>
      <c r="AC865" s="108"/>
      <c r="AD865" s="108"/>
    </row>
    <row r="866" spans="1:30" ht="13.5" customHeight="1">
      <c r="A866" s="108"/>
      <c r="B866" s="49"/>
      <c r="C866" s="50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  <c r="AA866" s="108"/>
      <c r="AB866" s="108"/>
      <c r="AC866" s="108"/>
      <c r="AD866" s="108"/>
    </row>
    <row r="867" spans="1:30" ht="13.5" customHeight="1">
      <c r="A867" s="108"/>
      <c r="B867" s="49"/>
      <c r="C867" s="50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  <c r="AA867" s="108"/>
      <c r="AB867" s="108"/>
      <c r="AC867" s="108"/>
      <c r="AD867" s="108"/>
    </row>
    <row r="868" spans="1:30" ht="13.5" customHeight="1">
      <c r="A868" s="108"/>
      <c r="B868" s="49"/>
      <c r="C868" s="50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  <c r="AA868" s="108"/>
      <c r="AB868" s="108"/>
      <c r="AC868" s="108"/>
      <c r="AD868" s="108"/>
    </row>
    <row r="869" spans="1:30" ht="13.5" customHeight="1">
      <c r="A869" s="108"/>
      <c r="B869" s="49"/>
      <c r="C869" s="50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  <c r="AA869" s="108"/>
      <c r="AB869" s="108"/>
      <c r="AC869" s="108"/>
      <c r="AD869" s="108"/>
    </row>
    <row r="870" spans="1:30" ht="13.5" customHeight="1">
      <c r="A870" s="108"/>
      <c r="B870" s="49"/>
      <c r="C870" s="50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  <c r="AA870" s="108"/>
      <c r="AB870" s="108"/>
      <c r="AC870" s="108"/>
      <c r="AD870" s="108"/>
    </row>
    <row r="871" spans="1:30" ht="13.5" customHeight="1">
      <c r="A871" s="108"/>
      <c r="B871" s="49"/>
      <c r="C871" s="50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  <c r="AA871" s="108"/>
      <c r="AB871" s="108"/>
      <c r="AC871" s="108"/>
      <c r="AD871" s="108"/>
    </row>
    <row r="872" spans="1:30" ht="13.5" customHeight="1">
      <c r="A872" s="108"/>
      <c r="B872" s="49"/>
      <c r="C872" s="50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  <c r="AA872" s="108"/>
      <c r="AB872" s="108"/>
      <c r="AC872" s="108"/>
      <c r="AD872" s="108"/>
    </row>
    <row r="873" spans="1:30" ht="13.5" customHeight="1">
      <c r="A873" s="108"/>
      <c r="B873" s="49"/>
      <c r="C873" s="50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  <c r="AA873" s="108"/>
      <c r="AB873" s="108"/>
      <c r="AC873" s="108"/>
      <c r="AD873" s="108"/>
    </row>
    <row r="874" spans="1:30" ht="13.5" customHeight="1">
      <c r="A874" s="108"/>
      <c r="B874" s="49"/>
      <c r="C874" s="50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  <c r="AA874" s="108"/>
      <c r="AB874" s="108"/>
      <c r="AC874" s="108"/>
      <c r="AD874" s="108"/>
    </row>
    <row r="875" spans="1:30" ht="13.5" customHeight="1">
      <c r="A875" s="108"/>
      <c r="B875" s="49"/>
      <c r="C875" s="50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  <c r="AA875" s="108"/>
      <c r="AB875" s="108"/>
      <c r="AC875" s="108"/>
      <c r="AD875" s="108"/>
    </row>
    <row r="876" spans="1:30" ht="13.5" customHeight="1">
      <c r="A876" s="108"/>
      <c r="B876" s="49"/>
      <c r="C876" s="50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  <c r="AA876" s="108"/>
      <c r="AB876" s="108"/>
      <c r="AC876" s="108"/>
      <c r="AD876" s="108"/>
    </row>
    <row r="877" spans="1:30" ht="13.5" customHeight="1">
      <c r="A877" s="108"/>
      <c r="B877" s="49"/>
      <c r="C877" s="50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  <c r="AA877" s="108"/>
      <c r="AB877" s="108"/>
      <c r="AC877" s="108"/>
      <c r="AD877" s="108"/>
    </row>
    <row r="878" spans="1:30" ht="13.5" customHeight="1">
      <c r="A878" s="108"/>
      <c r="B878" s="49"/>
      <c r="C878" s="50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  <c r="AA878" s="108"/>
      <c r="AB878" s="108"/>
      <c r="AC878" s="108"/>
      <c r="AD878" s="108"/>
    </row>
    <row r="879" spans="1:30" ht="13.5" customHeight="1">
      <c r="A879" s="108"/>
      <c r="B879" s="49"/>
      <c r="C879" s="50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  <c r="AA879" s="108"/>
      <c r="AB879" s="108"/>
      <c r="AC879" s="108"/>
      <c r="AD879" s="108"/>
    </row>
    <row r="880" spans="1:30" ht="13.5" customHeight="1">
      <c r="A880" s="108"/>
      <c r="B880" s="49"/>
      <c r="C880" s="50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  <c r="AA880" s="108"/>
      <c r="AB880" s="108"/>
      <c r="AC880" s="108"/>
      <c r="AD880" s="108"/>
    </row>
    <row r="881" spans="1:30" ht="13.5" customHeight="1">
      <c r="A881" s="108"/>
      <c r="B881" s="49"/>
      <c r="C881" s="50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  <c r="AA881" s="108"/>
      <c r="AB881" s="108"/>
      <c r="AC881" s="108"/>
      <c r="AD881" s="108"/>
    </row>
    <row r="882" spans="1:30" ht="13.5" customHeight="1">
      <c r="A882" s="108"/>
      <c r="B882" s="49"/>
      <c r="C882" s="50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  <c r="AA882" s="108"/>
      <c r="AB882" s="108"/>
      <c r="AC882" s="108"/>
      <c r="AD882" s="108"/>
    </row>
    <row r="883" spans="1:30" ht="13.5" customHeight="1">
      <c r="A883" s="108"/>
      <c r="B883" s="49"/>
      <c r="C883" s="50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  <c r="AA883" s="108"/>
      <c r="AB883" s="108"/>
      <c r="AC883" s="108"/>
      <c r="AD883" s="108"/>
    </row>
    <row r="884" spans="1:30" ht="13.5" customHeight="1">
      <c r="A884" s="108"/>
      <c r="B884" s="49"/>
      <c r="C884" s="50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  <c r="AA884" s="108"/>
      <c r="AB884" s="108"/>
      <c r="AC884" s="108"/>
      <c r="AD884" s="108"/>
    </row>
    <row r="885" spans="1:30" ht="13.5" customHeight="1">
      <c r="A885" s="108"/>
      <c r="B885" s="49"/>
      <c r="C885" s="50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  <c r="AA885" s="108"/>
      <c r="AB885" s="108"/>
      <c r="AC885" s="108"/>
      <c r="AD885" s="108"/>
    </row>
    <row r="886" spans="1:30" ht="13.5" customHeight="1">
      <c r="A886" s="108"/>
      <c r="B886" s="49"/>
      <c r="C886" s="50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  <c r="AA886" s="108"/>
      <c r="AB886" s="108"/>
      <c r="AC886" s="108"/>
      <c r="AD886" s="108"/>
    </row>
    <row r="887" spans="1:30" ht="13.5" customHeight="1">
      <c r="A887" s="108"/>
      <c r="B887" s="49"/>
      <c r="C887" s="50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  <c r="AA887" s="108"/>
      <c r="AB887" s="108"/>
      <c r="AC887" s="108"/>
      <c r="AD887" s="108"/>
    </row>
    <row r="888" spans="1:30" ht="13.5" customHeight="1">
      <c r="A888" s="108"/>
      <c r="B888" s="49"/>
      <c r="C888" s="50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  <c r="AA888" s="108"/>
      <c r="AB888" s="108"/>
      <c r="AC888" s="108"/>
      <c r="AD888" s="108"/>
    </row>
    <row r="889" spans="1:30" ht="13.5" customHeight="1">
      <c r="A889" s="108"/>
      <c r="B889" s="49"/>
      <c r="C889" s="50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  <c r="AA889" s="108"/>
      <c r="AB889" s="108"/>
      <c r="AC889" s="108"/>
      <c r="AD889" s="108"/>
    </row>
    <row r="890" spans="1:30" ht="13.5" customHeight="1">
      <c r="A890" s="108"/>
      <c r="B890" s="49"/>
      <c r="C890" s="50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  <c r="AA890" s="108"/>
      <c r="AB890" s="108"/>
      <c r="AC890" s="108"/>
      <c r="AD890" s="108"/>
    </row>
    <row r="891" spans="1:30" ht="13.5" customHeight="1">
      <c r="A891" s="108"/>
      <c r="B891" s="49"/>
      <c r="C891" s="50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  <c r="AA891" s="108"/>
      <c r="AB891" s="108"/>
      <c r="AC891" s="108"/>
      <c r="AD891" s="108"/>
    </row>
    <row r="892" spans="1:30" ht="13.5" customHeight="1">
      <c r="A892" s="108"/>
      <c r="B892" s="49"/>
      <c r="C892" s="50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  <c r="AA892" s="108"/>
      <c r="AB892" s="108"/>
      <c r="AC892" s="108"/>
      <c r="AD892" s="108"/>
    </row>
    <row r="893" spans="1:30" ht="13.5" customHeight="1">
      <c r="A893" s="108"/>
      <c r="B893" s="49"/>
      <c r="C893" s="50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  <c r="AA893" s="108"/>
      <c r="AB893" s="108"/>
      <c r="AC893" s="108"/>
      <c r="AD893" s="108"/>
    </row>
    <row r="894" spans="1:30" ht="13.5" customHeight="1">
      <c r="A894" s="108"/>
      <c r="B894" s="49"/>
      <c r="C894" s="50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  <c r="AA894" s="108"/>
      <c r="AB894" s="108"/>
      <c r="AC894" s="108"/>
      <c r="AD894" s="108"/>
    </row>
    <row r="895" spans="1:30" ht="13.5" customHeight="1">
      <c r="A895" s="108"/>
      <c r="B895" s="49"/>
      <c r="C895" s="50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  <c r="AA895" s="108"/>
      <c r="AB895" s="108"/>
      <c r="AC895" s="108"/>
      <c r="AD895" s="108"/>
    </row>
    <row r="896" spans="1:30" ht="13.5" customHeight="1">
      <c r="A896" s="108"/>
      <c r="B896" s="49"/>
      <c r="C896" s="50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  <c r="AA896" s="108"/>
      <c r="AB896" s="108"/>
      <c r="AC896" s="108"/>
      <c r="AD896" s="108"/>
    </row>
    <row r="897" spans="1:30" ht="13.5" customHeight="1">
      <c r="A897" s="108"/>
      <c r="B897" s="49"/>
      <c r="C897" s="50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  <c r="AA897" s="108"/>
      <c r="AB897" s="108"/>
      <c r="AC897" s="108"/>
      <c r="AD897" s="108"/>
    </row>
    <row r="898" spans="1:30" ht="13.5" customHeight="1">
      <c r="A898" s="108"/>
      <c r="B898" s="49"/>
      <c r="C898" s="50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  <c r="AA898" s="108"/>
      <c r="AB898" s="108"/>
      <c r="AC898" s="108"/>
      <c r="AD898" s="108"/>
    </row>
    <row r="899" spans="1:30" ht="13.5" customHeight="1">
      <c r="A899" s="108"/>
      <c r="B899" s="49"/>
      <c r="C899" s="50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  <c r="AA899" s="108"/>
      <c r="AB899" s="108"/>
      <c r="AC899" s="108"/>
      <c r="AD899" s="108"/>
    </row>
    <row r="900" spans="1:30" ht="13.5" customHeight="1">
      <c r="A900" s="108"/>
      <c r="B900" s="49"/>
      <c r="C900" s="50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  <c r="AA900" s="108"/>
      <c r="AB900" s="108"/>
      <c r="AC900" s="108"/>
      <c r="AD900" s="108"/>
    </row>
    <row r="901" spans="1:30" ht="13.5" customHeight="1">
      <c r="A901" s="108"/>
      <c r="B901" s="49"/>
      <c r="C901" s="50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  <c r="AA901" s="108"/>
      <c r="AB901" s="108"/>
      <c r="AC901" s="108"/>
      <c r="AD901" s="108"/>
    </row>
    <row r="902" spans="1:30" ht="13.5" customHeight="1">
      <c r="A902" s="108"/>
      <c r="B902" s="49"/>
      <c r="C902" s="50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  <c r="AA902" s="108"/>
      <c r="AB902" s="108"/>
      <c r="AC902" s="108"/>
      <c r="AD902" s="108"/>
    </row>
    <row r="903" spans="1:30" ht="13.5" customHeight="1">
      <c r="A903" s="108"/>
      <c r="B903" s="49"/>
      <c r="C903" s="50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  <c r="AA903" s="108"/>
      <c r="AB903" s="108"/>
      <c r="AC903" s="108"/>
      <c r="AD903" s="108"/>
    </row>
    <row r="904" spans="1:30" ht="13.5" customHeight="1">
      <c r="A904" s="108"/>
      <c r="B904" s="49"/>
      <c r="C904" s="50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  <c r="AA904" s="108"/>
      <c r="AB904" s="108"/>
      <c r="AC904" s="108"/>
      <c r="AD904" s="108"/>
    </row>
    <row r="905" spans="1:30" ht="13.5" customHeight="1">
      <c r="A905" s="108"/>
      <c r="B905" s="49"/>
      <c r="C905" s="50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  <c r="AA905" s="108"/>
      <c r="AB905" s="108"/>
      <c r="AC905" s="108"/>
      <c r="AD905" s="108"/>
    </row>
    <row r="906" spans="1:30" ht="13.5" customHeight="1">
      <c r="A906" s="108"/>
      <c r="B906" s="49"/>
      <c r="C906" s="50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</row>
    <row r="907" spans="1:30" ht="13.5" customHeight="1">
      <c r="A907" s="108"/>
      <c r="B907" s="49"/>
      <c r="C907" s="50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  <c r="AA907" s="108"/>
      <c r="AB907" s="108"/>
      <c r="AC907" s="108"/>
      <c r="AD907" s="108"/>
    </row>
    <row r="908" spans="1:30" ht="13.5" customHeight="1">
      <c r="A908" s="108"/>
      <c r="B908" s="49"/>
      <c r="C908" s="50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  <c r="AA908" s="108"/>
      <c r="AB908" s="108"/>
      <c r="AC908" s="108"/>
      <c r="AD908" s="108"/>
    </row>
    <row r="909" spans="1:30" ht="13.5" customHeight="1">
      <c r="A909" s="108"/>
      <c r="B909" s="49"/>
      <c r="C909" s="50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  <c r="AA909" s="108"/>
      <c r="AB909" s="108"/>
      <c r="AC909" s="108"/>
      <c r="AD909" s="108"/>
    </row>
    <row r="910" spans="1:30" ht="13.5" customHeight="1">
      <c r="A910" s="108"/>
      <c r="B910" s="49"/>
      <c r="C910" s="50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</row>
    <row r="911" spans="1:30" ht="13.5" customHeight="1">
      <c r="A911" s="108"/>
      <c r="B911" s="49"/>
      <c r="C911" s="50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  <c r="AA911" s="108"/>
      <c r="AB911" s="108"/>
      <c r="AC911" s="108"/>
      <c r="AD911" s="108"/>
    </row>
    <row r="912" spans="1:30" ht="13.5" customHeight="1">
      <c r="A912" s="108"/>
      <c r="B912" s="49"/>
      <c r="C912" s="50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  <c r="AA912" s="108"/>
      <c r="AB912" s="108"/>
      <c r="AC912" s="108"/>
      <c r="AD912" s="108"/>
    </row>
    <row r="913" spans="1:30" ht="13.5" customHeight="1">
      <c r="A913" s="108"/>
      <c r="B913" s="49"/>
      <c r="C913" s="50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  <c r="AA913" s="108"/>
      <c r="AB913" s="108"/>
      <c r="AC913" s="108"/>
      <c r="AD913" s="108"/>
    </row>
    <row r="914" spans="1:30" ht="13.5" customHeight="1">
      <c r="A914" s="108"/>
      <c r="B914" s="49"/>
      <c r="C914" s="50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  <c r="AA914" s="108"/>
      <c r="AB914" s="108"/>
      <c r="AC914" s="108"/>
      <c r="AD914" s="108"/>
    </row>
    <row r="915" spans="1:30" ht="13.5" customHeight="1">
      <c r="A915" s="108"/>
      <c r="B915" s="49"/>
      <c r="C915" s="50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  <c r="AA915" s="108"/>
      <c r="AB915" s="108"/>
      <c r="AC915" s="108"/>
      <c r="AD915" s="108"/>
    </row>
    <row r="916" spans="1:30" ht="13.5" customHeight="1">
      <c r="A916" s="108"/>
      <c r="B916" s="49"/>
      <c r="C916" s="50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  <c r="AA916" s="108"/>
      <c r="AB916" s="108"/>
      <c r="AC916" s="108"/>
      <c r="AD916" s="108"/>
    </row>
    <row r="917" spans="1:30" ht="13.5" customHeight="1">
      <c r="A917" s="108"/>
      <c r="B917" s="49"/>
      <c r="C917" s="50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  <c r="AA917" s="108"/>
      <c r="AB917" s="108"/>
      <c r="AC917" s="108"/>
      <c r="AD917" s="108"/>
    </row>
    <row r="918" spans="1:30" ht="13.5" customHeight="1">
      <c r="A918" s="108"/>
      <c r="B918" s="49"/>
      <c r="C918" s="50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  <c r="AA918" s="108"/>
      <c r="AB918" s="108"/>
      <c r="AC918" s="108"/>
      <c r="AD918" s="108"/>
    </row>
    <row r="919" spans="1:30" ht="13.5" customHeight="1">
      <c r="A919" s="108"/>
      <c r="B919" s="49"/>
      <c r="C919" s="50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  <c r="AA919" s="108"/>
      <c r="AB919" s="108"/>
      <c r="AC919" s="108"/>
      <c r="AD919" s="108"/>
    </row>
    <row r="920" spans="1:30" ht="13.5" customHeight="1">
      <c r="A920" s="108"/>
      <c r="B920" s="49"/>
      <c r="C920" s="50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  <c r="AA920" s="108"/>
      <c r="AB920" s="108"/>
      <c r="AC920" s="108"/>
      <c r="AD920" s="108"/>
    </row>
    <row r="921" spans="1:30" ht="13.5" customHeight="1">
      <c r="A921" s="108"/>
      <c r="B921" s="49"/>
      <c r="C921" s="50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  <c r="AA921" s="108"/>
      <c r="AB921" s="108"/>
      <c r="AC921" s="108"/>
      <c r="AD921" s="108"/>
    </row>
    <row r="922" spans="1:30" ht="13.5" customHeight="1">
      <c r="A922" s="108"/>
      <c r="B922" s="49"/>
      <c r="C922" s="50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  <c r="AA922" s="108"/>
      <c r="AB922" s="108"/>
      <c r="AC922" s="108"/>
      <c r="AD922" s="108"/>
    </row>
    <row r="923" spans="1:30" ht="13.5" customHeight="1">
      <c r="A923" s="108"/>
      <c r="B923" s="49"/>
      <c r="C923" s="50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  <c r="AA923" s="108"/>
      <c r="AB923" s="108"/>
      <c r="AC923" s="108"/>
      <c r="AD923" s="108"/>
    </row>
    <row r="924" spans="1:30" ht="13.5" customHeight="1">
      <c r="A924" s="108"/>
      <c r="B924" s="49"/>
      <c r="C924" s="50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  <c r="AA924" s="108"/>
      <c r="AB924" s="108"/>
      <c r="AC924" s="108"/>
      <c r="AD924" s="108"/>
    </row>
    <row r="925" spans="1:30" ht="13.5" customHeight="1">
      <c r="A925" s="108"/>
      <c r="B925" s="49"/>
      <c r="C925" s="50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  <c r="AA925" s="108"/>
      <c r="AB925" s="108"/>
      <c r="AC925" s="108"/>
      <c r="AD925" s="108"/>
    </row>
    <row r="926" spans="1:30" ht="13.5" customHeight="1">
      <c r="A926" s="108"/>
      <c r="B926" s="49"/>
      <c r="C926" s="50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  <c r="AA926" s="108"/>
      <c r="AB926" s="108"/>
      <c r="AC926" s="108"/>
      <c r="AD926" s="108"/>
    </row>
    <row r="927" spans="1:30" ht="13.5" customHeight="1">
      <c r="A927" s="108"/>
      <c r="B927" s="49"/>
      <c r="C927" s="50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  <c r="AA927" s="108"/>
      <c r="AB927" s="108"/>
      <c r="AC927" s="108"/>
      <c r="AD927" s="108"/>
    </row>
    <row r="928" spans="1:30" ht="13.5" customHeight="1">
      <c r="A928" s="108"/>
      <c r="B928" s="49"/>
      <c r="C928" s="50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  <c r="AA928" s="108"/>
      <c r="AB928" s="108"/>
      <c r="AC928" s="108"/>
      <c r="AD928" s="108"/>
    </row>
    <row r="929" spans="1:30" ht="13.5" customHeight="1">
      <c r="A929" s="108"/>
      <c r="B929" s="49"/>
      <c r="C929" s="50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  <c r="AA929" s="108"/>
      <c r="AB929" s="108"/>
      <c r="AC929" s="108"/>
      <c r="AD929" s="108"/>
    </row>
    <row r="930" spans="1:30" ht="13.5" customHeight="1">
      <c r="A930" s="108"/>
      <c r="B930" s="49"/>
      <c r="C930" s="50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  <c r="AA930" s="108"/>
      <c r="AB930" s="108"/>
      <c r="AC930" s="108"/>
      <c r="AD930" s="108"/>
    </row>
    <row r="931" spans="1:30" ht="13.5" customHeight="1">
      <c r="A931" s="108"/>
      <c r="B931" s="49"/>
      <c r="C931" s="50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  <c r="AA931" s="108"/>
      <c r="AB931" s="108"/>
      <c r="AC931" s="108"/>
      <c r="AD931" s="108"/>
    </row>
    <row r="932" spans="1:30" ht="13.5" customHeight="1">
      <c r="A932" s="108"/>
      <c r="B932" s="49"/>
      <c r="C932" s="50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  <c r="AA932" s="108"/>
      <c r="AB932" s="108"/>
      <c r="AC932" s="108"/>
      <c r="AD932" s="108"/>
    </row>
    <row r="933" spans="1:30" ht="13.5" customHeight="1">
      <c r="A933" s="108"/>
      <c r="B933" s="49"/>
      <c r="C933" s="50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  <c r="AA933" s="108"/>
      <c r="AB933" s="108"/>
      <c r="AC933" s="108"/>
      <c r="AD933" s="108"/>
    </row>
    <row r="934" spans="1:30" ht="13.5" customHeight="1">
      <c r="A934" s="108"/>
      <c r="B934" s="49"/>
      <c r="C934" s="50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  <c r="AA934" s="108"/>
      <c r="AB934" s="108"/>
      <c r="AC934" s="108"/>
      <c r="AD934" s="108"/>
    </row>
    <row r="935" spans="1:30" ht="13.5" customHeight="1">
      <c r="A935" s="108"/>
      <c r="B935" s="49"/>
      <c r="C935" s="50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  <c r="AA935" s="108"/>
      <c r="AB935" s="108"/>
      <c r="AC935" s="108"/>
      <c r="AD935" s="108"/>
    </row>
    <row r="936" spans="1:30" ht="13.5" customHeight="1">
      <c r="A936" s="108"/>
      <c r="B936" s="49"/>
      <c r="C936" s="50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  <c r="AA936" s="108"/>
      <c r="AB936" s="108"/>
      <c r="AC936" s="108"/>
      <c r="AD936" s="108"/>
    </row>
    <row r="937" spans="1:30" ht="13.5" customHeight="1">
      <c r="A937" s="108"/>
      <c r="B937" s="49"/>
      <c r="C937" s="50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  <c r="AA937" s="108"/>
      <c r="AB937" s="108"/>
      <c r="AC937" s="108"/>
      <c r="AD937" s="108"/>
    </row>
    <row r="938" spans="1:30" ht="13.5" customHeight="1">
      <c r="A938" s="108"/>
      <c r="B938" s="49"/>
      <c r="C938" s="50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  <c r="AA938" s="108"/>
      <c r="AB938" s="108"/>
      <c r="AC938" s="108"/>
      <c r="AD938" s="108"/>
    </row>
    <row r="939" spans="1:30" ht="13.5" customHeight="1">
      <c r="A939" s="108"/>
      <c r="B939" s="49"/>
      <c r="C939" s="50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  <c r="AA939" s="108"/>
      <c r="AB939" s="108"/>
      <c r="AC939" s="108"/>
      <c r="AD939" s="108"/>
    </row>
    <row r="940" spans="1:30" ht="13.5" customHeight="1">
      <c r="A940" s="108"/>
      <c r="B940" s="49"/>
      <c r="C940" s="50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  <c r="AA940" s="108"/>
      <c r="AB940" s="108"/>
      <c r="AC940" s="108"/>
      <c r="AD940" s="108"/>
    </row>
    <row r="941" spans="1:30" ht="13.5" customHeight="1">
      <c r="A941" s="108"/>
      <c r="B941" s="49"/>
      <c r="C941" s="50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  <c r="AA941" s="108"/>
      <c r="AB941" s="108"/>
      <c r="AC941" s="108"/>
      <c r="AD941" s="108"/>
    </row>
    <row r="942" spans="1:30" ht="13.5" customHeight="1">
      <c r="A942" s="108"/>
      <c r="B942" s="49"/>
      <c r="C942" s="50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  <c r="AA942" s="108"/>
      <c r="AB942" s="108"/>
      <c r="AC942" s="108"/>
      <c r="AD942" s="108"/>
    </row>
    <row r="943" spans="1:30" ht="13.5" customHeight="1">
      <c r="A943" s="108"/>
      <c r="B943" s="49"/>
      <c r="C943" s="50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  <c r="AA943" s="108"/>
      <c r="AB943" s="108"/>
      <c r="AC943" s="108"/>
      <c r="AD943" s="108"/>
    </row>
    <row r="944" spans="1:30" ht="13.5" customHeight="1">
      <c r="A944" s="108"/>
      <c r="B944" s="49"/>
      <c r="C944" s="50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  <c r="AA944" s="108"/>
      <c r="AB944" s="108"/>
      <c r="AC944" s="108"/>
      <c r="AD944" s="108"/>
    </row>
    <row r="945" spans="1:30" ht="13.5" customHeight="1">
      <c r="A945" s="108"/>
      <c r="B945" s="49"/>
      <c r="C945" s="50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  <c r="AA945" s="108"/>
      <c r="AB945" s="108"/>
      <c r="AC945" s="108"/>
      <c r="AD945" s="108"/>
    </row>
    <row r="946" spans="1:30" ht="13.5" customHeight="1">
      <c r="A946" s="108"/>
      <c r="B946" s="49"/>
      <c r="C946" s="50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  <c r="AA946" s="108"/>
      <c r="AB946" s="108"/>
      <c r="AC946" s="108"/>
      <c r="AD946" s="108"/>
    </row>
    <row r="947" spans="1:30" ht="13.5" customHeight="1">
      <c r="A947" s="108"/>
      <c r="B947" s="49"/>
      <c r="C947" s="50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  <c r="AA947" s="108"/>
      <c r="AB947" s="108"/>
      <c r="AC947" s="108"/>
      <c r="AD947" s="108"/>
    </row>
    <row r="948" spans="1:30" ht="13.5" customHeight="1">
      <c r="A948" s="108"/>
      <c r="B948" s="49"/>
      <c r="C948" s="50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  <c r="AA948" s="108"/>
      <c r="AB948" s="108"/>
      <c r="AC948" s="108"/>
      <c r="AD948" s="108"/>
    </row>
    <row r="949" spans="1:30" ht="13.5" customHeight="1">
      <c r="A949" s="108"/>
      <c r="B949" s="49"/>
      <c r="C949" s="50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  <c r="AA949" s="108"/>
      <c r="AB949" s="108"/>
      <c r="AC949" s="108"/>
      <c r="AD949" s="108"/>
    </row>
    <row r="950" spans="1:30" ht="13.5" customHeight="1">
      <c r="A950" s="108"/>
      <c r="B950" s="49"/>
      <c r="C950" s="50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  <c r="AA950" s="108"/>
      <c r="AB950" s="108"/>
      <c r="AC950" s="108"/>
      <c r="AD950" s="108"/>
    </row>
    <row r="951" spans="1:30" ht="13.5" customHeight="1">
      <c r="A951" s="108"/>
      <c r="B951" s="49"/>
      <c r="C951" s="50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  <c r="AA951" s="108"/>
      <c r="AB951" s="108"/>
      <c r="AC951" s="108"/>
      <c r="AD951" s="108"/>
    </row>
    <row r="952" spans="1:30" ht="13.5" customHeight="1">
      <c r="A952" s="108"/>
      <c r="B952" s="49"/>
      <c r="C952" s="50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  <c r="AA952" s="108"/>
      <c r="AB952" s="108"/>
      <c r="AC952" s="108"/>
      <c r="AD952" s="108"/>
    </row>
    <row r="953" spans="1:30" ht="13.5" customHeight="1">
      <c r="A953" s="108"/>
      <c r="B953" s="49"/>
      <c r="C953" s="50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  <c r="AA953" s="108"/>
      <c r="AB953" s="108"/>
      <c r="AC953" s="108"/>
      <c r="AD953" s="108"/>
    </row>
    <row r="954" spans="1:30" ht="13.5" customHeight="1">
      <c r="A954" s="108"/>
      <c r="B954" s="49"/>
      <c r="C954" s="50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  <c r="AA954" s="108"/>
      <c r="AB954" s="108"/>
      <c r="AC954" s="108"/>
      <c r="AD954" s="108"/>
    </row>
    <row r="955" spans="1:30" ht="13.5" customHeight="1">
      <c r="A955" s="108"/>
      <c r="B955" s="49"/>
      <c r="C955" s="50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  <c r="AA955" s="108"/>
      <c r="AB955" s="108"/>
      <c r="AC955" s="108"/>
      <c r="AD955" s="108"/>
    </row>
    <row r="956" spans="1:30" ht="13.5" customHeight="1">
      <c r="A956" s="108"/>
      <c r="B956" s="49"/>
      <c r="C956" s="50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  <c r="AA956" s="108"/>
      <c r="AB956" s="108"/>
      <c r="AC956" s="108"/>
      <c r="AD956" s="108"/>
    </row>
    <row r="957" spans="1:30" ht="13.5" customHeight="1">
      <c r="A957" s="108"/>
      <c r="B957" s="49"/>
      <c r="C957" s="50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  <c r="AA957" s="108"/>
      <c r="AB957" s="108"/>
      <c r="AC957" s="108"/>
      <c r="AD957" s="108"/>
    </row>
    <row r="958" spans="1:30" ht="13.5" customHeight="1">
      <c r="A958" s="108"/>
      <c r="B958" s="49"/>
      <c r="C958" s="50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  <c r="AA958" s="108"/>
      <c r="AB958" s="108"/>
      <c r="AC958" s="108"/>
      <c r="AD958" s="108"/>
    </row>
    <row r="959" spans="1:30" ht="13.5" customHeight="1">
      <c r="A959" s="108"/>
      <c r="B959" s="49"/>
      <c r="C959" s="50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  <c r="AA959" s="108"/>
      <c r="AB959" s="108"/>
      <c r="AC959" s="108"/>
      <c r="AD959" s="108"/>
    </row>
    <row r="960" spans="1:30" ht="13.5" customHeight="1">
      <c r="A960" s="108"/>
      <c r="B960" s="49"/>
      <c r="C960" s="50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  <c r="AA960" s="108"/>
      <c r="AB960" s="108"/>
      <c r="AC960" s="108"/>
      <c r="AD960" s="108"/>
    </row>
    <row r="961" spans="1:30" ht="13.5" customHeight="1">
      <c r="A961" s="108"/>
      <c r="B961" s="49"/>
      <c r="C961" s="50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  <c r="AA961" s="108"/>
      <c r="AB961" s="108"/>
      <c r="AC961" s="108"/>
      <c r="AD961" s="108"/>
    </row>
    <row r="962" spans="1:30" ht="13.5" customHeight="1">
      <c r="A962" s="108"/>
      <c r="B962" s="49"/>
      <c r="C962" s="50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  <c r="AA962" s="108"/>
      <c r="AB962" s="108"/>
      <c r="AC962" s="108"/>
      <c r="AD962" s="108"/>
    </row>
    <row r="963" spans="1:30" ht="13.5" customHeight="1">
      <c r="A963" s="108"/>
      <c r="B963" s="49"/>
      <c r="C963" s="50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  <c r="AA963" s="108"/>
      <c r="AB963" s="108"/>
      <c r="AC963" s="108"/>
      <c r="AD963" s="108"/>
    </row>
    <row r="964" spans="1:30" ht="13.5" customHeight="1">
      <c r="A964" s="108"/>
      <c r="B964" s="49"/>
      <c r="C964" s="50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  <c r="AA964" s="108"/>
      <c r="AB964" s="108"/>
      <c r="AC964" s="108"/>
      <c r="AD964" s="108"/>
    </row>
    <row r="965" spans="1:30" ht="13.5" customHeight="1">
      <c r="A965" s="108"/>
      <c r="B965" s="49"/>
      <c r="C965" s="50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  <c r="AA965" s="108"/>
      <c r="AB965" s="108"/>
      <c r="AC965" s="108"/>
      <c r="AD965" s="108"/>
    </row>
    <row r="966" spans="1:30" ht="13.5" customHeight="1">
      <c r="A966" s="108"/>
      <c r="B966" s="49"/>
      <c r="C966" s="50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  <c r="AA966" s="108"/>
      <c r="AB966" s="108"/>
      <c r="AC966" s="108"/>
      <c r="AD966" s="108"/>
    </row>
    <row r="967" spans="1:30" ht="13.5" customHeight="1">
      <c r="A967" s="108"/>
      <c r="B967" s="49"/>
      <c r="C967" s="50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  <c r="AA967" s="108"/>
      <c r="AB967" s="108"/>
      <c r="AC967" s="108"/>
      <c r="AD967" s="108"/>
    </row>
    <row r="968" spans="1:30" ht="13.5" customHeight="1">
      <c r="A968" s="108"/>
      <c r="B968" s="49"/>
      <c r="C968" s="50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  <c r="AA968" s="108"/>
      <c r="AB968" s="108"/>
      <c r="AC968" s="108"/>
      <c r="AD968" s="108"/>
    </row>
    <row r="969" spans="1:30" ht="13.5" customHeight="1">
      <c r="A969" s="108"/>
      <c r="B969" s="49"/>
      <c r="C969" s="50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  <c r="AA969" s="108"/>
      <c r="AB969" s="108"/>
      <c r="AC969" s="108"/>
      <c r="AD969" s="108"/>
    </row>
    <row r="970" spans="1:30" ht="13.5" customHeight="1">
      <c r="A970" s="108"/>
      <c r="B970" s="49"/>
      <c r="C970" s="50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  <c r="AA970" s="108"/>
      <c r="AB970" s="108"/>
      <c r="AC970" s="108"/>
      <c r="AD970" s="108"/>
    </row>
    <row r="971" spans="1:30" ht="13.5" customHeight="1">
      <c r="A971" s="108"/>
      <c r="B971" s="49"/>
      <c r="C971" s="50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  <c r="AA971" s="108"/>
      <c r="AB971" s="108"/>
      <c r="AC971" s="108"/>
      <c r="AD971" s="108"/>
    </row>
    <row r="972" spans="1:30" ht="13.5" customHeight="1">
      <c r="A972" s="108"/>
      <c r="B972" s="49"/>
      <c r="C972" s="50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  <c r="AA972" s="108"/>
      <c r="AB972" s="108"/>
      <c r="AC972" s="108"/>
      <c r="AD972" s="108"/>
    </row>
    <row r="973" spans="1:30" ht="13.5" customHeight="1">
      <c r="A973" s="108"/>
      <c r="B973" s="49"/>
      <c r="C973" s="50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  <c r="AA973" s="108"/>
      <c r="AB973" s="108"/>
      <c r="AC973" s="108"/>
      <c r="AD973" s="108"/>
    </row>
    <row r="974" spans="1:30" ht="13.5" customHeight="1">
      <c r="A974" s="108"/>
      <c r="B974" s="49"/>
      <c r="C974" s="50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  <c r="AA974" s="108"/>
      <c r="AB974" s="108"/>
      <c r="AC974" s="108"/>
      <c r="AD974" s="108"/>
    </row>
    <row r="975" spans="1:30" ht="13.5" customHeight="1">
      <c r="A975" s="108"/>
      <c r="B975" s="49"/>
      <c r="C975" s="50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  <c r="AA975" s="108"/>
      <c r="AB975" s="108"/>
      <c r="AC975" s="108"/>
      <c r="AD975" s="108"/>
    </row>
    <row r="976" spans="1:30" ht="13.5" customHeight="1">
      <c r="A976" s="108"/>
      <c r="B976" s="49"/>
      <c r="C976" s="50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  <c r="AA976" s="108"/>
      <c r="AB976" s="108"/>
      <c r="AC976" s="108"/>
      <c r="AD976" s="108"/>
    </row>
    <row r="977" spans="1:30" ht="13.5" customHeight="1">
      <c r="A977" s="108"/>
      <c r="B977" s="49"/>
      <c r="C977" s="50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  <c r="AA977" s="108"/>
      <c r="AB977" s="108"/>
      <c r="AC977" s="108"/>
      <c r="AD977" s="108"/>
    </row>
    <row r="978" spans="1:30" ht="13.5" customHeight="1">
      <c r="A978" s="108"/>
      <c r="B978" s="49"/>
      <c r="C978" s="50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  <c r="AA978" s="108"/>
      <c r="AB978" s="108"/>
      <c r="AC978" s="108"/>
      <c r="AD978" s="108"/>
    </row>
    <row r="979" spans="1:30" ht="13.5" customHeight="1">
      <c r="A979" s="108"/>
      <c r="B979" s="49"/>
      <c r="C979" s="50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  <c r="AA979" s="108"/>
      <c r="AB979" s="108"/>
      <c r="AC979" s="108"/>
      <c r="AD979" s="108"/>
    </row>
    <row r="980" spans="1:30" ht="13.5" customHeight="1">
      <c r="A980" s="108"/>
      <c r="B980" s="49"/>
      <c r="C980" s="50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  <c r="AA980" s="108"/>
      <c r="AB980" s="108"/>
      <c r="AC980" s="108"/>
      <c r="AD980" s="108"/>
    </row>
    <row r="981" spans="1:30" ht="13.5" customHeight="1">
      <c r="A981" s="108"/>
      <c r="B981" s="49"/>
      <c r="C981" s="50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  <c r="AA981" s="108"/>
      <c r="AB981" s="108"/>
      <c r="AC981" s="108"/>
      <c r="AD981" s="108"/>
    </row>
    <row r="982" spans="1:30" ht="13.5" customHeight="1">
      <c r="A982" s="108"/>
      <c r="B982" s="49"/>
      <c r="C982" s="50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  <c r="AA982" s="108"/>
      <c r="AB982" s="108"/>
      <c r="AC982" s="108"/>
      <c r="AD982" s="108"/>
    </row>
    <row r="983" spans="1:30" ht="13.5" customHeight="1">
      <c r="A983" s="108"/>
      <c r="B983" s="49"/>
      <c r="C983" s="50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  <c r="AA983" s="108"/>
      <c r="AB983" s="108"/>
      <c r="AC983" s="108"/>
      <c r="AD983" s="108"/>
    </row>
    <row r="984" spans="1:30" ht="13.5" customHeight="1">
      <c r="A984" s="108"/>
      <c r="B984" s="49"/>
      <c r="C984" s="50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  <c r="AA984" s="108"/>
      <c r="AB984" s="108"/>
      <c r="AC984" s="108"/>
      <c r="AD984" s="108"/>
    </row>
    <row r="985" spans="1:30" ht="13.5" customHeight="1">
      <c r="A985" s="108"/>
      <c r="B985" s="49"/>
      <c r="C985" s="50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  <c r="AA985" s="108"/>
      <c r="AB985" s="108"/>
      <c r="AC985" s="108"/>
      <c r="AD985" s="108"/>
    </row>
    <row r="986" spans="1:30" ht="13.5" customHeight="1">
      <c r="A986" s="108"/>
      <c r="B986" s="49"/>
      <c r="C986" s="50"/>
      <c r="D986" s="108"/>
      <c r="E986" s="108"/>
      <c r="F986" s="108"/>
      <c r="G986" s="108"/>
      <c r="H986" s="108"/>
      <c r="I986" s="108"/>
      <c r="J986" s="108"/>
      <c r="K986" s="108"/>
      <c r="L986" s="108"/>
      <c r="M986" s="108"/>
      <c r="N986" s="108"/>
      <c r="O986" s="108"/>
      <c r="P986" s="108"/>
      <c r="Q986" s="108"/>
      <c r="R986" s="108"/>
      <c r="S986" s="108"/>
      <c r="T986" s="108"/>
      <c r="U986" s="108"/>
      <c r="V986" s="108"/>
      <c r="W986" s="108"/>
      <c r="X986" s="108"/>
      <c r="Y986" s="108"/>
      <c r="Z986" s="108"/>
      <c r="AA986" s="108"/>
      <c r="AB986" s="108"/>
      <c r="AC986" s="108"/>
      <c r="AD986" s="108"/>
    </row>
    <row r="987" spans="1:30" ht="13.5" customHeight="1">
      <c r="A987" s="108"/>
      <c r="B987" s="49"/>
      <c r="C987" s="50"/>
      <c r="D987" s="108"/>
      <c r="E987" s="108"/>
      <c r="F987" s="108"/>
      <c r="G987" s="108"/>
      <c r="H987" s="108"/>
      <c r="I987" s="108"/>
      <c r="J987" s="108"/>
      <c r="K987" s="108"/>
      <c r="L987" s="108"/>
      <c r="M987" s="108"/>
      <c r="N987" s="108"/>
      <c r="O987" s="108"/>
      <c r="P987" s="108"/>
      <c r="Q987" s="108"/>
      <c r="R987" s="108"/>
      <c r="S987" s="108"/>
      <c r="T987" s="108"/>
      <c r="U987" s="108"/>
      <c r="V987" s="108"/>
      <c r="W987" s="108"/>
      <c r="X987" s="108"/>
      <c r="Y987" s="108"/>
      <c r="Z987" s="108"/>
      <c r="AA987" s="108"/>
      <c r="AB987" s="108"/>
      <c r="AC987" s="108"/>
      <c r="AD987" s="108"/>
    </row>
    <row r="988" spans="1:30" ht="13.5" customHeight="1">
      <c r="A988" s="108"/>
      <c r="B988" s="49"/>
      <c r="C988" s="50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  <c r="N988" s="108"/>
      <c r="O988" s="108"/>
      <c r="P988" s="108"/>
      <c r="Q988" s="108"/>
      <c r="R988" s="108"/>
      <c r="S988" s="108"/>
      <c r="T988" s="108"/>
      <c r="U988" s="108"/>
      <c r="V988" s="108"/>
      <c r="W988" s="108"/>
      <c r="X988" s="108"/>
      <c r="Y988" s="108"/>
      <c r="Z988" s="108"/>
      <c r="AA988" s="108"/>
      <c r="AB988" s="108"/>
      <c r="AC988" s="108"/>
      <c r="AD988" s="108"/>
    </row>
    <row r="989" spans="1:30" ht="13.5" customHeight="1">
      <c r="A989" s="108"/>
      <c r="B989" s="49"/>
      <c r="C989" s="50"/>
      <c r="D989" s="108"/>
      <c r="E989" s="108"/>
      <c r="F989" s="108"/>
      <c r="G989" s="108"/>
      <c r="H989" s="108"/>
      <c r="I989" s="108"/>
      <c r="J989" s="108"/>
      <c r="K989" s="108"/>
      <c r="L989" s="108"/>
      <c r="M989" s="108"/>
      <c r="N989" s="108"/>
      <c r="O989" s="108"/>
      <c r="P989" s="108"/>
      <c r="Q989" s="108"/>
      <c r="R989" s="108"/>
      <c r="S989" s="108"/>
      <c r="T989" s="108"/>
      <c r="U989" s="108"/>
      <c r="V989" s="108"/>
      <c r="W989" s="108"/>
      <c r="X989" s="108"/>
      <c r="Y989" s="108"/>
      <c r="Z989" s="108"/>
      <c r="AA989" s="108"/>
      <c r="AB989" s="108"/>
      <c r="AC989" s="108"/>
      <c r="AD989" s="108"/>
    </row>
    <row r="990" spans="1:30" ht="13.5" customHeight="1">
      <c r="A990" s="108"/>
      <c r="B990" s="49"/>
      <c r="C990" s="50"/>
      <c r="D990" s="108"/>
      <c r="E990" s="108"/>
      <c r="F990" s="108"/>
      <c r="G990" s="108"/>
      <c r="H990" s="108"/>
      <c r="I990" s="108"/>
      <c r="J990" s="108"/>
      <c r="K990" s="108"/>
      <c r="L990" s="108"/>
      <c r="M990" s="108"/>
      <c r="N990" s="108"/>
      <c r="O990" s="108"/>
      <c r="P990" s="108"/>
      <c r="Q990" s="108"/>
      <c r="R990" s="108"/>
      <c r="S990" s="108"/>
      <c r="T990" s="108"/>
      <c r="U990" s="108"/>
      <c r="V990" s="108"/>
      <c r="W990" s="108"/>
      <c r="X990" s="108"/>
      <c r="Y990" s="108"/>
      <c r="Z990" s="108"/>
      <c r="AA990" s="108"/>
      <c r="AB990" s="108"/>
      <c r="AC990" s="108"/>
      <c r="AD990" s="108"/>
    </row>
    <row r="991" spans="1:30" ht="13.5" customHeight="1">
      <c r="A991" s="108"/>
      <c r="B991" s="49"/>
      <c r="C991" s="50"/>
      <c r="D991" s="108"/>
      <c r="E991" s="108"/>
      <c r="F991" s="108"/>
      <c r="G991" s="108"/>
      <c r="H991" s="108"/>
      <c r="I991" s="108"/>
      <c r="J991" s="108"/>
      <c r="K991" s="108"/>
      <c r="L991" s="108"/>
      <c r="M991" s="108"/>
      <c r="N991" s="108"/>
      <c r="O991" s="108"/>
      <c r="P991" s="108"/>
      <c r="Q991" s="108"/>
      <c r="R991" s="108"/>
      <c r="S991" s="108"/>
      <c r="T991" s="108"/>
      <c r="U991" s="108"/>
      <c r="V991" s="108"/>
      <c r="W991" s="108"/>
      <c r="X991" s="108"/>
      <c r="Y991" s="108"/>
      <c r="Z991" s="108"/>
      <c r="AA991" s="108"/>
      <c r="AB991" s="108"/>
      <c r="AC991" s="108"/>
      <c r="AD991" s="108"/>
    </row>
    <row r="992" spans="1:30" ht="13.5" customHeight="1">
      <c r="A992" s="108"/>
      <c r="B992" s="49"/>
      <c r="C992" s="50"/>
      <c r="D992" s="108"/>
      <c r="E992" s="108"/>
      <c r="F992" s="108"/>
      <c r="G992" s="108"/>
      <c r="H992" s="108"/>
      <c r="I992" s="108"/>
      <c r="J992" s="108"/>
      <c r="K992" s="108"/>
      <c r="L992" s="108"/>
      <c r="M992" s="108"/>
      <c r="N992" s="108"/>
      <c r="O992" s="108"/>
      <c r="P992" s="108"/>
      <c r="Q992" s="108"/>
      <c r="R992" s="108"/>
      <c r="S992" s="108"/>
      <c r="T992" s="108"/>
      <c r="U992" s="108"/>
      <c r="V992" s="108"/>
      <c r="W992" s="108"/>
      <c r="X992" s="108"/>
      <c r="Y992" s="108"/>
      <c r="Z992" s="108"/>
      <c r="AA992" s="108"/>
      <c r="AB992" s="108"/>
      <c r="AC992" s="108"/>
      <c r="AD992" s="108"/>
    </row>
    <row r="993" spans="1:30" ht="13.5" customHeight="1">
      <c r="A993" s="108"/>
      <c r="B993" s="49"/>
      <c r="C993" s="50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  <c r="AC993" s="108"/>
      <c r="AD993" s="108"/>
    </row>
    <row r="994" spans="1:30" ht="13.5" customHeight="1">
      <c r="A994" s="108"/>
      <c r="B994" s="49"/>
      <c r="C994" s="50"/>
      <c r="D994" s="108"/>
      <c r="E994" s="108"/>
      <c r="F994" s="108"/>
      <c r="G994" s="108"/>
      <c r="H994" s="108"/>
      <c r="I994" s="108"/>
      <c r="J994" s="108"/>
      <c r="K994" s="108"/>
      <c r="L994" s="108"/>
      <c r="M994" s="108"/>
      <c r="N994" s="108"/>
      <c r="O994" s="108"/>
      <c r="P994" s="108"/>
      <c r="Q994" s="108"/>
      <c r="R994" s="108"/>
      <c r="S994" s="108"/>
      <c r="T994" s="108"/>
      <c r="U994" s="108"/>
      <c r="V994" s="108"/>
      <c r="W994" s="108"/>
      <c r="X994" s="108"/>
      <c r="Y994" s="108"/>
      <c r="Z994" s="108"/>
      <c r="AA994" s="108"/>
      <c r="AB994" s="108"/>
      <c r="AC994" s="108"/>
      <c r="AD994" s="108"/>
    </row>
    <row r="995" spans="1:30" ht="13.5" customHeight="1">
      <c r="A995" s="108"/>
      <c r="B995" s="49"/>
      <c r="C995" s="50"/>
      <c r="D995" s="108"/>
      <c r="E995" s="108"/>
      <c r="F995" s="108"/>
      <c r="G995" s="108"/>
      <c r="H995" s="108"/>
      <c r="I995" s="108"/>
      <c r="J995" s="108"/>
      <c r="K995" s="108"/>
      <c r="L995" s="108"/>
      <c r="M995" s="108"/>
      <c r="N995" s="108"/>
      <c r="O995" s="108"/>
      <c r="P995" s="108"/>
      <c r="Q995" s="108"/>
      <c r="R995" s="108"/>
      <c r="S995" s="108"/>
      <c r="T995" s="108"/>
      <c r="U995" s="108"/>
      <c r="V995" s="108"/>
      <c r="W995" s="108"/>
      <c r="X995" s="108"/>
      <c r="Y995" s="108"/>
      <c r="Z995" s="108"/>
      <c r="AA995" s="108"/>
      <c r="AB995" s="108"/>
      <c r="AC995" s="108"/>
      <c r="AD995" s="108"/>
    </row>
    <row r="996" spans="1:30" ht="13.5" customHeight="1">
      <c r="A996" s="108"/>
      <c r="B996" s="49"/>
      <c r="C996" s="50"/>
      <c r="D996" s="108"/>
      <c r="E996" s="108"/>
      <c r="F996" s="108"/>
      <c r="G996" s="108"/>
      <c r="H996" s="108"/>
      <c r="I996" s="108"/>
      <c r="J996" s="108"/>
      <c r="K996" s="108"/>
      <c r="L996" s="108"/>
      <c r="M996" s="108"/>
      <c r="N996" s="108"/>
      <c r="O996" s="108"/>
      <c r="P996" s="108"/>
      <c r="Q996" s="108"/>
      <c r="R996" s="108"/>
      <c r="S996" s="108"/>
      <c r="T996" s="108"/>
      <c r="U996" s="108"/>
      <c r="V996" s="108"/>
      <c r="W996" s="108"/>
      <c r="X996" s="108"/>
      <c r="Y996" s="108"/>
      <c r="Z996" s="108"/>
      <c r="AA996" s="108"/>
      <c r="AB996" s="108"/>
      <c r="AC996" s="108"/>
      <c r="AD996" s="108"/>
    </row>
    <row r="997" spans="1:30" ht="13.5" customHeight="1">
      <c r="A997" s="108"/>
      <c r="B997" s="49"/>
      <c r="C997" s="50"/>
      <c r="D997" s="108"/>
      <c r="E997" s="108"/>
      <c r="F997" s="108"/>
      <c r="G997" s="108"/>
      <c r="H997" s="108"/>
      <c r="I997" s="108"/>
      <c r="J997" s="108"/>
      <c r="K997" s="108"/>
      <c r="L997" s="108"/>
      <c r="M997" s="108"/>
      <c r="N997" s="108"/>
      <c r="O997" s="108"/>
      <c r="P997" s="108"/>
      <c r="Q997" s="108"/>
      <c r="R997" s="108"/>
      <c r="S997" s="108"/>
      <c r="T997" s="108"/>
      <c r="U997" s="108"/>
      <c r="V997" s="108"/>
      <c r="W997" s="108"/>
      <c r="X997" s="108"/>
      <c r="Y997" s="108"/>
      <c r="Z997" s="108"/>
      <c r="AA997" s="108"/>
      <c r="AB997" s="108"/>
      <c r="AC997" s="108"/>
      <c r="AD997" s="108"/>
    </row>
    <row r="998" spans="1:30" ht="13.5" customHeight="1">
      <c r="A998" s="108"/>
      <c r="B998" s="108"/>
      <c r="C998" s="108"/>
      <c r="D998" s="108"/>
      <c r="E998" s="108"/>
      <c r="F998" s="108"/>
      <c r="G998" s="108"/>
      <c r="H998" s="108"/>
      <c r="I998" s="108"/>
      <c r="J998" s="108"/>
      <c r="K998" s="108"/>
      <c r="L998" s="108"/>
      <c r="M998" s="108"/>
      <c r="N998" s="108"/>
      <c r="O998" s="108"/>
      <c r="P998" s="108"/>
      <c r="Q998" s="108"/>
      <c r="R998" s="108"/>
      <c r="S998" s="108"/>
      <c r="T998" s="108"/>
      <c r="U998" s="108"/>
      <c r="V998" s="108"/>
      <c r="W998" s="108"/>
      <c r="X998" s="108"/>
      <c r="Y998" s="108"/>
      <c r="Z998" s="108"/>
      <c r="AA998" s="108"/>
      <c r="AB998" s="108"/>
      <c r="AC998" s="108"/>
      <c r="AD998" s="108"/>
    </row>
    <row r="999" spans="1:30" ht="13.5" customHeight="1">
      <c r="A999" s="108"/>
      <c r="B999" s="108"/>
      <c r="C999" s="108"/>
      <c r="D999" s="108"/>
      <c r="E999" s="108"/>
      <c r="F999" s="108"/>
      <c r="G999" s="108"/>
      <c r="H999" s="108"/>
      <c r="I999" s="108"/>
      <c r="J999" s="108"/>
      <c r="K999" s="108"/>
      <c r="L999" s="108"/>
      <c r="M999" s="108"/>
      <c r="N999" s="108"/>
      <c r="O999" s="108"/>
      <c r="P999" s="108"/>
      <c r="Q999" s="108"/>
      <c r="R999" s="108"/>
      <c r="S999" s="108"/>
      <c r="T999" s="108"/>
      <c r="U999" s="108"/>
      <c r="V999" s="108"/>
      <c r="W999" s="108"/>
      <c r="X999" s="108"/>
      <c r="Y999" s="108"/>
      <c r="Z999" s="108"/>
      <c r="AA999" s="108"/>
      <c r="AB999" s="108"/>
      <c r="AC999" s="108"/>
      <c r="AD999" s="108"/>
    </row>
    <row r="1000" spans="1:30" ht="13.5" customHeight="1">
      <c r="A1000" s="108"/>
      <c r="B1000" s="108"/>
      <c r="C1000" s="108"/>
      <c r="D1000" s="108"/>
      <c r="E1000" s="108"/>
      <c r="F1000" s="108"/>
      <c r="G1000" s="108"/>
      <c r="H1000" s="108"/>
      <c r="I1000" s="108"/>
      <c r="J1000" s="108"/>
      <c r="K1000" s="108"/>
      <c r="L1000" s="108"/>
      <c r="M1000" s="108"/>
      <c r="N1000" s="108"/>
      <c r="O1000" s="108"/>
      <c r="P1000" s="108"/>
      <c r="Q1000" s="108"/>
      <c r="R1000" s="108"/>
      <c r="S1000" s="108"/>
      <c r="T1000" s="108"/>
      <c r="U1000" s="108"/>
      <c r="V1000" s="108"/>
      <c r="W1000" s="108"/>
      <c r="X1000" s="108"/>
      <c r="Y1000" s="108"/>
      <c r="Z1000" s="108"/>
      <c r="AA1000" s="108"/>
      <c r="AB1000" s="108"/>
      <c r="AC1000" s="108"/>
      <c r="AD1000" s="108"/>
    </row>
    <row r="1001" spans="1:30" ht="13.5" customHeight="1">
      <c r="A1001" s="108"/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  <c r="AC1001" s="108"/>
      <c r="AD1001" s="108"/>
    </row>
    <row r="1002" spans="1:30" ht="12.75">
      <c r="A1002" s="108"/>
      <c r="B1002" s="108"/>
      <c r="C1002" s="108"/>
      <c r="D1002" s="108"/>
      <c r="E1002" s="108"/>
      <c r="F1002" s="108"/>
      <c r="G1002" s="108"/>
      <c r="H1002" s="108"/>
      <c r="I1002" s="108"/>
      <c r="J1002" s="108"/>
      <c r="K1002" s="108"/>
      <c r="L1002" s="108"/>
      <c r="M1002" s="108"/>
      <c r="N1002" s="108"/>
      <c r="O1002" s="108"/>
      <c r="P1002" s="108"/>
      <c r="Q1002" s="108"/>
      <c r="R1002" s="108"/>
      <c r="S1002" s="108"/>
      <c r="T1002" s="108"/>
      <c r="U1002" s="108"/>
      <c r="V1002" s="108"/>
      <c r="W1002" s="108"/>
      <c r="X1002" s="108"/>
      <c r="Y1002" s="108"/>
      <c r="Z1002" s="108"/>
      <c r="AA1002" s="108"/>
      <c r="AB1002" s="108"/>
      <c r="AC1002" s="108"/>
      <c r="AD1002" s="108"/>
    </row>
    <row r="1003" spans="1:30" ht="12.75">
      <c r="A1003" s="108"/>
      <c r="B1003" s="108"/>
      <c r="C1003" s="108"/>
      <c r="D1003" s="108"/>
      <c r="E1003" s="108"/>
      <c r="F1003" s="108"/>
      <c r="G1003" s="108"/>
      <c r="H1003" s="108"/>
      <c r="I1003" s="108"/>
      <c r="J1003" s="108"/>
      <c r="K1003" s="108"/>
      <c r="L1003" s="108"/>
      <c r="M1003" s="108"/>
      <c r="N1003" s="108"/>
      <c r="O1003" s="108"/>
      <c r="P1003" s="108"/>
      <c r="Q1003" s="108"/>
      <c r="R1003" s="108"/>
      <c r="S1003" s="108"/>
      <c r="T1003" s="108"/>
      <c r="U1003" s="108"/>
      <c r="V1003" s="108"/>
      <c r="W1003" s="108"/>
      <c r="X1003" s="108"/>
      <c r="Y1003" s="108"/>
      <c r="Z1003" s="108"/>
      <c r="AA1003" s="108"/>
      <c r="AB1003" s="108"/>
      <c r="AC1003" s="108"/>
      <c r="AD1003" s="108"/>
    </row>
    <row r="1004" spans="1:30" ht="12.75">
      <c r="A1004" s="108"/>
      <c r="B1004" s="108"/>
      <c r="C1004" s="108"/>
      <c r="D1004" s="108"/>
      <c r="E1004" s="108"/>
      <c r="F1004" s="108"/>
      <c r="G1004" s="108"/>
      <c r="H1004" s="108"/>
      <c r="I1004" s="108"/>
      <c r="J1004" s="108"/>
      <c r="K1004" s="108"/>
      <c r="L1004" s="108"/>
      <c r="M1004" s="108"/>
      <c r="N1004" s="108"/>
      <c r="O1004" s="108"/>
      <c r="P1004" s="108"/>
      <c r="Q1004" s="108"/>
      <c r="R1004" s="108"/>
      <c r="S1004" s="108"/>
      <c r="T1004" s="108"/>
      <c r="U1004" s="108"/>
      <c r="V1004" s="108"/>
      <c r="W1004" s="108"/>
      <c r="X1004" s="108"/>
      <c r="Y1004" s="108"/>
      <c r="Z1004" s="108"/>
      <c r="AA1004" s="108"/>
      <c r="AB1004" s="108"/>
      <c r="AC1004" s="108"/>
      <c r="AD1004" s="108"/>
    </row>
    <row r="1005" spans="1:30" ht="12.75">
      <c r="A1005" s="108"/>
      <c r="B1005" s="108"/>
      <c r="C1005" s="108"/>
      <c r="D1005" s="108"/>
      <c r="E1005" s="108"/>
      <c r="F1005" s="108"/>
      <c r="G1005" s="108"/>
      <c r="H1005" s="108"/>
      <c r="I1005" s="108"/>
      <c r="J1005" s="108"/>
      <c r="K1005" s="108"/>
      <c r="L1005" s="108"/>
      <c r="M1005" s="108"/>
      <c r="N1005" s="108"/>
      <c r="O1005" s="108"/>
      <c r="P1005" s="108"/>
      <c r="Q1005" s="108"/>
      <c r="R1005" s="108"/>
      <c r="S1005" s="108"/>
      <c r="T1005" s="108"/>
      <c r="U1005" s="108"/>
      <c r="V1005" s="108"/>
      <c r="W1005" s="108"/>
      <c r="X1005" s="108"/>
      <c r="Y1005" s="108"/>
      <c r="Z1005" s="108"/>
      <c r="AA1005" s="108"/>
      <c r="AB1005" s="108"/>
      <c r="AC1005" s="108"/>
      <c r="AD1005" s="108"/>
    </row>
  </sheetData>
  <mergeCells count="16">
    <mergeCell ref="J43:K43"/>
    <mergeCell ref="J44:K44"/>
    <mergeCell ref="J45:K45"/>
    <mergeCell ref="J46:K46"/>
    <mergeCell ref="B5:C5"/>
    <mergeCell ref="F5:F6"/>
    <mergeCell ref="J41:K41"/>
    <mergeCell ref="E4:E6"/>
    <mergeCell ref="G4:G6"/>
    <mergeCell ref="AA40:AB40"/>
    <mergeCell ref="J42:K42"/>
    <mergeCell ref="H2:H6"/>
    <mergeCell ref="K3:K6"/>
    <mergeCell ref="L3:U6"/>
    <mergeCell ref="I4:I6"/>
    <mergeCell ref="J4:J6"/>
  </mergeCells>
  <pageMargins left="0.7" right="0.7" top="0.75" bottom="0.75" header="0.511811023622047" footer="0.511811023622047"/>
  <pageSetup orientation="portrait" horizontalDpi="300" verticalDpi="300"/>
  <drawing r:id="rId2"/>
  <legacyDrawing r:id="rId3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K1000"/>
  <sheetViews>
    <sheetView showGridLines="0" zoomScaleNormal="100" workbookViewId="0">
      <selection activeCell="I34" sqref="I34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ADB"/>
  </sheetPr>
  <dimension ref="B1:AB996"/>
  <sheetViews>
    <sheetView showGridLines="0" zoomScaleNormal="100" workbookViewId="0">
      <selection activeCell="D2" sqref="D2"/>
    </sheetView>
  </sheetViews>
  <sheetFormatPr defaultColWidth="14.42578125" defaultRowHeight="13.15"/>
  <cols>
    <col min="1" max="1" width="5.42578125" style="1" customWidth="1"/>
    <col min="2" max="3" width="11.42578125" style="1" customWidth="1"/>
    <col min="4" max="4" width="60.85546875" style="1" customWidth="1"/>
    <col min="5" max="5" width="15" style="1" customWidth="1"/>
    <col min="6" max="6" width="13.28515625" style="1" customWidth="1"/>
    <col min="7" max="7" width="12.5703125" style="1" customWidth="1"/>
    <col min="8" max="11" width="11.5703125" style="1" customWidth="1"/>
    <col min="12" max="26" width="3.7109375" style="1" customWidth="1"/>
    <col min="27" max="29" width="14.42578125" style="1" customWidth="1"/>
    <col min="30" max="16384" width="14.42578125" style="1"/>
  </cols>
  <sheetData>
    <row r="1" spans="2:28" ht="13.5" customHeight="1"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</row>
    <row r="2" spans="2:28" ht="13.5" customHeight="1">
      <c r="B2" s="49"/>
      <c r="C2" s="50"/>
      <c r="D2" s="108"/>
      <c r="E2" s="108"/>
      <c r="F2" s="108"/>
      <c r="G2" s="108"/>
      <c r="H2" s="133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</row>
    <row r="3" spans="2:28" ht="13.5" customHeight="1">
      <c r="B3" s="49"/>
      <c r="C3" s="50"/>
      <c r="D3" s="108"/>
      <c r="E3" s="108"/>
      <c r="F3" s="108"/>
      <c r="G3" s="108"/>
      <c r="H3" s="133"/>
      <c r="I3" s="108"/>
      <c r="J3" s="108"/>
      <c r="K3" s="136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08"/>
      <c r="W3" s="108"/>
      <c r="X3" s="108"/>
      <c r="Y3" s="108"/>
      <c r="Z3" s="108"/>
      <c r="AA3" s="108"/>
      <c r="AB3" s="108"/>
    </row>
    <row r="4" spans="2:28" ht="12.75" customHeight="1">
      <c r="B4" s="49"/>
      <c r="C4" s="50"/>
      <c r="D4" s="108"/>
      <c r="E4" s="135"/>
      <c r="F4" s="108"/>
      <c r="G4" s="134"/>
      <c r="H4" s="133"/>
      <c r="I4" s="136"/>
      <c r="J4" s="133"/>
      <c r="K4" s="136"/>
      <c r="L4" s="136"/>
      <c r="M4" s="137"/>
      <c r="N4" s="137"/>
      <c r="O4" s="137"/>
      <c r="P4" s="137"/>
      <c r="Q4" s="137"/>
      <c r="R4" s="137"/>
      <c r="S4" s="137"/>
      <c r="T4" s="137"/>
      <c r="U4" s="137"/>
      <c r="V4" s="108"/>
      <c r="W4" s="108"/>
      <c r="X4" s="108"/>
      <c r="Y4" s="108"/>
      <c r="Z4" s="108"/>
      <c r="AA4" s="108"/>
      <c r="AB4" s="108"/>
    </row>
    <row r="5" spans="2:28" ht="18" customHeight="1">
      <c r="B5" s="138" t="s">
        <v>275</v>
      </c>
      <c r="C5" s="138"/>
      <c r="D5" s="108"/>
      <c r="E5" s="135"/>
      <c r="F5" s="139"/>
      <c r="G5" s="134"/>
      <c r="H5" s="134"/>
      <c r="I5" s="134"/>
      <c r="J5" s="134"/>
      <c r="K5" s="134"/>
      <c r="L5" s="134"/>
      <c r="M5" s="137"/>
      <c r="N5" s="137"/>
      <c r="O5" s="137"/>
      <c r="P5" s="137"/>
      <c r="Q5" s="137"/>
      <c r="R5" s="137"/>
      <c r="S5" s="137"/>
      <c r="T5" s="137"/>
      <c r="U5" s="137"/>
      <c r="V5" s="108"/>
      <c r="W5" s="108"/>
      <c r="X5" s="108"/>
      <c r="Y5" s="108"/>
      <c r="Z5" s="108"/>
      <c r="AA5" s="108"/>
      <c r="AB5" s="108"/>
    </row>
    <row r="6" spans="2:28" ht="13.5" customHeight="1">
      <c r="B6" s="51"/>
      <c r="C6" s="50"/>
      <c r="D6" s="108"/>
      <c r="E6" s="135"/>
      <c r="F6" s="135"/>
      <c r="G6" s="135"/>
      <c r="H6" s="135"/>
      <c r="I6" s="135"/>
      <c r="J6" s="135"/>
      <c r="K6" s="135"/>
      <c r="L6" s="135"/>
      <c r="M6" s="137"/>
      <c r="N6" s="137"/>
      <c r="O6" s="137"/>
      <c r="P6" s="137"/>
      <c r="Q6" s="137"/>
      <c r="R6" s="137"/>
      <c r="S6" s="137"/>
      <c r="T6" s="137"/>
      <c r="U6" s="137"/>
      <c r="V6" s="108"/>
      <c r="W6" s="108"/>
      <c r="X6" s="108"/>
      <c r="Y6" s="108"/>
      <c r="Z6" s="108"/>
      <c r="AA6" s="108"/>
      <c r="AB6" s="108"/>
    </row>
    <row r="7" spans="2:28" s="79" customFormat="1" ht="34.5" customHeight="1">
      <c r="B7" s="52" t="s">
        <v>277</v>
      </c>
      <c r="C7" s="52" t="s">
        <v>278</v>
      </c>
      <c r="D7" s="52" t="s">
        <v>19</v>
      </c>
      <c r="E7" s="52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</row>
    <row r="8" spans="2:28" ht="13.5" customHeight="1">
      <c r="B8" s="56" t="s">
        <v>514</v>
      </c>
      <c r="C8" s="57" t="s">
        <v>215</v>
      </c>
      <c r="D8" s="59" t="s">
        <v>515</v>
      </c>
      <c r="E8" s="59"/>
      <c r="F8" s="59" t="s">
        <v>31</v>
      </c>
      <c r="G8" s="57">
        <v>10</v>
      </c>
      <c r="H8" s="72">
        <v>0</v>
      </c>
      <c r="I8" s="72">
        <f t="shared" ref="I8:I32" si="0">SUM(G8-H8)</f>
        <v>10</v>
      </c>
      <c r="J8" s="72">
        <v>0</v>
      </c>
      <c r="K8" s="72">
        <f t="shared" ref="K8:K32" si="1">SUM(J8-G8)</f>
        <v>-10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108"/>
      <c r="AB8" s="112"/>
    </row>
    <row r="9" spans="2:28" ht="13.5" customHeight="1">
      <c r="B9" s="56" t="s">
        <v>516</v>
      </c>
      <c r="C9" s="61" t="s">
        <v>215</v>
      </c>
      <c r="D9" s="58" t="s">
        <v>517</v>
      </c>
      <c r="E9" s="59"/>
      <c r="F9" s="58" t="s">
        <v>31</v>
      </c>
      <c r="G9" s="57">
        <v>8</v>
      </c>
      <c r="H9" s="73">
        <v>0</v>
      </c>
      <c r="I9" s="73">
        <f t="shared" si="0"/>
        <v>8</v>
      </c>
      <c r="J9" s="73">
        <v>0</v>
      </c>
      <c r="K9" s="73">
        <f t="shared" si="1"/>
        <v>-8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108"/>
      <c r="AB9" s="112"/>
    </row>
    <row r="10" spans="2:28" ht="13.5" customHeight="1">
      <c r="B10" s="56" t="s">
        <v>518</v>
      </c>
      <c r="C10" s="61" t="s">
        <v>226</v>
      </c>
      <c r="D10" s="58" t="s">
        <v>519</v>
      </c>
      <c r="E10" s="59"/>
      <c r="F10" s="58" t="s">
        <v>31</v>
      </c>
      <c r="G10" s="57">
        <v>10</v>
      </c>
      <c r="H10" s="73">
        <v>0</v>
      </c>
      <c r="I10" s="73">
        <f t="shared" si="0"/>
        <v>10</v>
      </c>
      <c r="J10" s="73">
        <v>0</v>
      </c>
      <c r="K10" s="73">
        <f t="shared" si="1"/>
        <v>-10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108"/>
      <c r="AB10" s="127"/>
    </row>
    <row r="11" spans="2:28" ht="13.5" customHeight="1">
      <c r="B11" s="56" t="s">
        <v>520</v>
      </c>
      <c r="C11" s="61" t="s">
        <v>226</v>
      </c>
      <c r="D11" s="58" t="s">
        <v>521</v>
      </c>
      <c r="E11" s="59"/>
      <c r="F11" s="58" t="s">
        <v>31</v>
      </c>
      <c r="G11" s="57">
        <v>10</v>
      </c>
      <c r="H11" s="73">
        <v>0</v>
      </c>
      <c r="I11" s="73">
        <f t="shared" si="0"/>
        <v>10</v>
      </c>
      <c r="J11" s="73">
        <v>0</v>
      </c>
      <c r="K11" s="73">
        <f t="shared" si="1"/>
        <v>-10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108"/>
      <c r="AB11" s="112"/>
    </row>
    <row r="12" spans="2:28" ht="13.5" customHeight="1">
      <c r="B12" s="56" t="s">
        <v>522</v>
      </c>
      <c r="C12" s="61" t="s">
        <v>226</v>
      </c>
      <c r="D12" s="58" t="s">
        <v>523</v>
      </c>
      <c r="E12" s="59"/>
      <c r="F12" s="58" t="s">
        <v>31</v>
      </c>
      <c r="G12" s="57">
        <v>8</v>
      </c>
      <c r="H12" s="73">
        <v>0</v>
      </c>
      <c r="I12" s="73">
        <f t="shared" si="0"/>
        <v>8</v>
      </c>
      <c r="J12" s="73">
        <v>0</v>
      </c>
      <c r="K12" s="73">
        <f t="shared" si="1"/>
        <v>-8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108"/>
      <c r="AB12" s="112"/>
    </row>
    <row r="13" spans="2:28" ht="13.5" customHeight="1">
      <c r="B13" s="56" t="s">
        <v>524</v>
      </c>
      <c r="C13" s="61" t="s">
        <v>231</v>
      </c>
      <c r="D13" s="58" t="s">
        <v>525</v>
      </c>
      <c r="E13" s="59"/>
      <c r="F13" s="58" t="s">
        <v>31</v>
      </c>
      <c r="G13" s="57">
        <v>10</v>
      </c>
      <c r="H13" s="73">
        <v>0</v>
      </c>
      <c r="I13" s="73">
        <f t="shared" si="0"/>
        <v>10</v>
      </c>
      <c r="J13" s="73">
        <v>0</v>
      </c>
      <c r="K13" s="73">
        <f t="shared" si="1"/>
        <v>-10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108"/>
      <c r="AB13" s="112"/>
    </row>
    <row r="14" spans="2:28" ht="13.5" customHeight="1">
      <c r="B14" s="56" t="s">
        <v>526</v>
      </c>
      <c r="C14" s="61" t="s">
        <v>231</v>
      </c>
      <c r="D14" s="58" t="s">
        <v>527</v>
      </c>
      <c r="E14" s="59"/>
      <c r="F14" s="58" t="s">
        <v>31</v>
      </c>
      <c r="G14" s="57">
        <v>14</v>
      </c>
      <c r="H14" s="73">
        <v>0</v>
      </c>
      <c r="I14" s="73">
        <f t="shared" si="0"/>
        <v>14</v>
      </c>
      <c r="J14" s="73">
        <v>0</v>
      </c>
      <c r="K14" s="73">
        <f t="shared" si="1"/>
        <v>-14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108"/>
      <c r="AB14" s="112"/>
    </row>
    <row r="15" spans="2:28" ht="13.5" customHeight="1">
      <c r="B15" s="56" t="s">
        <v>528</v>
      </c>
      <c r="C15" s="61" t="s">
        <v>231</v>
      </c>
      <c r="D15" s="58" t="s">
        <v>529</v>
      </c>
      <c r="E15" s="59"/>
      <c r="F15" s="58" t="s">
        <v>31</v>
      </c>
      <c r="G15" s="57">
        <v>6</v>
      </c>
      <c r="H15" s="73">
        <v>0</v>
      </c>
      <c r="I15" s="73">
        <f t="shared" si="0"/>
        <v>6</v>
      </c>
      <c r="J15" s="73">
        <v>0</v>
      </c>
      <c r="K15" s="73">
        <f t="shared" si="1"/>
        <v>-6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108"/>
      <c r="AB15" s="112"/>
    </row>
    <row r="16" spans="2:28" ht="13.5" customHeight="1">
      <c r="B16" s="56" t="s">
        <v>530</v>
      </c>
      <c r="C16" s="61" t="s">
        <v>241</v>
      </c>
      <c r="D16" s="58" t="s">
        <v>513</v>
      </c>
      <c r="E16" s="59"/>
      <c r="F16" s="58" t="s">
        <v>31</v>
      </c>
      <c r="G16" s="57">
        <v>12</v>
      </c>
      <c r="H16" s="73">
        <v>0</v>
      </c>
      <c r="I16" s="73">
        <f t="shared" si="0"/>
        <v>12</v>
      </c>
      <c r="J16" s="73">
        <v>0</v>
      </c>
      <c r="K16" s="73">
        <f t="shared" si="1"/>
        <v>-12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08"/>
      <c r="AB16" s="112"/>
    </row>
    <row r="17" spans="2:28" ht="13.5" customHeight="1">
      <c r="B17" s="56" t="s">
        <v>531</v>
      </c>
      <c r="C17" s="61" t="s">
        <v>241</v>
      </c>
      <c r="D17" s="58" t="s">
        <v>532</v>
      </c>
      <c r="E17" s="59"/>
      <c r="F17" s="58" t="s">
        <v>31</v>
      </c>
      <c r="G17" s="57">
        <v>10</v>
      </c>
      <c r="H17" s="73">
        <v>0</v>
      </c>
      <c r="I17" s="73">
        <f t="shared" si="0"/>
        <v>10</v>
      </c>
      <c r="J17" s="73">
        <v>0</v>
      </c>
      <c r="K17" s="73">
        <f t="shared" si="1"/>
        <v>-10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108"/>
      <c r="AB17" s="112"/>
    </row>
    <row r="18" spans="2:28" ht="13.5" customHeight="1">
      <c r="B18" s="56" t="s">
        <v>533</v>
      </c>
      <c r="C18" s="61" t="s">
        <v>241</v>
      </c>
      <c r="D18" s="58" t="s">
        <v>534</v>
      </c>
      <c r="E18" s="59"/>
      <c r="F18" s="58" t="s">
        <v>31</v>
      </c>
      <c r="G18" s="57">
        <v>18</v>
      </c>
      <c r="H18" s="73">
        <v>0</v>
      </c>
      <c r="I18" s="73">
        <f t="shared" si="0"/>
        <v>18</v>
      </c>
      <c r="J18" s="73">
        <v>0</v>
      </c>
      <c r="K18" s="73">
        <f t="shared" si="1"/>
        <v>-18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108"/>
      <c r="AB18" s="112"/>
    </row>
    <row r="19" spans="2:28" ht="13.5" customHeight="1">
      <c r="B19" s="56" t="s">
        <v>535</v>
      </c>
      <c r="C19" s="61" t="s">
        <v>241</v>
      </c>
      <c r="D19" s="58" t="s">
        <v>536</v>
      </c>
      <c r="E19" s="59"/>
      <c r="F19" s="58" t="s">
        <v>31</v>
      </c>
      <c r="G19" s="57">
        <v>6</v>
      </c>
      <c r="H19" s="73">
        <v>0</v>
      </c>
      <c r="I19" s="73">
        <f t="shared" si="0"/>
        <v>6</v>
      </c>
      <c r="J19" s="73">
        <v>0</v>
      </c>
      <c r="K19" s="73">
        <f t="shared" si="1"/>
        <v>-6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108"/>
      <c r="AB19" s="112"/>
    </row>
    <row r="20" spans="2:28" ht="13.5" customHeight="1">
      <c r="B20" s="56" t="s">
        <v>537</v>
      </c>
      <c r="C20" s="61" t="s">
        <v>164</v>
      </c>
      <c r="D20" s="58" t="s">
        <v>538</v>
      </c>
      <c r="E20" s="59"/>
      <c r="F20" s="58" t="s">
        <v>31</v>
      </c>
      <c r="G20" s="57">
        <v>10</v>
      </c>
      <c r="H20" s="73">
        <v>0</v>
      </c>
      <c r="I20" s="73">
        <f t="shared" si="0"/>
        <v>10</v>
      </c>
      <c r="J20" s="73">
        <v>0</v>
      </c>
      <c r="K20" s="73">
        <f t="shared" si="1"/>
        <v>-10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108"/>
      <c r="AB20" s="112"/>
    </row>
    <row r="21" spans="2:28" ht="13.5" customHeight="1">
      <c r="B21" s="56" t="s">
        <v>539</v>
      </c>
      <c r="C21" s="61" t="s">
        <v>164</v>
      </c>
      <c r="D21" s="58" t="s">
        <v>540</v>
      </c>
      <c r="E21" s="59"/>
      <c r="F21" s="58" t="s">
        <v>31</v>
      </c>
      <c r="G21" s="57">
        <v>24</v>
      </c>
      <c r="H21" s="73">
        <v>0</v>
      </c>
      <c r="I21" s="73">
        <f t="shared" si="0"/>
        <v>24</v>
      </c>
      <c r="J21" s="73">
        <v>0</v>
      </c>
      <c r="K21" s="73">
        <f t="shared" si="1"/>
        <v>-24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108"/>
      <c r="AB21" s="112"/>
    </row>
    <row r="22" spans="2:28" ht="13.5" customHeight="1">
      <c r="B22" s="56" t="s">
        <v>541</v>
      </c>
      <c r="C22" s="61" t="s">
        <v>164</v>
      </c>
      <c r="D22" s="58" t="s">
        <v>542</v>
      </c>
      <c r="E22" s="59"/>
      <c r="F22" s="58" t="s">
        <v>31</v>
      </c>
      <c r="G22" s="57">
        <v>10</v>
      </c>
      <c r="H22" s="73">
        <v>0</v>
      </c>
      <c r="I22" s="73">
        <f t="shared" si="0"/>
        <v>10</v>
      </c>
      <c r="J22" s="73">
        <v>0</v>
      </c>
      <c r="K22" s="73">
        <f t="shared" si="1"/>
        <v>-10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108"/>
      <c r="AB22" s="112"/>
    </row>
    <row r="23" spans="2:28" ht="13.5" customHeight="1">
      <c r="B23" s="56" t="s">
        <v>543</v>
      </c>
      <c r="C23" s="61" t="s">
        <v>164</v>
      </c>
      <c r="D23" s="58" t="s">
        <v>544</v>
      </c>
      <c r="E23" s="59"/>
      <c r="F23" s="58" t="s">
        <v>31</v>
      </c>
      <c r="G23" s="57">
        <v>4</v>
      </c>
      <c r="H23" s="73">
        <v>0</v>
      </c>
      <c r="I23" s="73">
        <f t="shared" si="0"/>
        <v>4</v>
      </c>
      <c r="J23" s="73">
        <v>0</v>
      </c>
      <c r="K23" s="73">
        <f t="shared" si="1"/>
        <v>-4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108"/>
      <c r="AB23" s="112"/>
    </row>
    <row r="24" spans="2:28" ht="13.5" customHeight="1">
      <c r="B24" s="56" t="s">
        <v>545</v>
      </c>
      <c r="C24" s="61" t="s">
        <v>184</v>
      </c>
      <c r="D24" s="58" t="s">
        <v>546</v>
      </c>
      <c r="E24" s="59"/>
      <c r="F24" s="58" t="s">
        <v>31</v>
      </c>
      <c r="G24" s="57">
        <v>6</v>
      </c>
      <c r="H24" s="73">
        <v>0</v>
      </c>
      <c r="I24" s="73">
        <f t="shared" si="0"/>
        <v>6</v>
      </c>
      <c r="J24" s="73">
        <v>0</v>
      </c>
      <c r="K24" s="73">
        <f t="shared" si="1"/>
        <v>-6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108"/>
      <c r="AB24" s="112"/>
    </row>
    <row r="25" spans="2:28" ht="13.5" customHeight="1">
      <c r="B25" s="56" t="s">
        <v>547</v>
      </c>
      <c r="C25" s="61" t="s">
        <v>184</v>
      </c>
      <c r="D25" s="58" t="s">
        <v>548</v>
      </c>
      <c r="E25" s="59"/>
      <c r="F25" s="58" t="s">
        <v>31</v>
      </c>
      <c r="G25" s="57">
        <v>6</v>
      </c>
      <c r="H25" s="73">
        <v>0</v>
      </c>
      <c r="I25" s="73">
        <f t="shared" si="0"/>
        <v>6</v>
      </c>
      <c r="J25" s="73">
        <v>0</v>
      </c>
      <c r="K25" s="73">
        <f t="shared" si="1"/>
        <v>-6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108"/>
      <c r="AB25" s="112"/>
    </row>
    <row r="26" spans="2:28" ht="13.5" customHeight="1">
      <c r="B26" s="56" t="s">
        <v>549</v>
      </c>
      <c r="C26" s="61" t="s">
        <v>184</v>
      </c>
      <c r="D26" s="58" t="s">
        <v>550</v>
      </c>
      <c r="E26" s="59"/>
      <c r="F26" s="58" t="s">
        <v>31</v>
      </c>
      <c r="G26" s="57">
        <v>4</v>
      </c>
      <c r="H26" s="73">
        <v>0</v>
      </c>
      <c r="I26" s="73">
        <f t="shared" si="0"/>
        <v>4</v>
      </c>
      <c r="J26" s="73">
        <v>0</v>
      </c>
      <c r="K26" s="73">
        <f t="shared" si="1"/>
        <v>-4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108"/>
      <c r="AB26" s="112"/>
    </row>
    <row r="27" spans="2:28" ht="13.5" customHeight="1">
      <c r="B27" s="56" t="s">
        <v>551</v>
      </c>
      <c r="C27" s="61" t="s">
        <v>189</v>
      </c>
      <c r="D27" s="58" t="s">
        <v>552</v>
      </c>
      <c r="E27" s="59"/>
      <c r="F27" s="58" t="s">
        <v>31</v>
      </c>
      <c r="G27" s="57">
        <v>10</v>
      </c>
      <c r="H27" s="73">
        <v>0</v>
      </c>
      <c r="I27" s="73">
        <f t="shared" si="0"/>
        <v>10</v>
      </c>
      <c r="J27" s="73">
        <v>0</v>
      </c>
      <c r="K27" s="73">
        <f t="shared" si="1"/>
        <v>-10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108"/>
      <c r="AB27" s="112"/>
    </row>
    <row r="28" spans="2:28" ht="13.5" customHeight="1">
      <c r="B28" s="56" t="s">
        <v>553</v>
      </c>
      <c r="C28" s="61" t="s">
        <v>189</v>
      </c>
      <c r="D28" s="58" t="s">
        <v>554</v>
      </c>
      <c r="E28" s="59"/>
      <c r="F28" s="58" t="s">
        <v>31</v>
      </c>
      <c r="G28" s="57">
        <v>14</v>
      </c>
      <c r="H28" s="73">
        <v>0</v>
      </c>
      <c r="I28" s="73">
        <f t="shared" si="0"/>
        <v>14</v>
      </c>
      <c r="J28" s="73">
        <v>0</v>
      </c>
      <c r="K28" s="73">
        <f t="shared" si="1"/>
        <v>-14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108"/>
      <c r="AB28" s="112"/>
    </row>
    <row r="29" spans="2:28" ht="13.5" customHeight="1">
      <c r="B29" s="56" t="s">
        <v>555</v>
      </c>
      <c r="C29" s="61" t="s">
        <v>189</v>
      </c>
      <c r="D29" s="58" t="s">
        <v>556</v>
      </c>
      <c r="E29" s="59"/>
      <c r="F29" s="58" t="s">
        <v>31</v>
      </c>
      <c r="G29" s="57">
        <v>4</v>
      </c>
      <c r="H29" s="73">
        <v>0</v>
      </c>
      <c r="I29" s="73">
        <f t="shared" si="0"/>
        <v>4</v>
      </c>
      <c r="J29" s="73">
        <v>0</v>
      </c>
      <c r="K29" s="73">
        <f t="shared" si="1"/>
        <v>-4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108"/>
      <c r="AB29" s="112"/>
    </row>
    <row r="30" spans="2:28" ht="13.5" customHeight="1">
      <c r="B30" s="56" t="s">
        <v>557</v>
      </c>
      <c r="C30" s="61" t="s">
        <v>194</v>
      </c>
      <c r="D30" s="58" t="s">
        <v>558</v>
      </c>
      <c r="E30" s="59"/>
      <c r="F30" s="58" t="s">
        <v>31</v>
      </c>
      <c r="G30" s="57">
        <v>10</v>
      </c>
      <c r="H30" s="73">
        <v>0</v>
      </c>
      <c r="I30" s="73">
        <f t="shared" si="0"/>
        <v>10</v>
      </c>
      <c r="J30" s="73">
        <v>0</v>
      </c>
      <c r="K30" s="73">
        <f t="shared" si="1"/>
        <v>-10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108"/>
      <c r="AB30" s="112"/>
    </row>
    <row r="31" spans="2:28" ht="13.5" customHeight="1">
      <c r="B31" s="56" t="s">
        <v>559</v>
      </c>
      <c r="C31" s="61" t="s">
        <v>194</v>
      </c>
      <c r="D31" s="58" t="s">
        <v>560</v>
      </c>
      <c r="E31" s="59"/>
      <c r="F31" s="58" t="s">
        <v>31</v>
      </c>
      <c r="G31" s="57">
        <v>10</v>
      </c>
      <c r="H31" s="73">
        <v>0</v>
      </c>
      <c r="I31" s="73">
        <f t="shared" si="0"/>
        <v>10</v>
      </c>
      <c r="J31" s="73">
        <v>0</v>
      </c>
      <c r="K31" s="73">
        <f t="shared" si="1"/>
        <v>-10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108"/>
      <c r="AB31" s="112"/>
    </row>
    <row r="32" spans="2:28" ht="13.5" customHeight="1">
      <c r="B32" s="56" t="s">
        <v>561</v>
      </c>
      <c r="C32" s="61" t="s">
        <v>194</v>
      </c>
      <c r="D32" s="58" t="s">
        <v>562</v>
      </c>
      <c r="E32" s="59"/>
      <c r="F32" s="58" t="s">
        <v>31</v>
      </c>
      <c r="G32" s="57">
        <v>4</v>
      </c>
      <c r="H32" s="73">
        <v>0</v>
      </c>
      <c r="I32" s="73">
        <f t="shared" si="0"/>
        <v>4</v>
      </c>
      <c r="J32" s="73">
        <v>0</v>
      </c>
      <c r="K32" s="73">
        <f t="shared" si="1"/>
        <v>-4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108"/>
      <c r="AB32" s="112"/>
    </row>
    <row r="33" spans="2:28" ht="13.5" customHeight="1">
      <c r="B33" s="62"/>
      <c r="C33" s="63"/>
      <c r="D33" s="64"/>
      <c r="E33" s="64"/>
      <c r="F33" s="65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08"/>
      <c r="AB33" s="108"/>
    </row>
    <row r="34" spans="2:28" ht="13.5" customHeight="1">
      <c r="B34" s="75"/>
      <c r="C34" s="76"/>
      <c r="D34" s="66"/>
      <c r="E34" s="66"/>
      <c r="F34" s="77" t="s">
        <v>267</v>
      </c>
      <c r="G34" s="129">
        <f>SUM(G8:G32)</f>
        <v>238</v>
      </c>
      <c r="H34" s="129">
        <f>SUM(H8:H32)</f>
        <v>0</v>
      </c>
      <c r="I34" s="129">
        <f>SUM(I8:I32)</f>
        <v>238</v>
      </c>
      <c r="J34" s="129">
        <f>SUM(J8:J32)</f>
        <v>0</v>
      </c>
      <c r="K34" s="129">
        <f>SUM(K8:K32)</f>
        <v>-238</v>
      </c>
      <c r="L34" s="129">
        <f t="shared" ref="L34:Z34" si="2">SUBTOTAL(9,L7:L32)</f>
        <v>0</v>
      </c>
      <c r="M34" s="129">
        <f t="shared" si="2"/>
        <v>0</v>
      </c>
      <c r="N34" s="129">
        <f t="shared" si="2"/>
        <v>0</v>
      </c>
      <c r="O34" s="129">
        <f t="shared" si="2"/>
        <v>0</v>
      </c>
      <c r="P34" s="129">
        <f t="shared" si="2"/>
        <v>0</v>
      </c>
      <c r="Q34" s="129">
        <f t="shared" si="2"/>
        <v>0</v>
      </c>
      <c r="R34" s="129">
        <f t="shared" si="2"/>
        <v>0</v>
      </c>
      <c r="S34" s="129">
        <f t="shared" si="2"/>
        <v>0</v>
      </c>
      <c r="T34" s="129">
        <f t="shared" si="2"/>
        <v>0</v>
      </c>
      <c r="U34" s="129">
        <f t="shared" si="2"/>
        <v>0</v>
      </c>
      <c r="V34" s="129">
        <f t="shared" si="2"/>
        <v>0</v>
      </c>
      <c r="W34" s="129">
        <f t="shared" si="2"/>
        <v>0</v>
      </c>
      <c r="X34" s="129">
        <f t="shared" si="2"/>
        <v>0</v>
      </c>
      <c r="Y34" s="129">
        <f t="shared" si="2"/>
        <v>0</v>
      </c>
      <c r="Z34" s="129">
        <f t="shared" si="2"/>
        <v>0</v>
      </c>
      <c r="AA34" s="108"/>
      <c r="AB34" s="108"/>
    </row>
    <row r="35" spans="2:28" ht="13.5" customHeight="1">
      <c r="B35" s="75"/>
      <c r="C35" s="76"/>
      <c r="D35" s="66"/>
      <c r="E35" s="66"/>
      <c r="F35" s="77" t="s">
        <v>333</v>
      </c>
      <c r="G35" s="129"/>
      <c r="H35" s="129"/>
      <c r="I35" s="129"/>
      <c r="J35" s="129"/>
      <c r="K35" s="129"/>
      <c r="L35" s="129">
        <f>G34-L34</f>
        <v>238</v>
      </c>
      <c r="M35" s="129">
        <f t="shared" ref="M35:Z35" si="3">L35-M34</f>
        <v>238</v>
      </c>
      <c r="N35" s="129">
        <f t="shared" si="3"/>
        <v>238</v>
      </c>
      <c r="O35" s="129">
        <f t="shared" si="3"/>
        <v>238</v>
      </c>
      <c r="P35" s="129">
        <f t="shared" si="3"/>
        <v>238</v>
      </c>
      <c r="Q35" s="129">
        <f t="shared" si="3"/>
        <v>238</v>
      </c>
      <c r="R35" s="129">
        <f t="shared" si="3"/>
        <v>238</v>
      </c>
      <c r="S35" s="129">
        <f t="shared" si="3"/>
        <v>238</v>
      </c>
      <c r="T35" s="129">
        <f t="shared" si="3"/>
        <v>238</v>
      </c>
      <c r="U35" s="129">
        <f t="shared" si="3"/>
        <v>238</v>
      </c>
      <c r="V35" s="129">
        <f t="shared" si="3"/>
        <v>238</v>
      </c>
      <c r="W35" s="129">
        <f t="shared" si="3"/>
        <v>238</v>
      </c>
      <c r="X35" s="129">
        <f t="shared" si="3"/>
        <v>238</v>
      </c>
      <c r="Y35" s="129">
        <f t="shared" si="3"/>
        <v>238</v>
      </c>
      <c r="Z35" s="129">
        <f t="shared" si="3"/>
        <v>238</v>
      </c>
      <c r="AA35" s="108"/>
      <c r="AB35" s="108"/>
    </row>
    <row r="36" spans="2:28" ht="13.5" customHeight="1">
      <c r="B36" s="75"/>
      <c r="C36" s="76"/>
      <c r="D36" s="66"/>
      <c r="E36" s="66"/>
      <c r="F36" s="77" t="s">
        <v>334</v>
      </c>
      <c r="G36" s="129"/>
      <c r="H36" s="129"/>
      <c r="I36" s="129"/>
      <c r="J36" s="129"/>
      <c r="K36" s="129"/>
      <c r="L36" s="129">
        <f>L34</f>
        <v>0</v>
      </c>
      <c r="M36" s="129">
        <f t="shared" ref="M36:Z36" si="4">L36+M34</f>
        <v>0</v>
      </c>
      <c r="N36" s="129">
        <f t="shared" si="4"/>
        <v>0</v>
      </c>
      <c r="O36" s="129">
        <f t="shared" si="4"/>
        <v>0</v>
      </c>
      <c r="P36" s="129">
        <f t="shared" si="4"/>
        <v>0</v>
      </c>
      <c r="Q36" s="129">
        <f t="shared" si="4"/>
        <v>0</v>
      </c>
      <c r="R36" s="129">
        <f t="shared" si="4"/>
        <v>0</v>
      </c>
      <c r="S36" s="129">
        <f t="shared" si="4"/>
        <v>0</v>
      </c>
      <c r="T36" s="129">
        <f t="shared" si="4"/>
        <v>0</v>
      </c>
      <c r="U36" s="129">
        <f t="shared" si="4"/>
        <v>0</v>
      </c>
      <c r="V36" s="129">
        <f t="shared" si="4"/>
        <v>0</v>
      </c>
      <c r="W36" s="129">
        <f t="shared" si="4"/>
        <v>0</v>
      </c>
      <c r="X36" s="129">
        <f t="shared" si="4"/>
        <v>0</v>
      </c>
      <c r="Y36" s="129">
        <f t="shared" si="4"/>
        <v>0</v>
      </c>
      <c r="Z36" s="129">
        <f t="shared" si="4"/>
        <v>0</v>
      </c>
      <c r="AA36" s="108"/>
      <c r="AB36" s="108"/>
    </row>
    <row r="37" spans="2:28" ht="13.5" customHeight="1">
      <c r="B37" s="75"/>
      <c r="C37" s="7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108"/>
      <c r="AB37" s="108"/>
    </row>
    <row r="38" spans="2:28" ht="13.5" customHeight="1">
      <c r="B38" s="49"/>
      <c r="C38" s="50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</row>
    <row r="39" spans="2:28" ht="13.5" customHeight="1">
      <c r="B39" s="49"/>
      <c r="C39" s="50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</row>
    <row r="40" spans="2:28" ht="13.5" customHeight="1">
      <c r="B40" s="49"/>
      <c r="C40" s="50"/>
      <c r="D40" s="108"/>
      <c r="E40" s="108"/>
      <c r="F40" s="108"/>
      <c r="G40" s="108"/>
      <c r="H40" s="108"/>
      <c r="I40" s="108"/>
      <c r="J40" s="140" t="s">
        <v>335</v>
      </c>
      <c r="K40" s="140"/>
      <c r="L40" s="128">
        <v>1</v>
      </c>
      <c r="M40" s="128">
        <v>2</v>
      </c>
      <c r="N40" s="128">
        <v>3</v>
      </c>
      <c r="O40" s="128">
        <v>4</v>
      </c>
      <c r="P40" s="128">
        <v>5</v>
      </c>
      <c r="Q40" s="128">
        <v>6</v>
      </c>
      <c r="R40" s="128">
        <v>7</v>
      </c>
      <c r="S40" s="128">
        <v>8</v>
      </c>
      <c r="T40" s="128">
        <v>9</v>
      </c>
      <c r="U40" s="128">
        <v>10</v>
      </c>
      <c r="V40" s="128">
        <v>11</v>
      </c>
      <c r="W40" s="128">
        <v>12</v>
      </c>
      <c r="X40" s="128">
        <v>13</v>
      </c>
      <c r="Y40" s="128">
        <v>14</v>
      </c>
      <c r="Z40" s="128">
        <v>15</v>
      </c>
      <c r="AA40" s="131" t="s">
        <v>336</v>
      </c>
      <c r="AB40" s="131"/>
    </row>
    <row r="41" spans="2:28" ht="13.5" customHeight="1">
      <c r="B41" s="49"/>
      <c r="C41" s="50"/>
      <c r="D41" s="108"/>
      <c r="E41" s="108"/>
      <c r="F41" s="108"/>
      <c r="G41" s="108"/>
      <c r="H41" s="108"/>
      <c r="I41" s="108"/>
      <c r="J41" s="132" t="s">
        <v>9</v>
      </c>
      <c r="K41" s="132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50">
        <f>SUM(L41:Z41)</f>
        <v>0</v>
      </c>
      <c r="AB41" s="108"/>
    </row>
    <row r="42" spans="2:28" ht="13.5" customHeight="1">
      <c r="B42" s="49"/>
      <c r="C42" s="50"/>
      <c r="D42" s="108"/>
      <c r="E42" s="108"/>
      <c r="F42" s="108"/>
      <c r="G42" s="108"/>
      <c r="H42" s="108"/>
      <c r="I42" s="108"/>
      <c r="J42" s="132" t="s">
        <v>7</v>
      </c>
      <c r="K42" s="132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  <c r="AA42" s="50">
        <f>SUM(L42:Z42)</f>
        <v>0</v>
      </c>
      <c r="AB42" s="108"/>
    </row>
    <row r="43" spans="2:28" ht="13.5" customHeight="1">
      <c r="B43" s="49"/>
      <c r="C43" s="50"/>
      <c r="D43" s="108"/>
      <c r="E43" s="108"/>
      <c r="F43" s="108"/>
      <c r="G43" s="108"/>
      <c r="H43" s="108"/>
      <c r="I43" s="108"/>
      <c r="J43" s="132" t="s">
        <v>13</v>
      </c>
      <c r="K43" s="132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  <c r="AA43" s="50">
        <f>SUM(L43:Z43)</f>
        <v>0</v>
      </c>
      <c r="AB43" s="108"/>
    </row>
    <row r="44" spans="2:28" ht="13.5" customHeight="1">
      <c r="B44" s="49"/>
      <c r="C44" s="50"/>
      <c r="D44" s="108"/>
      <c r="E44" s="108"/>
      <c r="F44" s="108"/>
      <c r="G44" s="108"/>
      <c r="H44" s="108"/>
      <c r="I44" s="108"/>
      <c r="J44" s="132" t="s">
        <v>337</v>
      </c>
      <c r="K44" s="132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  <c r="AA44" s="50">
        <f>SUM(L44:Z44)</f>
        <v>0</v>
      </c>
      <c r="AB44" s="108"/>
    </row>
    <row r="45" spans="2:28" ht="13.5" customHeight="1">
      <c r="B45" s="49"/>
      <c r="C45" s="50"/>
      <c r="D45" s="108"/>
      <c r="E45" s="108"/>
      <c r="F45" s="108"/>
      <c r="G45" s="108"/>
      <c r="H45" s="108"/>
      <c r="I45" s="108"/>
      <c r="J45" s="132" t="s">
        <v>14</v>
      </c>
      <c r="K45" s="132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  <c r="AA45" s="50">
        <f>SUM(L45:Z45)</f>
        <v>0</v>
      </c>
      <c r="AB45" s="108"/>
    </row>
    <row r="46" spans="2:28" ht="13.5" customHeight="1">
      <c r="B46" s="49"/>
      <c r="C46" s="50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74">
        <f>SUM(AA41:AA45)</f>
        <v>0</v>
      </c>
      <c r="AB46" s="108"/>
    </row>
    <row r="47" spans="2:28" ht="13.5" customHeight="1">
      <c r="B47" s="49"/>
      <c r="C47" s="50"/>
      <c r="D47" s="108"/>
      <c r="E47" s="108"/>
      <c r="F47" s="108"/>
      <c r="G47" s="108"/>
      <c r="H47" s="108"/>
      <c r="I47" s="108"/>
      <c r="J47" s="108" t="s">
        <v>459</v>
      </c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</row>
    <row r="48" spans="2:28" ht="13.5" customHeight="1">
      <c r="B48" s="49"/>
      <c r="C48" s="50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</row>
    <row r="49" spans="2:3" ht="13.5" customHeight="1">
      <c r="B49" s="49"/>
      <c r="C49" s="50"/>
    </row>
    <row r="50" spans="2:3" ht="13.5" customHeight="1">
      <c r="B50" s="49"/>
      <c r="C50" s="50"/>
    </row>
    <row r="51" spans="2:3" ht="13.5" customHeight="1">
      <c r="B51" s="49"/>
      <c r="C51" s="50"/>
    </row>
    <row r="52" spans="2:3" ht="13.5" customHeight="1">
      <c r="B52" s="49"/>
      <c r="C52" s="50"/>
    </row>
    <row r="53" spans="2:3" ht="13.5" customHeight="1">
      <c r="B53" s="49"/>
      <c r="C53" s="50"/>
    </row>
    <row r="54" spans="2:3" ht="13.5" customHeight="1">
      <c r="B54" s="49"/>
      <c r="C54" s="50"/>
    </row>
    <row r="55" spans="2:3" ht="13.5" customHeight="1">
      <c r="B55" s="49"/>
      <c r="C55" s="50"/>
    </row>
    <row r="56" spans="2:3" ht="13.5" customHeight="1">
      <c r="B56" s="49"/>
      <c r="C56" s="50"/>
    </row>
    <row r="57" spans="2:3" ht="13.5" customHeight="1">
      <c r="B57" s="49"/>
      <c r="C57" s="50"/>
    </row>
    <row r="58" spans="2:3" ht="13.5" customHeight="1">
      <c r="B58" s="49"/>
      <c r="C58" s="50"/>
    </row>
    <row r="59" spans="2:3" ht="13.5" customHeight="1">
      <c r="B59" s="49"/>
      <c r="C59" s="50"/>
    </row>
    <row r="60" spans="2:3" ht="13.5" customHeight="1">
      <c r="B60" s="49"/>
      <c r="C60" s="50"/>
    </row>
    <row r="61" spans="2:3" ht="13.5" customHeight="1">
      <c r="B61" s="49"/>
      <c r="C61" s="50"/>
    </row>
    <row r="62" spans="2:3" ht="13.5" customHeight="1">
      <c r="B62" s="49"/>
      <c r="C62" s="50"/>
    </row>
    <row r="63" spans="2:3" ht="13.5" customHeight="1">
      <c r="B63" s="49"/>
      <c r="C63" s="50"/>
    </row>
    <row r="64" spans="2:3" ht="13.5" customHeight="1">
      <c r="B64" s="49"/>
      <c r="C64" s="50"/>
    </row>
    <row r="65" spans="2:3" ht="13.5" customHeight="1">
      <c r="B65" s="49"/>
      <c r="C65" s="50"/>
    </row>
    <row r="66" spans="2:3" ht="13.5" customHeight="1">
      <c r="B66" s="49"/>
      <c r="C66" s="50"/>
    </row>
    <row r="67" spans="2:3" ht="13.5" customHeight="1">
      <c r="B67" s="49"/>
      <c r="C67" s="50"/>
    </row>
    <row r="68" spans="2:3" ht="13.5" customHeight="1">
      <c r="B68" s="49"/>
      <c r="C68" s="50"/>
    </row>
    <row r="69" spans="2:3" ht="13.5" customHeight="1">
      <c r="B69" s="49"/>
      <c r="C69" s="50"/>
    </row>
    <row r="70" spans="2:3" ht="13.5" customHeight="1">
      <c r="B70" s="49"/>
      <c r="C70" s="50"/>
    </row>
    <row r="71" spans="2:3" ht="13.5" customHeight="1">
      <c r="B71" s="49"/>
      <c r="C71" s="50"/>
    </row>
    <row r="72" spans="2:3" ht="13.5" customHeight="1">
      <c r="B72" s="49"/>
      <c r="C72" s="50"/>
    </row>
    <row r="73" spans="2:3" ht="13.5" customHeight="1">
      <c r="B73" s="49"/>
      <c r="C73" s="50"/>
    </row>
    <row r="74" spans="2:3" ht="13.5" customHeight="1">
      <c r="B74" s="49"/>
      <c r="C74" s="50"/>
    </row>
    <row r="75" spans="2:3" ht="13.5" customHeight="1">
      <c r="B75" s="49"/>
      <c r="C75" s="50"/>
    </row>
    <row r="76" spans="2:3" ht="13.5" customHeight="1">
      <c r="B76" s="49"/>
      <c r="C76" s="50"/>
    </row>
    <row r="77" spans="2:3" ht="13.5" customHeight="1">
      <c r="B77" s="49"/>
      <c r="C77" s="50"/>
    </row>
    <row r="78" spans="2:3" ht="13.5" customHeight="1">
      <c r="B78" s="49"/>
      <c r="C78" s="50"/>
    </row>
    <row r="79" spans="2:3" ht="13.5" customHeight="1">
      <c r="B79" s="49"/>
      <c r="C79" s="50"/>
    </row>
    <row r="80" spans="2:3" ht="13.5" customHeight="1">
      <c r="B80" s="49"/>
      <c r="C80" s="50"/>
    </row>
    <row r="81" spans="2:3" ht="13.5" customHeight="1">
      <c r="B81" s="49"/>
      <c r="C81" s="50"/>
    </row>
    <row r="82" spans="2:3" ht="13.5" customHeight="1">
      <c r="B82" s="49"/>
      <c r="C82" s="50"/>
    </row>
    <row r="83" spans="2:3" ht="13.5" customHeight="1">
      <c r="B83" s="49"/>
      <c r="C83" s="50"/>
    </row>
    <row r="84" spans="2:3" ht="13.5" customHeight="1">
      <c r="B84" s="49"/>
      <c r="C84" s="50"/>
    </row>
    <row r="85" spans="2:3" ht="13.5" customHeight="1">
      <c r="B85" s="49"/>
      <c r="C85" s="50"/>
    </row>
    <row r="86" spans="2:3" ht="13.5" customHeight="1">
      <c r="B86" s="49"/>
      <c r="C86" s="50"/>
    </row>
    <row r="87" spans="2:3" ht="13.5" customHeight="1">
      <c r="B87" s="49"/>
      <c r="C87" s="50"/>
    </row>
    <row r="88" spans="2:3" ht="13.5" customHeight="1">
      <c r="B88" s="49"/>
      <c r="C88" s="50"/>
    </row>
    <row r="89" spans="2:3" ht="13.5" customHeight="1">
      <c r="B89" s="49"/>
      <c r="C89" s="50"/>
    </row>
    <row r="90" spans="2:3" ht="13.5" customHeight="1">
      <c r="B90" s="49"/>
      <c r="C90" s="50"/>
    </row>
    <row r="91" spans="2:3" ht="13.5" customHeight="1">
      <c r="B91" s="49"/>
      <c r="C91" s="50"/>
    </row>
    <row r="92" spans="2:3" ht="13.5" customHeight="1">
      <c r="B92" s="49"/>
      <c r="C92" s="50"/>
    </row>
    <row r="93" spans="2:3" ht="13.5" customHeight="1">
      <c r="B93" s="49"/>
      <c r="C93" s="50"/>
    </row>
    <row r="94" spans="2:3" ht="13.5" customHeight="1">
      <c r="B94" s="49"/>
      <c r="C94" s="50"/>
    </row>
    <row r="95" spans="2:3" ht="13.5" customHeight="1">
      <c r="B95" s="49"/>
      <c r="C95" s="50"/>
    </row>
    <row r="96" spans="2:3" ht="13.5" customHeight="1">
      <c r="B96" s="49"/>
      <c r="C96" s="50"/>
    </row>
    <row r="97" spans="2:3" ht="13.5" customHeight="1">
      <c r="B97" s="49"/>
      <c r="C97" s="50"/>
    </row>
    <row r="98" spans="2:3" ht="13.5" customHeight="1">
      <c r="B98" s="49"/>
      <c r="C98" s="50"/>
    </row>
    <row r="99" spans="2:3" ht="13.5" customHeight="1">
      <c r="B99" s="49"/>
      <c r="C99" s="50"/>
    </row>
    <row r="100" spans="2:3" ht="13.5" customHeight="1">
      <c r="B100" s="49"/>
      <c r="C100" s="50"/>
    </row>
    <row r="101" spans="2:3" ht="13.5" customHeight="1">
      <c r="B101" s="49"/>
      <c r="C101" s="50"/>
    </row>
    <row r="102" spans="2:3" ht="13.5" customHeight="1">
      <c r="B102" s="49"/>
      <c r="C102" s="50"/>
    </row>
    <row r="103" spans="2:3" ht="13.5" customHeight="1">
      <c r="B103" s="49"/>
      <c r="C103" s="50"/>
    </row>
    <row r="104" spans="2:3" ht="13.5" customHeight="1">
      <c r="B104" s="49"/>
      <c r="C104" s="50"/>
    </row>
    <row r="105" spans="2:3" ht="13.5" customHeight="1">
      <c r="B105" s="49"/>
      <c r="C105" s="50"/>
    </row>
    <row r="106" spans="2:3" ht="13.5" customHeight="1">
      <c r="B106" s="49"/>
      <c r="C106" s="50"/>
    </row>
    <row r="107" spans="2:3" ht="13.5" customHeight="1">
      <c r="B107" s="49"/>
      <c r="C107" s="50"/>
    </row>
    <row r="108" spans="2:3" ht="13.5" customHeight="1">
      <c r="B108" s="49"/>
      <c r="C108" s="50"/>
    </row>
    <row r="109" spans="2:3" ht="13.5" customHeight="1">
      <c r="B109" s="49"/>
      <c r="C109" s="50"/>
    </row>
    <row r="110" spans="2:3" ht="13.5" customHeight="1">
      <c r="B110" s="49"/>
      <c r="C110" s="50"/>
    </row>
    <row r="111" spans="2:3" ht="13.5" customHeight="1">
      <c r="B111" s="49"/>
      <c r="C111" s="50"/>
    </row>
    <row r="112" spans="2:3" ht="13.5" customHeight="1">
      <c r="B112" s="49"/>
      <c r="C112" s="50"/>
    </row>
    <row r="113" spans="2:3" ht="13.5" customHeight="1">
      <c r="B113" s="49"/>
      <c r="C113" s="50"/>
    </row>
    <row r="114" spans="2:3" ht="13.5" customHeight="1">
      <c r="B114" s="49"/>
      <c r="C114" s="50"/>
    </row>
    <row r="115" spans="2:3" ht="13.5" customHeight="1">
      <c r="B115" s="49"/>
      <c r="C115" s="50"/>
    </row>
    <row r="116" spans="2:3" ht="13.5" customHeight="1">
      <c r="B116" s="49"/>
      <c r="C116" s="50"/>
    </row>
    <row r="117" spans="2:3" ht="13.5" customHeight="1">
      <c r="B117" s="49"/>
      <c r="C117" s="50"/>
    </row>
    <row r="118" spans="2:3" ht="13.5" customHeight="1">
      <c r="B118" s="49"/>
      <c r="C118" s="50"/>
    </row>
    <row r="119" spans="2:3" ht="13.5" customHeight="1">
      <c r="B119" s="49"/>
      <c r="C119" s="50"/>
    </row>
    <row r="120" spans="2:3" ht="13.5" customHeight="1">
      <c r="B120" s="49"/>
      <c r="C120" s="50"/>
    </row>
    <row r="121" spans="2:3" ht="13.5" customHeight="1">
      <c r="B121" s="49"/>
      <c r="C121" s="50"/>
    </row>
    <row r="122" spans="2:3" ht="13.5" customHeight="1">
      <c r="B122" s="49"/>
      <c r="C122" s="50"/>
    </row>
    <row r="123" spans="2:3" ht="13.5" customHeight="1">
      <c r="B123" s="49"/>
      <c r="C123" s="50"/>
    </row>
    <row r="124" spans="2:3" ht="13.5" customHeight="1">
      <c r="B124" s="49"/>
      <c r="C124" s="50"/>
    </row>
    <row r="125" spans="2:3" ht="13.5" customHeight="1">
      <c r="B125" s="49"/>
      <c r="C125" s="50"/>
    </row>
    <row r="126" spans="2:3" ht="13.5" customHeight="1">
      <c r="B126" s="49"/>
      <c r="C126" s="50"/>
    </row>
    <row r="127" spans="2:3" ht="13.5" customHeight="1">
      <c r="B127" s="49"/>
      <c r="C127" s="50"/>
    </row>
    <row r="128" spans="2:3" ht="13.5" customHeight="1">
      <c r="B128" s="49"/>
      <c r="C128" s="50"/>
    </row>
    <row r="129" spans="2:3" ht="13.5" customHeight="1">
      <c r="B129" s="49"/>
      <c r="C129" s="50"/>
    </row>
    <row r="130" spans="2:3" ht="13.5" customHeight="1">
      <c r="B130" s="49"/>
      <c r="C130" s="50"/>
    </row>
    <row r="131" spans="2:3" ht="13.5" customHeight="1">
      <c r="B131" s="49"/>
      <c r="C131" s="50"/>
    </row>
    <row r="132" spans="2:3" ht="13.5" customHeight="1">
      <c r="B132" s="49"/>
      <c r="C132" s="50"/>
    </row>
    <row r="133" spans="2:3" ht="13.5" customHeight="1">
      <c r="B133" s="49"/>
      <c r="C133" s="50"/>
    </row>
    <row r="134" spans="2:3" ht="13.5" customHeight="1">
      <c r="B134" s="49"/>
      <c r="C134" s="50"/>
    </row>
    <row r="135" spans="2:3" ht="13.5" customHeight="1">
      <c r="B135" s="49"/>
      <c r="C135" s="50"/>
    </row>
    <row r="136" spans="2:3" ht="13.5" customHeight="1">
      <c r="B136" s="49"/>
      <c r="C136" s="50"/>
    </row>
    <row r="137" spans="2:3" ht="13.5" customHeight="1">
      <c r="B137" s="49"/>
      <c r="C137" s="50"/>
    </row>
    <row r="138" spans="2:3" ht="13.5" customHeight="1">
      <c r="B138" s="49"/>
      <c r="C138" s="50"/>
    </row>
    <row r="139" spans="2:3" ht="13.5" customHeight="1">
      <c r="B139" s="49"/>
      <c r="C139" s="50"/>
    </row>
    <row r="140" spans="2:3" ht="13.5" customHeight="1">
      <c r="B140" s="49"/>
      <c r="C140" s="50"/>
    </row>
    <row r="141" spans="2:3" ht="13.5" customHeight="1">
      <c r="B141" s="49"/>
      <c r="C141" s="50"/>
    </row>
    <row r="142" spans="2:3" ht="13.5" customHeight="1">
      <c r="B142" s="49"/>
      <c r="C142" s="50"/>
    </row>
    <row r="143" spans="2:3" ht="13.5" customHeight="1">
      <c r="B143" s="49"/>
      <c r="C143" s="50"/>
    </row>
    <row r="144" spans="2:3" ht="13.5" customHeight="1">
      <c r="B144" s="49"/>
      <c r="C144" s="50"/>
    </row>
    <row r="145" spans="2:3" ht="13.5" customHeight="1">
      <c r="B145" s="49"/>
      <c r="C145" s="50"/>
    </row>
    <row r="146" spans="2:3" ht="13.5" customHeight="1">
      <c r="B146" s="49"/>
      <c r="C146" s="50"/>
    </row>
    <row r="147" spans="2:3" ht="13.5" customHeight="1">
      <c r="B147" s="49"/>
      <c r="C147" s="50"/>
    </row>
    <row r="148" spans="2:3" ht="13.5" customHeight="1">
      <c r="B148" s="49"/>
      <c r="C148" s="50"/>
    </row>
    <row r="149" spans="2:3" ht="13.5" customHeight="1">
      <c r="B149" s="49"/>
      <c r="C149" s="50"/>
    </row>
    <row r="150" spans="2:3" ht="13.5" customHeight="1">
      <c r="B150" s="49"/>
      <c r="C150" s="50"/>
    </row>
    <row r="151" spans="2:3" ht="13.5" customHeight="1">
      <c r="B151" s="49"/>
      <c r="C151" s="50"/>
    </row>
    <row r="152" spans="2:3" ht="13.5" customHeight="1">
      <c r="B152" s="49"/>
      <c r="C152" s="50"/>
    </row>
    <row r="153" spans="2:3" ht="13.5" customHeight="1">
      <c r="B153" s="49"/>
      <c r="C153" s="50"/>
    </row>
    <row r="154" spans="2:3" ht="13.5" customHeight="1">
      <c r="B154" s="49"/>
      <c r="C154" s="50"/>
    </row>
    <row r="155" spans="2:3" ht="13.5" customHeight="1">
      <c r="B155" s="49"/>
      <c r="C155" s="50"/>
    </row>
    <row r="156" spans="2:3" ht="13.5" customHeight="1">
      <c r="B156" s="49"/>
      <c r="C156" s="50"/>
    </row>
    <row r="157" spans="2:3" ht="13.5" customHeight="1">
      <c r="B157" s="49"/>
      <c r="C157" s="50"/>
    </row>
    <row r="158" spans="2:3" ht="13.5" customHeight="1">
      <c r="B158" s="49"/>
      <c r="C158" s="50"/>
    </row>
    <row r="159" spans="2:3" ht="13.5" customHeight="1">
      <c r="B159" s="49"/>
      <c r="C159" s="50"/>
    </row>
    <row r="160" spans="2:3" ht="13.5" customHeight="1">
      <c r="B160" s="49"/>
      <c r="C160" s="50"/>
    </row>
    <row r="161" spans="2:3" ht="13.5" customHeight="1">
      <c r="B161" s="49"/>
      <c r="C161" s="50"/>
    </row>
    <row r="162" spans="2:3" ht="13.5" customHeight="1">
      <c r="B162" s="49"/>
      <c r="C162" s="50"/>
    </row>
    <row r="163" spans="2:3" ht="13.5" customHeight="1">
      <c r="B163" s="49"/>
      <c r="C163" s="50"/>
    </row>
    <row r="164" spans="2:3" ht="13.5" customHeight="1">
      <c r="B164" s="49"/>
      <c r="C164" s="50"/>
    </row>
    <row r="165" spans="2:3" ht="13.5" customHeight="1">
      <c r="B165" s="49"/>
      <c r="C165" s="50"/>
    </row>
    <row r="166" spans="2:3" ht="13.5" customHeight="1">
      <c r="B166" s="49"/>
      <c r="C166" s="50"/>
    </row>
    <row r="167" spans="2:3" ht="13.5" customHeight="1">
      <c r="B167" s="49"/>
      <c r="C167" s="50"/>
    </row>
    <row r="168" spans="2:3" ht="13.5" customHeight="1">
      <c r="B168" s="49"/>
      <c r="C168" s="50"/>
    </row>
    <row r="169" spans="2:3" ht="13.5" customHeight="1">
      <c r="B169" s="49"/>
      <c r="C169" s="50"/>
    </row>
    <row r="170" spans="2:3" ht="13.5" customHeight="1">
      <c r="B170" s="49"/>
      <c r="C170" s="50"/>
    </row>
    <row r="171" spans="2:3" ht="13.5" customHeight="1">
      <c r="B171" s="49"/>
      <c r="C171" s="50"/>
    </row>
    <row r="172" spans="2:3" ht="13.5" customHeight="1">
      <c r="B172" s="49"/>
      <c r="C172" s="50"/>
    </row>
    <row r="173" spans="2:3" ht="13.5" customHeight="1">
      <c r="B173" s="49"/>
      <c r="C173" s="50"/>
    </row>
    <row r="174" spans="2:3" ht="13.5" customHeight="1">
      <c r="B174" s="49"/>
      <c r="C174" s="50"/>
    </row>
    <row r="175" spans="2:3" ht="13.5" customHeight="1">
      <c r="B175" s="49"/>
      <c r="C175" s="50"/>
    </row>
    <row r="176" spans="2:3" ht="13.5" customHeight="1">
      <c r="B176" s="49"/>
      <c r="C176" s="50"/>
    </row>
    <row r="177" spans="2:3" ht="13.5" customHeight="1">
      <c r="B177" s="49"/>
      <c r="C177" s="50"/>
    </row>
    <row r="178" spans="2:3" ht="13.5" customHeight="1">
      <c r="B178" s="49"/>
      <c r="C178" s="50"/>
    </row>
    <row r="179" spans="2:3" ht="13.5" customHeight="1">
      <c r="B179" s="49"/>
      <c r="C179" s="50"/>
    </row>
    <row r="180" spans="2:3" ht="13.5" customHeight="1">
      <c r="B180" s="49"/>
      <c r="C180" s="50"/>
    </row>
    <row r="181" spans="2:3" ht="13.5" customHeight="1">
      <c r="B181" s="49"/>
      <c r="C181" s="50"/>
    </row>
    <row r="182" spans="2:3" ht="13.5" customHeight="1">
      <c r="B182" s="49"/>
      <c r="C182" s="50"/>
    </row>
    <row r="183" spans="2:3" ht="13.5" customHeight="1">
      <c r="B183" s="49"/>
      <c r="C183" s="50"/>
    </row>
    <row r="184" spans="2:3" ht="13.5" customHeight="1">
      <c r="B184" s="49"/>
      <c r="C184" s="50"/>
    </row>
    <row r="185" spans="2:3" ht="13.5" customHeight="1">
      <c r="B185" s="49"/>
      <c r="C185" s="50"/>
    </row>
    <row r="186" spans="2:3" ht="13.5" customHeight="1">
      <c r="B186" s="49"/>
      <c r="C186" s="50"/>
    </row>
    <row r="187" spans="2:3" ht="13.5" customHeight="1">
      <c r="B187" s="49"/>
      <c r="C187" s="50"/>
    </row>
    <row r="188" spans="2:3" ht="13.5" customHeight="1">
      <c r="B188" s="49"/>
      <c r="C188" s="50"/>
    </row>
    <row r="189" spans="2:3" ht="13.5" customHeight="1">
      <c r="B189" s="49"/>
      <c r="C189" s="50"/>
    </row>
    <row r="190" spans="2:3" ht="13.5" customHeight="1">
      <c r="B190" s="49"/>
      <c r="C190" s="50"/>
    </row>
    <row r="191" spans="2:3" ht="13.5" customHeight="1">
      <c r="B191" s="49"/>
      <c r="C191" s="50"/>
    </row>
    <row r="192" spans="2:3" ht="13.5" customHeight="1">
      <c r="B192" s="49"/>
      <c r="C192" s="50"/>
    </row>
    <row r="193" spans="2:3" ht="13.5" customHeight="1">
      <c r="B193" s="49"/>
      <c r="C193" s="50"/>
    </row>
    <row r="194" spans="2:3" ht="13.5" customHeight="1">
      <c r="B194" s="49"/>
      <c r="C194" s="50"/>
    </row>
    <row r="195" spans="2:3" ht="13.5" customHeight="1">
      <c r="B195" s="49"/>
      <c r="C195" s="50"/>
    </row>
    <row r="196" spans="2:3" ht="13.5" customHeight="1">
      <c r="B196" s="49"/>
      <c r="C196" s="50"/>
    </row>
    <row r="197" spans="2:3" ht="13.5" customHeight="1">
      <c r="B197" s="49"/>
      <c r="C197" s="50"/>
    </row>
    <row r="198" spans="2:3" ht="13.5" customHeight="1">
      <c r="B198" s="49"/>
      <c r="C198" s="50"/>
    </row>
    <row r="199" spans="2:3" ht="13.5" customHeight="1">
      <c r="B199" s="49"/>
      <c r="C199" s="50"/>
    </row>
    <row r="200" spans="2:3" ht="13.5" customHeight="1">
      <c r="B200" s="49"/>
      <c r="C200" s="50"/>
    </row>
    <row r="201" spans="2:3" ht="13.5" customHeight="1">
      <c r="B201" s="49"/>
      <c r="C201" s="50"/>
    </row>
    <row r="202" spans="2:3" ht="13.5" customHeight="1">
      <c r="B202" s="49"/>
      <c r="C202" s="50"/>
    </row>
    <row r="203" spans="2:3" ht="13.5" customHeight="1">
      <c r="B203" s="49"/>
      <c r="C203" s="50"/>
    </row>
    <row r="204" spans="2:3" ht="13.5" customHeight="1">
      <c r="B204" s="49"/>
      <c r="C204" s="50"/>
    </row>
    <row r="205" spans="2:3" ht="13.5" customHeight="1">
      <c r="B205" s="49"/>
      <c r="C205" s="50"/>
    </row>
    <row r="206" spans="2:3" ht="13.5" customHeight="1">
      <c r="B206" s="49"/>
      <c r="C206" s="50"/>
    </row>
    <row r="207" spans="2:3" ht="13.5" customHeight="1">
      <c r="B207" s="49"/>
      <c r="C207" s="50"/>
    </row>
    <row r="208" spans="2:3" ht="13.5" customHeight="1">
      <c r="B208" s="49"/>
      <c r="C208" s="50"/>
    </row>
    <row r="209" spans="2:3" ht="13.5" customHeight="1">
      <c r="B209" s="49"/>
      <c r="C209" s="50"/>
    </row>
    <row r="210" spans="2:3" ht="13.5" customHeight="1">
      <c r="B210" s="49"/>
      <c r="C210" s="50"/>
    </row>
    <row r="211" spans="2:3" ht="13.5" customHeight="1">
      <c r="B211" s="49"/>
      <c r="C211" s="50"/>
    </row>
    <row r="212" spans="2:3" ht="13.5" customHeight="1">
      <c r="B212" s="49"/>
      <c r="C212" s="50"/>
    </row>
    <row r="213" spans="2:3" ht="13.5" customHeight="1">
      <c r="B213" s="49"/>
      <c r="C213" s="50"/>
    </row>
    <row r="214" spans="2:3" ht="13.5" customHeight="1">
      <c r="B214" s="49"/>
      <c r="C214" s="50"/>
    </row>
    <row r="215" spans="2:3" ht="13.5" customHeight="1">
      <c r="B215" s="49"/>
      <c r="C215" s="50"/>
    </row>
    <row r="216" spans="2:3" ht="13.5" customHeight="1">
      <c r="B216" s="49"/>
      <c r="C216" s="50"/>
    </row>
    <row r="217" spans="2:3" ht="13.5" customHeight="1">
      <c r="B217" s="49"/>
      <c r="C217" s="50"/>
    </row>
    <row r="218" spans="2:3" ht="13.5" customHeight="1">
      <c r="B218" s="49"/>
      <c r="C218" s="50"/>
    </row>
    <row r="219" spans="2:3" ht="13.5" customHeight="1">
      <c r="B219" s="49"/>
      <c r="C219" s="50"/>
    </row>
    <row r="220" spans="2:3" ht="13.5" customHeight="1">
      <c r="B220" s="49"/>
      <c r="C220" s="50"/>
    </row>
    <row r="221" spans="2:3" ht="13.5" customHeight="1">
      <c r="B221" s="49"/>
      <c r="C221" s="50"/>
    </row>
    <row r="222" spans="2:3" ht="13.5" customHeight="1">
      <c r="B222" s="49"/>
      <c r="C222" s="50"/>
    </row>
    <row r="223" spans="2:3" ht="13.5" customHeight="1">
      <c r="B223" s="49"/>
      <c r="C223" s="50"/>
    </row>
    <row r="224" spans="2:3" ht="13.5" customHeight="1">
      <c r="B224" s="49"/>
      <c r="C224" s="50"/>
    </row>
    <row r="225" spans="2:3" ht="13.5" customHeight="1">
      <c r="B225" s="49"/>
      <c r="C225" s="50"/>
    </row>
    <row r="226" spans="2:3" ht="13.5" customHeight="1">
      <c r="B226" s="49"/>
      <c r="C226" s="50"/>
    </row>
    <row r="227" spans="2:3" ht="13.5" customHeight="1">
      <c r="B227" s="49"/>
      <c r="C227" s="50"/>
    </row>
    <row r="228" spans="2:3" ht="13.5" customHeight="1">
      <c r="B228" s="49"/>
      <c r="C228" s="50"/>
    </row>
    <row r="229" spans="2:3" ht="13.5" customHeight="1">
      <c r="B229" s="49"/>
      <c r="C229" s="50"/>
    </row>
    <row r="230" spans="2:3" ht="13.5" customHeight="1">
      <c r="B230" s="49"/>
      <c r="C230" s="50"/>
    </row>
    <row r="231" spans="2:3" ht="13.5" customHeight="1">
      <c r="B231" s="49"/>
      <c r="C231" s="50"/>
    </row>
    <row r="232" spans="2:3" ht="13.5" customHeight="1">
      <c r="B232" s="49"/>
      <c r="C232" s="50"/>
    </row>
    <row r="233" spans="2:3" ht="13.5" customHeight="1">
      <c r="B233" s="49"/>
      <c r="C233" s="50"/>
    </row>
    <row r="234" spans="2:3" ht="13.5" customHeight="1">
      <c r="B234" s="49"/>
      <c r="C234" s="50"/>
    </row>
    <row r="235" spans="2:3" ht="13.5" customHeight="1">
      <c r="B235" s="49"/>
      <c r="C235" s="50"/>
    </row>
    <row r="236" spans="2:3" ht="13.5" customHeight="1">
      <c r="B236" s="49"/>
      <c r="C236" s="50"/>
    </row>
    <row r="237" spans="2:3" ht="13.5" customHeight="1">
      <c r="B237" s="49"/>
      <c r="C237" s="50"/>
    </row>
    <row r="238" spans="2:3" ht="13.5" customHeight="1">
      <c r="B238" s="49"/>
      <c r="C238" s="50"/>
    </row>
    <row r="239" spans="2:3" ht="13.5" customHeight="1">
      <c r="B239" s="49"/>
      <c r="C239" s="50"/>
    </row>
    <row r="240" spans="2:3" ht="13.5" customHeight="1">
      <c r="B240" s="49"/>
      <c r="C240" s="50"/>
    </row>
    <row r="241" spans="2:3" ht="13.5" customHeight="1">
      <c r="B241" s="49"/>
      <c r="C241" s="50"/>
    </row>
    <row r="242" spans="2:3" ht="13.5" customHeight="1">
      <c r="B242" s="49"/>
      <c r="C242" s="50"/>
    </row>
    <row r="243" spans="2:3" ht="13.5" customHeight="1">
      <c r="B243" s="49"/>
      <c r="C243" s="50"/>
    </row>
    <row r="244" spans="2:3" ht="13.5" customHeight="1">
      <c r="B244" s="49"/>
      <c r="C244" s="50"/>
    </row>
    <row r="245" spans="2:3" ht="13.5" customHeight="1">
      <c r="B245" s="49"/>
      <c r="C245" s="50"/>
    </row>
    <row r="246" spans="2:3" ht="13.5" customHeight="1">
      <c r="B246" s="49"/>
      <c r="C246" s="50"/>
    </row>
    <row r="247" spans="2:3" ht="13.5" customHeight="1">
      <c r="B247" s="49"/>
      <c r="C247" s="50"/>
    </row>
    <row r="248" spans="2:3" ht="13.5" customHeight="1">
      <c r="B248" s="49"/>
      <c r="C248" s="50"/>
    </row>
    <row r="249" spans="2:3" ht="13.5" customHeight="1">
      <c r="B249" s="49"/>
      <c r="C249" s="50"/>
    </row>
    <row r="250" spans="2:3" ht="13.5" customHeight="1">
      <c r="B250" s="49"/>
      <c r="C250" s="50"/>
    </row>
    <row r="251" spans="2:3" ht="13.5" customHeight="1">
      <c r="B251" s="49"/>
      <c r="C251" s="50"/>
    </row>
    <row r="252" spans="2:3" ht="13.5" customHeight="1">
      <c r="B252" s="49"/>
      <c r="C252" s="50"/>
    </row>
    <row r="253" spans="2:3" ht="13.5" customHeight="1">
      <c r="B253" s="49"/>
      <c r="C253" s="50"/>
    </row>
    <row r="254" spans="2:3" ht="13.5" customHeight="1">
      <c r="B254" s="49"/>
      <c r="C254" s="50"/>
    </row>
    <row r="255" spans="2:3" ht="13.5" customHeight="1">
      <c r="B255" s="49"/>
      <c r="C255" s="50"/>
    </row>
    <row r="256" spans="2:3" ht="13.5" customHeight="1">
      <c r="B256" s="49"/>
      <c r="C256" s="50"/>
    </row>
    <row r="257" spans="2:3" ht="13.5" customHeight="1">
      <c r="B257" s="49"/>
      <c r="C257" s="50"/>
    </row>
    <row r="258" spans="2:3" ht="13.5" customHeight="1">
      <c r="B258" s="49"/>
      <c r="C258" s="50"/>
    </row>
    <row r="259" spans="2:3" ht="13.5" customHeight="1">
      <c r="B259" s="49"/>
      <c r="C259" s="50"/>
    </row>
    <row r="260" spans="2:3" ht="13.5" customHeight="1">
      <c r="B260" s="49"/>
      <c r="C260" s="50"/>
    </row>
    <row r="261" spans="2:3" ht="13.5" customHeight="1">
      <c r="B261" s="49"/>
      <c r="C261" s="50"/>
    </row>
    <row r="262" spans="2:3" ht="13.5" customHeight="1">
      <c r="B262" s="49"/>
      <c r="C262" s="50"/>
    </row>
    <row r="263" spans="2:3" ht="13.5" customHeight="1">
      <c r="B263" s="49"/>
      <c r="C263" s="50"/>
    </row>
    <row r="264" spans="2:3" ht="13.5" customHeight="1">
      <c r="B264" s="49"/>
      <c r="C264" s="50"/>
    </row>
    <row r="265" spans="2:3" ht="13.5" customHeight="1">
      <c r="B265" s="49"/>
      <c r="C265" s="50"/>
    </row>
    <row r="266" spans="2:3" ht="13.5" customHeight="1">
      <c r="B266" s="49"/>
      <c r="C266" s="50"/>
    </row>
    <row r="267" spans="2:3" ht="13.5" customHeight="1">
      <c r="B267" s="49"/>
      <c r="C267" s="50"/>
    </row>
    <row r="268" spans="2:3" ht="13.5" customHeight="1">
      <c r="B268" s="49"/>
      <c r="C268" s="50"/>
    </row>
    <row r="269" spans="2:3" ht="13.5" customHeight="1">
      <c r="B269" s="49"/>
      <c r="C269" s="50"/>
    </row>
    <row r="270" spans="2:3" ht="13.5" customHeight="1">
      <c r="B270" s="49"/>
      <c r="C270" s="50"/>
    </row>
    <row r="271" spans="2:3" ht="13.5" customHeight="1">
      <c r="B271" s="49"/>
      <c r="C271" s="50"/>
    </row>
    <row r="272" spans="2:3" ht="13.5" customHeight="1">
      <c r="B272" s="49"/>
      <c r="C272" s="50"/>
    </row>
    <row r="273" spans="2:3" ht="13.5" customHeight="1">
      <c r="B273" s="49"/>
      <c r="C273" s="50"/>
    </row>
    <row r="274" spans="2:3" ht="13.5" customHeight="1">
      <c r="B274" s="49"/>
      <c r="C274" s="50"/>
    </row>
    <row r="275" spans="2:3" ht="13.5" customHeight="1">
      <c r="B275" s="49"/>
      <c r="C275" s="50"/>
    </row>
    <row r="276" spans="2:3" ht="13.5" customHeight="1">
      <c r="B276" s="49"/>
      <c r="C276" s="50"/>
    </row>
    <row r="277" spans="2:3" ht="13.5" customHeight="1">
      <c r="B277" s="49"/>
      <c r="C277" s="50"/>
    </row>
    <row r="278" spans="2:3" ht="13.5" customHeight="1">
      <c r="B278" s="49"/>
      <c r="C278" s="50"/>
    </row>
    <row r="279" spans="2:3" ht="13.5" customHeight="1">
      <c r="B279" s="49"/>
      <c r="C279" s="50"/>
    </row>
    <row r="280" spans="2:3" ht="13.5" customHeight="1">
      <c r="B280" s="49"/>
      <c r="C280" s="50"/>
    </row>
    <row r="281" spans="2:3" ht="13.5" customHeight="1">
      <c r="B281" s="49"/>
      <c r="C281" s="50"/>
    </row>
    <row r="282" spans="2:3" ht="13.5" customHeight="1">
      <c r="B282" s="49"/>
      <c r="C282" s="50"/>
    </row>
    <row r="283" spans="2:3" ht="13.5" customHeight="1">
      <c r="B283" s="49"/>
      <c r="C283" s="50"/>
    </row>
    <row r="284" spans="2:3" ht="13.5" customHeight="1">
      <c r="B284" s="49"/>
      <c r="C284" s="50"/>
    </row>
    <row r="285" spans="2:3" ht="13.5" customHeight="1">
      <c r="B285" s="49"/>
      <c r="C285" s="50"/>
    </row>
    <row r="286" spans="2:3" ht="13.5" customHeight="1">
      <c r="B286" s="49"/>
      <c r="C286" s="50"/>
    </row>
    <row r="287" spans="2:3" ht="13.5" customHeight="1">
      <c r="B287" s="49"/>
      <c r="C287" s="50"/>
    </row>
    <row r="288" spans="2:3" ht="13.5" customHeight="1">
      <c r="B288" s="49"/>
      <c r="C288" s="50"/>
    </row>
    <row r="289" spans="2:3" ht="13.5" customHeight="1">
      <c r="B289" s="49"/>
      <c r="C289" s="50"/>
    </row>
    <row r="290" spans="2:3" ht="13.5" customHeight="1">
      <c r="B290" s="49"/>
      <c r="C290" s="50"/>
    </row>
    <row r="291" spans="2:3" ht="13.5" customHeight="1">
      <c r="B291" s="49"/>
      <c r="C291" s="50"/>
    </row>
    <row r="292" spans="2:3" ht="13.5" customHeight="1">
      <c r="B292" s="49"/>
      <c r="C292" s="50"/>
    </row>
    <row r="293" spans="2:3" ht="13.5" customHeight="1">
      <c r="B293" s="49"/>
      <c r="C293" s="50"/>
    </row>
    <row r="294" spans="2:3" ht="13.5" customHeight="1">
      <c r="B294" s="49"/>
      <c r="C294" s="50"/>
    </row>
    <row r="295" spans="2:3" ht="13.5" customHeight="1">
      <c r="B295" s="49"/>
      <c r="C295" s="50"/>
    </row>
    <row r="296" spans="2:3" ht="13.5" customHeight="1">
      <c r="B296" s="49"/>
      <c r="C296" s="50"/>
    </row>
    <row r="297" spans="2:3" ht="13.5" customHeight="1">
      <c r="B297" s="49"/>
      <c r="C297" s="50"/>
    </row>
    <row r="298" spans="2:3" ht="13.5" customHeight="1">
      <c r="B298" s="49"/>
      <c r="C298" s="50"/>
    </row>
    <row r="299" spans="2:3" ht="13.5" customHeight="1">
      <c r="B299" s="49"/>
      <c r="C299" s="50"/>
    </row>
    <row r="300" spans="2:3" ht="13.5" customHeight="1">
      <c r="B300" s="49"/>
      <c r="C300" s="50"/>
    </row>
    <row r="301" spans="2:3" ht="13.5" customHeight="1">
      <c r="B301" s="49"/>
      <c r="C301" s="50"/>
    </row>
    <row r="302" spans="2:3" ht="13.5" customHeight="1">
      <c r="B302" s="49"/>
      <c r="C302" s="50"/>
    </row>
    <row r="303" spans="2:3" ht="13.5" customHeight="1">
      <c r="B303" s="49"/>
      <c r="C303" s="50"/>
    </row>
    <row r="304" spans="2:3" ht="13.5" customHeight="1">
      <c r="B304" s="49"/>
      <c r="C304" s="50"/>
    </row>
    <row r="305" spans="2:3" ht="13.5" customHeight="1">
      <c r="B305" s="49"/>
      <c r="C305" s="50"/>
    </row>
    <row r="306" spans="2:3" ht="13.5" customHeight="1">
      <c r="B306" s="49"/>
      <c r="C306" s="50"/>
    </row>
    <row r="307" spans="2:3" ht="13.5" customHeight="1">
      <c r="B307" s="49"/>
      <c r="C307" s="50"/>
    </row>
    <row r="308" spans="2:3" ht="13.5" customHeight="1">
      <c r="B308" s="49"/>
      <c r="C308" s="50"/>
    </row>
    <row r="309" spans="2:3" ht="13.5" customHeight="1">
      <c r="B309" s="49"/>
      <c r="C309" s="50"/>
    </row>
    <row r="310" spans="2:3" ht="13.5" customHeight="1">
      <c r="B310" s="49"/>
      <c r="C310" s="50"/>
    </row>
    <row r="311" spans="2:3" ht="13.5" customHeight="1">
      <c r="B311" s="49"/>
      <c r="C311" s="50"/>
    </row>
    <row r="312" spans="2:3" ht="13.5" customHeight="1">
      <c r="B312" s="49"/>
      <c r="C312" s="50"/>
    </row>
    <row r="313" spans="2:3" ht="13.5" customHeight="1">
      <c r="B313" s="49"/>
      <c r="C313" s="50"/>
    </row>
    <row r="314" spans="2:3" ht="13.5" customHeight="1">
      <c r="B314" s="49"/>
      <c r="C314" s="50"/>
    </row>
    <row r="315" spans="2:3" ht="13.5" customHeight="1">
      <c r="B315" s="49"/>
      <c r="C315" s="50"/>
    </row>
    <row r="316" spans="2:3" ht="13.5" customHeight="1">
      <c r="B316" s="49"/>
      <c r="C316" s="50"/>
    </row>
    <row r="317" spans="2:3" ht="13.5" customHeight="1">
      <c r="B317" s="49"/>
      <c r="C317" s="50"/>
    </row>
    <row r="318" spans="2:3" ht="13.5" customHeight="1">
      <c r="B318" s="49"/>
      <c r="C318" s="50"/>
    </row>
    <row r="319" spans="2:3" ht="13.5" customHeight="1">
      <c r="B319" s="49"/>
      <c r="C319" s="50"/>
    </row>
    <row r="320" spans="2:3" ht="13.5" customHeight="1">
      <c r="B320" s="49"/>
      <c r="C320" s="50"/>
    </row>
    <row r="321" spans="2:3" ht="13.5" customHeight="1">
      <c r="B321" s="49"/>
      <c r="C321" s="50"/>
    </row>
    <row r="322" spans="2:3" ht="13.5" customHeight="1">
      <c r="B322" s="49"/>
      <c r="C322" s="50"/>
    </row>
    <row r="323" spans="2:3" ht="13.5" customHeight="1">
      <c r="B323" s="49"/>
      <c r="C323" s="50"/>
    </row>
    <row r="324" spans="2:3" ht="13.5" customHeight="1">
      <c r="B324" s="49"/>
      <c r="C324" s="50"/>
    </row>
    <row r="325" spans="2:3" ht="13.5" customHeight="1">
      <c r="B325" s="49"/>
      <c r="C325" s="50"/>
    </row>
    <row r="326" spans="2:3" ht="13.5" customHeight="1">
      <c r="B326" s="49"/>
      <c r="C326" s="50"/>
    </row>
    <row r="327" spans="2:3" ht="13.5" customHeight="1">
      <c r="B327" s="49"/>
      <c r="C327" s="50"/>
    </row>
    <row r="328" spans="2:3" ht="13.5" customHeight="1">
      <c r="B328" s="49"/>
      <c r="C328" s="50"/>
    </row>
    <row r="329" spans="2:3" ht="13.5" customHeight="1">
      <c r="B329" s="49"/>
      <c r="C329" s="50"/>
    </row>
    <row r="330" spans="2:3" ht="13.5" customHeight="1">
      <c r="B330" s="49"/>
      <c r="C330" s="50"/>
    </row>
    <row r="331" spans="2:3" ht="13.5" customHeight="1">
      <c r="B331" s="49"/>
      <c r="C331" s="50"/>
    </row>
    <row r="332" spans="2:3" ht="13.5" customHeight="1">
      <c r="B332" s="49"/>
      <c r="C332" s="50"/>
    </row>
    <row r="333" spans="2:3" ht="13.5" customHeight="1">
      <c r="B333" s="49"/>
      <c r="C333" s="50"/>
    </row>
    <row r="334" spans="2:3" ht="13.5" customHeight="1">
      <c r="B334" s="49"/>
      <c r="C334" s="50"/>
    </row>
    <row r="335" spans="2:3" ht="13.5" customHeight="1">
      <c r="B335" s="49"/>
      <c r="C335" s="50"/>
    </row>
    <row r="336" spans="2:3" ht="13.5" customHeight="1">
      <c r="B336" s="49"/>
      <c r="C336" s="50"/>
    </row>
    <row r="337" spans="2:3" ht="13.5" customHeight="1">
      <c r="B337" s="49"/>
      <c r="C337" s="50"/>
    </row>
    <row r="338" spans="2:3" ht="13.5" customHeight="1">
      <c r="B338" s="49"/>
      <c r="C338" s="50"/>
    </row>
    <row r="339" spans="2:3" ht="13.5" customHeight="1">
      <c r="B339" s="49"/>
      <c r="C339" s="50"/>
    </row>
    <row r="340" spans="2:3" ht="13.5" customHeight="1">
      <c r="B340" s="49"/>
      <c r="C340" s="50"/>
    </row>
    <row r="341" spans="2:3" ht="13.5" customHeight="1">
      <c r="B341" s="49"/>
      <c r="C341" s="50"/>
    </row>
    <row r="342" spans="2:3" ht="13.5" customHeight="1">
      <c r="B342" s="49"/>
      <c r="C342" s="50"/>
    </row>
    <row r="343" spans="2:3" ht="13.5" customHeight="1">
      <c r="B343" s="49"/>
      <c r="C343" s="50"/>
    </row>
    <row r="344" spans="2:3" ht="13.5" customHeight="1">
      <c r="B344" s="49"/>
      <c r="C344" s="50"/>
    </row>
    <row r="345" spans="2:3" ht="13.5" customHeight="1">
      <c r="B345" s="49"/>
      <c r="C345" s="50"/>
    </row>
    <row r="346" spans="2:3" ht="13.5" customHeight="1">
      <c r="B346" s="49"/>
      <c r="C346" s="50"/>
    </row>
    <row r="347" spans="2:3" ht="13.5" customHeight="1">
      <c r="B347" s="49"/>
      <c r="C347" s="50"/>
    </row>
    <row r="348" spans="2:3" ht="13.5" customHeight="1">
      <c r="B348" s="49"/>
      <c r="C348" s="50"/>
    </row>
    <row r="349" spans="2:3" ht="13.5" customHeight="1">
      <c r="B349" s="49"/>
      <c r="C349" s="50"/>
    </row>
    <row r="350" spans="2:3" ht="13.5" customHeight="1">
      <c r="B350" s="49"/>
      <c r="C350" s="50"/>
    </row>
    <row r="351" spans="2:3" ht="13.5" customHeight="1">
      <c r="B351" s="49"/>
      <c r="C351" s="50"/>
    </row>
    <row r="352" spans="2:3" ht="13.5" customHeight="1">
      <c r="B352" s="49"/>
      <c r="C352" s="50"/>
    </row>
    <row r="353" spans="2:3" ht="13.5" customHeight="1">
      <c r="B353" s="49"/>
      <c r="C353" s="50"/>
    </row>
    <row r="354" spans="2:3" ht="13.5" customHeight="1">
      <c r="B354" s="49"/>
      <c r="C354" s="50"/>
    </row>
    <row r="355" spans="2:3" ht="13.5" customHeight="1">
      <c r="B355" s="49"/>
      <c r="C355" s="50"/>
    </row>
    <row r="356" spans="2:3" ht="13.5" customHeight="1">
      <c r="B356" s="49"/>
      <c r="C356" s="50"/>
    </row>
    <row r="357" spans="2:3" ht="13.5" customHeight="1">
      <c r="B357" s="49"/>
      <c r="C357" s="50"/>
    </row>
    <row r="358" spans="2:3" ht="13.5" customHeight="1">
      <c r="B358" s="49"/>
      <c r="C358" s="50"/>
    </row>
    <row r="359" spans="2:3" ht="13.5" customHeight="1">
      <c r="B359" s="49"/>
      <c r="C359" s="50"/>
    </row>
    <row r="360" spans="2:3" ht="13.5" customHeight="1">
      <c r="B360" s="49"/>
      <c r="C360" s="50"/>
    </row>
    <row r="361" spans="2:3" ht="13.5" customHeight="1">
      <c r="B361" s="49"/>
      <c r="C361" s="50"/>
    </row>
    <row r="362" spans="2:3" ht="13.5" customHeight="1">
      <c r="B362" s="49"/>
      <c r="C362" s="50"/>
    </row>
    <row r="363" spans="2:3" ht="13.5" customHeight="1">
      <c r="B363" s="49"/>
      <c r="C363" s="50"/>
    </row>
    <row r="364" spans="2:3" ht="13.5" customHeight="1">
      <c r="B364" s="49"/>
      <c r="C364" s="50"/>
    </row>
    <row r="365" spans="2:3" ht="13.5" customHeight="1">
      <c r="B365" s="49"/>
      <c r="C365" s="50"/>
    </row>
    <row r="366" spans="2:3" ht="13.5" customHeight="1">
      <c r="B366" s="49"/>
      <c r="C366" s="50"/>
    </row>
    <row r="367" spans="2:3" ht="13.5" customHeight="1">
      <c r="B367" s="49"/>
      <c r="C367" s="50"/>
    </row>
    <row r="368" spans="2:3" ht="13.5" customHeight="1">
      <c r="B368" s="49"/>
      <c r="C368" s="50"/>
    </row>
    <row r="369" spans="2:3" ht="13.5" customHeight="1">
      <c r="B369" s="49"/>
      <c r="C369" s="50"/>
    </row>
    <row r="370" spans="2:3" ht="13.5" customHeight="1">
      <c r="B370" s="49"/>
      <c r="C370" s="50"/>
    </row>
    <row r="371" spans="2:3" ht="13.5" customHeight="1">
      <c r="B371" s="49"/>
      <c r="C371" s="50"/>
    </row>
    <row r="372" spans="2:3" ht="13.5" customHeight="1">
      <c r="B372" s="49"/>
      <c r="C372" s="50"/>
    </row>
    <row r="373" spans="2:3" ht="13.5" customHeight="1">
      <c r="B373" s="49"/>
      <c r="C373" s="50"/>
    </row>
    <row r="374" spans="2:3" ht="13.5" customHeight="1">
      <c r="B374" s="49"/>
      <c r="C374" s="50"/>
    </row>
    <row r="375" spans="2:3" ht="13.5" customHeight="1">
      <c r="B375" s="49"/>
      <c r="C375" s="50"/>
    </row>
    <row r="376" spans="2:3" ht="13.5" customHeight="1">
      <c r="B376" s="49"/>
      <c r="C376" s="50"/>
    </row>
    <row r="377" spans="2:3" ht="13.5" customHeight="1">
      <c r="B377" s="49"/>
      <c r="C377" s="50"/>
    </row>
    <row r="378" spans="2:3" ht="13.5" customHeight="1">
      <c r="B378" s="49"/>
      <c r="C378" s="50"/>
    </row>
    <row r="379" spans="2:3" ht="13.5" customHeight="1">
      <c r="B379" s="49"/>
      <c r="C379" s="50"/>
    </row>
    <row r="380" spans="2:3" ht="13.5" customHeight="1">
      <c r="B380" s="49"/>
      <c r="C380" s="50"/>
    </row>
    <row r="381" spans="2:3" ht="13.5" customHeight="1">
      <c r="B381" s="49"/>
      <c r="C381" s="50"/>
    </row>
    <row r="382" spans="2:3" ht="13.5" customHeight="1">
      <c r="B382" s="49"/>
      <c r="C382" s="50"/>
    </row>
    <row r="383" spans="2:3" ht="13.5" customHeight="1">
      <c r="B383" s="49"/>
      <c r="C383" s="50"/>
    </row>
    <row r="384" spans="2:3" ht="13.5" customHeight="1">
      <c r="B384" s="49"/>
      <c r="C384" s="50"/>
    </row>
    <row r="385" spans="2:3" ht="13.5" customHeight="1">
      <c r="B385" s="49"/>
      <c r="C385" s="50"/>
    </row>
    <row r="386" spans="2:3" ht="13.5" customHeight="1">
      <c r="B386" s="49"/>
      <c r="C386" s="50"/>
    </row>
    <row r="387" spans="2:3" ht="13.5" customHeight="1">
      <c r="B387" s="49"/>
      <c r="C387" s="50"/>
    </row>
    <row r="388" spans="2:3" ht="13.5" customHeight="1">
      <c r="B388" s="49"/>
      <c r="C388" s="50"/>
    </row>
    <row r="389" spans="2:3" ht="13.5" customHeight="1">
      <c r="B389" s="49"/>
      <c r="C389" s="50"/>
    </row>
    <row r="390" spans="2:3" ht="13.5" customHeight="1">
      <c r="B390" s="49"/>
      <c r="C390" s="50"/>
    </row>
    <row r="391" spans="2:3" ht="13.5" customHeight="1">
      <c r="B391" s="49"/>
      <c r="C391" s="50"/>
    </row>
    <row r="392" spans="2:3" ht="13.5" customHeight="1">
      <c r="B392" s="49"/>
      <c r="C392" s="50"/>
    </row>
    <row r="393" spans="2:3" ht="13.5" customHeight="1">
      <c r="B393" s="49"/>
      <c r="C393" s="50"/>
    </row>
    <row r="394" spans="2:3" ht="13.5" customHeight="1">
      <c r="B394" s="49"/>
      <c r="C394" s="50"/>
    </row>
    <row r="395" spans="2:3" ht="13.5" customHeight="1">
      <c r="B395" s="49"/>
      <c r="C395" s="50"/>
    </row>
    <row r="396" spans="2:3" ht="13.5" customHeight="1">
      <c r="B396" s="49"/>
      <c r="C396" s="50"/>
    </row>
    <row r="397" spans="2:3" ht="13.5" customHeight="1">
      <c r="B397" s="49"/>
      <c r="C397" s="50"/>
    </row>
    <row r="398" spans="2:3" ht="13.5" customHeight="1">
      <c r="B398" s="49"/>
      <c r="C398" s="50"/>
    </row>
    <row r="399" spans="2:3" ht="13.5" customHeight="1">
      <c r="B399" s="49"/>
      <c r="C399" s="50"/>
    </row>
    <row r="400" spans="2:3" ht="13.5" customHeight="1">
      <c r="B400" s="49"/>
      <c r="C400" s="50"/>
    </row>
    <row r="401" spans="2:3" ht="13.5" customHeight="1">
      <c r="B401" s="49"/>
      <c r="C401" s="50"/>
    </row>
    <row r="402" spans="2:3" ht="13.5" customHeight="1">
      <c r="B402" s="49"/>
      <c r="C402" s="50"/>
    </row>
    <row r="403" spans="2:3" ht="13.5" customHeight="1">
      <c r="B403" s="49"/>
      <c r="C403" s="50"/>
    </row>
    <row r="404" spans="2:3" ht="13.5" customHeight="1">
      <c r="B404" s="49"/>
      <c r="C404" s="50"/>
    </row>
    <row r="405" spans="2:3" ht="13.5" customHeight="1">
      <c r="B405" s="49"/>
      <c r="C405" s="50"/>
    </row>
    <row r="406" spans="2:3" ht="13.5" customHeight="1">
      <c r="B406" s="49"/>
      <c r="C406" s="50"/>
    </row>
    <row r="407" spans="2:3" ht="13.5" customHeight="1">
      <c r="B407" s="49"/>
      <c r="C407" s="50"/>
    </row>
    <row r="408" spans="2:3" ht="13.5" customHeight="1">
      <c r="B408" s="49"/>
      <c r="C408" s="50"/>
    </row>
    <row r="409" spans="2:3" ht="13.5" customHeight="1">
      <c r="B409" s="49"/>
      <c r="C409" s="50"/>
    </row>
    <row r="410" spans="2:3" ht="13.5" customHeight="1">
      <c r="B410" s="49"/>
      <c r="C410" s="50"/>
    </row>
    <row r="411" spans="2:3" ht="13.5" customHeight="1">
      <c r="B411" s="49"/>
      <c r="C411" s="50"/>
    </row>
    <row r="412" spans="2:3" ht="13.5" customHeight="1">
      <c r="B412" s="49"/>
      <c r="C412" s="50"/>
    </row>
    <row r="413" spans="2:3" ht="13.5" customHeight="1">
      <c r="B413" s="49"/>
      <c r="C413" s="50"/>
    </row>
    <row r="414" spans="2:3" ht="13.5" customHeight="1">
      <c r="B414" s="49"/>
      <c r="C414" s="50"/>
    </row>
    <row r="415" spans="2:3" ht="13.5" customHeight="1">
      <c r="B415" s="49"/>
      <c r="C415" s="50"/>
    </row>
    <row r="416" spans="2:3" ht="13.5" customHeight="1">
      <c r="B416" s="49"/>
      <c r="C416" s="50"/>
    </row>
    <row r="417" spans="2:3" ht="13.5" customHeight="1">
      <c r="B417" s="49"/>
      <c r="C417" s="50"/>
    </row>
    <row r="418" spans="2:3" ht="13.5" customHeight="1">
      <c r="B418" s="49"/>
      <c r="C418" s="50"/>
    </row>
    <row r="419" spans="2:3" ht="13.5" customHeight="1">
      <c r="B419" s="49"/>
      <c r="C419" s="50"/>
    </row>
    <row r="420" spans="2:3" ht="13.5" customHeight="1">
      <c r="B420" s="49"/>
      <c r="C420" s="50"/>
    </row>
    <row r="421" spans="2:3" ht="13.5" customHeight="1">
      <c r="B421" s="49"/>
      <c r="C421" s="50"/>
    </row>
    <row r="422" spans="2:3" ht="13.5" customHeight="1">
      <c r="B422" s="49"/>
      <c r="C422" s="50"/>
    </row>
    <row r="423" spans="2:3" ht="13.5" customHeight="1">
      <c r="B423" s="49"/>
      <c r="C423" s="50"/>
    </row>
    <row r="424" spans="2:3" ht="13.5" customHeight="1">
      <c r="B424" s="49"/>
      <c r="C424" s="50"/>
    </row>
    <row r="425" spans="2:3" ht="13.5" customHeight="1">
      <c r="B425" s="49"/>
      <c r="C425" s="50"/>
    </row>
    <row r="426" spans="2:3" ht="13.5" customHeight="1">
      <c r="B426" s="49"/>
      <c r="C426" s="50"/>
    </row>
    <row r="427" spans="2:3" ht="13.5" customHeight="1">
      <c r="B427" s="49"/>
      <c r="C427" s="50"/>
    </row>
    <row r="428" spans="2:3" ht="13.5" customHeight="1">
      <c r="B428" s="49"/>
      <c r="C428" s="50"/>
    </row>
    <row r="429" spans="2:3" ht="13.5" customHeight="1">
      <c r="B429" s="49"/>
      <c r="C429" s="50"/>
    </row>
    <row r="430" spans="2:3" ht="13.5" customHeight="1">
      <c r="B430" s="49"/>
      <c r="C430" s="50"/>
    </row>
    <row r="431" spans="2:3" ht="13.5" customHeight="1">
      <c r="B431" s="49"/>
      <c r="C431" s="50"/>
    </row>
    <row r="432" spans="2:3" ht="13.5" customHeight="1">
      <c r="B432" s="49"/>
      <c r="C432" s="50"/>
    </row>
    <row r="433" spans="2:3" ht="13.5" customHeight="1">
      <c r="B433" s="49"/>
      <c r="C433" s="50"/>
    </row>
    <row r="434" spans="2:3" ht="13.5" customHeight="1">
      <c r="B434" s="49"/>
      <c r="C434" s="50"/>
    </row>
    <row r="435" spans="2:3" ht="13.5" customHeight="1">
      <c r="B435" s="49"/>
      <c r="C435" s="50"/>
    </row>
    <row r="436" spans="2:3" ht="13.5" customHeight="1">
      <c r="B436" s="49"/>
      <c r="C436" s="50"/>
    </row>
    <row r="437" spans="2:3" ht="13.5" customHeight="1">
      <c r="B437" s="49"/>
      <c r="C437" s="50"/>
    </row>
    <row r="438" spans="2:3" ht="13.5" customHeight="1">
      <c r="B438" s="49"/>
      <c r="C438" s="50"/>
    </row>
    <row r="439" spans="2:3" ht="13.5" customHeight="1">
      <c r="B439" s="49"/>
      <c r="C439" s="50"/>
    </row>
    <row r="440" spans="2:3" ht="13.5" customHeight="1">
      <c r="B440" s="49"/>
      <c r="C440" s="50"/>
    </row>
    <row r="441" spans="2:3" ht="13.5" customHeight="1">
      <c r="B441" s="49"/>
      <c r="C441" s="50"/>
    </row>
    <row r="442" spans="2:3" ht="13.5" customHeight="1">
      <c r="B442" s="49"/>
      <c r="C442" s="50"/>
    </row>
    <row r="443" spans="2:3" ht="13.5" customHeight="1">
      <c r="B443" s="49"/>
      <c r="C443" s="50"/>
    </row>
    <row r="444" spans="2:3" ht="13.5" customHeight="1">
      <c r="B444" s="49"/>
      <c r="C444" s="50"/>
    </row>
    <row r="445" spans="2:3" ht="13.5" customHeight="1">
      <c r="B445" s="49"/>
      <c r="C445" s="50"/>
    </row>
    <row r="446" spans="2:3" ht="13.5" customHeight="1">
      <c r="B446" s="49"/>
      <c r="C446" s="50"/>
    </row>
    <row r="447" spans="2:3" ht="13.5" customHeight="1">
      <c r="B447" s="49"/>
      <c r="C447" s="50"/>
    </row>
    <row r="448" spans="2:3" ht="13.5" customHeight="1">
      <c r="B448" s="49"/>
      <c r="C448" s="50"/>
    </row>
    <row r="449" spans="2:3" ht="13.5" customHeight="1">
      <c r="B449" s="49"/>
      <c r="C449" s="50"/>
    </row>
    <row r="450" spans="2:3" ht="13.5" customHeight="1">
      <c r="B450" s="49"/>
      <c r="C450" s="50"/>
    </row>
    <row r="451" spans="2:3" ht="13.5" customHeight="1">
      <c r="B451" s="49"/>
      <c r="C451" s="50"/>
    </row>
    <row r="452" spans="2:3" ht="13.5" customHeight="1">
      <c r="B452" s="49"/>
      <c r="C452" s="50"/>
    </row>
    <row r="453" spans="2:3" ht="13.5" customHeight="1">
      <c r="B453" s="49"/>
      <c r="C453" s="50"/>
    </row>
    <row r="454" spans="2:3" ht="13.5" customHeight="1">
      <c r="B454" s="49"/>
      <c r="C454" s="50"/>
    </row>
    <row r="455" spans="2:3" ht="13.5" customHeight="1">
      <c r="B455" s="49"/>
      <c r="C455" s="50"/>
    </row>
    <row r="456" spans="2:3" ht="13.5" customHeight="1">
      <c r="B456" s="49"/>
      <c r="C456" s="50"/>
    </row>
    <row r="457" spans="2:3" ht="13.5" customHeight="1">
      <c r="B457" s="49"/>
      <c r="C457" s="50"/>
    </row>
    <row r="458" spans="2:3" ht="13.5" customHeight="1">
      <c r="B458" s="49"/>
      <c r="C458" s="50"/>
    </row>
    <row r="459" spans="2:3" ht="13.5" customHeight="1">
      <c r="B459" s="49"/>
      <c r="C459" s="50"/>
    </row>
    <row r="460" spans="2:3" ht="13.5" customHeight="1">
      <c r="B460" s="49"/>
      <c r="C460" s="50"/>
    </row>
    <row r="461" spans="2:3" ht="13.5" customHeight="1">
      <c r="B461" s="49"/>
      <c r="C461" s="50"/>
    </row>
    <row r="462" spans="2:3" ht="13.5" customHeight="1">
      <c r="B462" s="49"/>
      <c r="C462" s="50"/>
    </row>
    <row r="463" spans="2:3" ht="13.5" customHeight="1">
      <c r="B463" s="49"/>
      <c r="C463" s="50"/>
    </row>
    <row r="464" spans="2:3" ht="13.5" customHeight="1">
      <c r="B464" s="49"/>
      <c r="C464" s="50"/>
    </row>
    <row r="465" spans="2:3" ht="13.5" customHeight="1">
      <c r="B465" s="49"/>
      <c r="C465" s="50"/>
    </row>
    <row r="466" spans="2:3" ht="13.5" customHeight="1">
      <c r="B466" s="49"/>
      <c r="C466" s="50"/>
    </row>
    <row r="467" spans="2:3" ht="13.5" customHeight="1">
      <c r="B467" s="49"/>
      <c r="C467" s="50"/>
    </row>
    <row r="468" spans="2:3" ht="13.5" customHeight="1">
      <c r="B468" s="49"/>
      <c r="C468" s="50"/>
    </row>
    <row r="469" spans="2:3" ht="13.5" customHeight="1">
      <c r="B469" s="49"/>
      <c r="C469" s="50"/>
    </row>
    <row r="470" spans="2:3" ht="13.5" customHeight="1">
      <c r="B470" s="49"/>
      <c r="C470" s="50"/>
    </row>
    <row r="471" spans="2:3" ht="13.5" customHeight="1">
      <c r="B471" s="49"/>
      <c r="C471" s="50"/>
    </row>
    <row r="472" spans="2:3" ht="13.5" customHeight="1">
      <c r="B472" s="49"/>
      <c r="C472" s="50"/>
    </row>
    <row r="473" spans="2:3" ht="13.5" customHeight="1">
      <c r="B473" s="49"/>
      <c r="C473" s="50"/>
    </row>
    <row r="474" spans="2:3" ht="13.5" customHeight="1">
      <c r="B474" s="49"/>
      <c r="C474" s="50"/>
    </row>
    <row r="475" spans="2:3" ht="13.5" customHeight="1">
      <c r="B475" s="49"/>
      <c r="C475" s="50"/>
    </row>
    <row r="476" spans="2:3" ht="13.5" customHeight="1">
      <c r="B476" s="49"/>
      <c r="C476" s="50"/>
    </row>
    <row r="477" spans="2:3" ht="13.5" customHeight="1">
      <c r="B477" s="49"/>
      <c r="C477" s="50"/>
    </row>
    <row r="478" spans="2:3" ht="13.5" customHeight="1">
      <c r="B478" s="49"/>
      <c r="C478" s="50"/>
    </row>
    <row r="479" spans="2:3" ht="13.5" customHeight="1">
      <c r="B479" s="49"/>
      <c r="C479" s="50"/>
    </row>
    <row r="480" spans="2:3" ht="13.5" customHeight="1">
      <c r="B480" s="49"/>
      <c r="C480" s="50"/>
    </row>
    <row r="481" spans="2:3" ht="13.5" customHeight="1">
      <c r="B481" s="49"/>
      <c r="C481" s="50"/>
    </row>
    <row r="482" spans="2:3" ht="13.5" customHeight="1">
      <c r="B482" s="49"/>
      <c r="C482" s="50"/>
    </row>
    <row r="483" spans="2:3" ht="13.5" customHeight="1">
      <c r="B483" s="49"/>
      <c r="C483" s="50"/>
    </row>
    <row r="484" spans="2:3" ht="13.5" customHeight="1">
      <c r="B484" s="49"/>
      <c r="C484" s="50"/>
    </row>
    <row r="485" spans="2:3" ht="13.5" customHeight="1">
      <c r="B485" s="49"/>
      <c r="C485" s="50"/>
    </row>
    <row r="486" spans="2:3" ht="13.5" customHeight="1">
      <c r="B486" s="49"/>
      <c r="C486" s="50"/>
    </row>
    <row r="487" spans="2:3" ht="13.5" customHeight="1">
      <c r="B487" s="49"/>
      <c r="C487" s="50"/>
    </row>
    <row r="488" spans="2:3" ht="13.5" customHeight="1">
      <c r="B488" s="49"/>
      <c r="C488" s="50"/>
    </row>
    <row r="489" spans="2:3" ht="13.5" customHeight="1">
      <c r="B489" s="49"/>
      <c r="C489" s="50"/>
    </row>
    <row r="490" spans="2:3" ht="13.5" customHeight="1">
      <c r="B490" s="49"/>
      <c r="C490" s="50"/>
    </row>
    <row r="491" spans="2:3" ht="13.5" customHeight="1">
      <c r="B491" s="49"/>
      <c r="C491" s="50"/>
    </row>
    <row r="492" spans="2:3" ht="13.5" customHeight="1">
      <c r="B492" s="49"/>
      <c r="C492" s="50"/>
    </row>
    <row r="493" spans="2:3" ht="13.5" customHeight="1">
      <c r="B493" s="49"/>
      <c r="C493" s="50"/>
    </row>
    <row r="494" spans="2:3" ht="13.5" customHeight="1">
      <c r="B494" s="49"/>
      <c r="C494" s="50"/>
    </row>
    <row r="495" spans="2:3" ht="13.5" customHeight="1">
      <c r="B495" s="49"/>
      <c r="C495" s="50"/>
    </row>
    <row r="496" spans="2:3" ht="13.5" customHeight="1">
      <c r="B496" s="49"/>
      <c r="C496" s="50"/>
    </row>
    <row r="497" spans="2:3" ht="13.5" customHeight="1">
      <c r="B497" s="49"/>
      <c r="C497" s="50"/>
    </row>
    <row r="498" spans="2:3" ht="13.5" customHeight="1">
      <c r="B498" s="49"/>
      <c r="C498" s="50"/>
    </row>
    <row r="499" spans="2:3" ht="13.5" customHeight="1">
      <c r="B499" s="49"/>
      <c r="C499" s="50"/>
    </row>
    <row r="500" spans="2:3" ht="13.5" customHeight="1">
      <c r="B500" s="49"/>
      <c r="C500" s="50"/>
    </row>
    <row r="501" spans="2:3" ht="13.5" customHeight="1">
      <c r="B501" s="49"/>
      <c r="C501" s="50"/>
    </row>
    <row r="502" spans="2:3" ht="13.5" customHeight="1">
      <c r="B502" s="49"/>
      <c r="C502" s="50"/>
    </row>
    <row r="503" spans="2:3" ht="13.5" customHeight="1">
      <c r="B503" s="49"/>
      <c r="C503" s="50"/>
    </row>
    <row r="504" spans="2:3" ht="13.5" customHeight="1">
      <c r="B504" s="49"/>
      <c r="C504" s="50"/>
    </row>
    <row r="505" spans="2:3" ht="13.5" customHeight="1">
      <c r="B505" s="49"/>
      <c r="C505" s="50"/>
    </row>
    <row r="506" spans="2:3" ht="13.5" customHeight="1">
      <c r="B506" s="49"/>
      <c r="C506" s="50"/>
    </row>
    <row r="507" spans="2:3" ht="13.5" customHeight="1">
      <c r="B507" s="49"/>
      <c r="C507" s="50"/>
    </row>
    <row r="508" spans="2:3" ht="13.5" customHeight="1">
      <c r="B508" s="49"/>
      <c r="C508" s="50"/>
    </row>
    <row r="509" spans="2:3" ht="13.5" customHeight="1">
      <c r="B509" s="49"/>
      <c r="C509" s="50"/>
    </row>
    <row r="510" spans="2:3" ht="13.5" customHeight="1">
      <c r="B510" s="49"/>
      <c r="C510" s="50"/>
    </row>
    <row r="511" spans="2:3" ht="13.5" customHeight="1">
      <c r="B511" s="49"/>
      <c r="C511" s="50"/>
    </row>
    <row r="512" spans="2:3" ht="13.5" customHeight="1">
      <c r="B512" s="49"/>
      <c r="C512" s="50"/>
    </row>
    <row r="513" spans="2:3" ht="13.5" customHeight="1">
      <c r="B513" s="49"/>
      <c r="C513" s="50"/>
    </row>
    <row r="514" spans="2:3" ht="13.5" customHeight="1">
      <c r="B514" s="49"/>
      <c r="C514" s="50"/>
    </row>
    <row r="515" spans="2:3" ht="13.5" customHeight="1">
      <c r="B515" s="49"/>
      <c r="C515" s="50"/>
    </row>
    <row r="516" spans="2:3" ht="13.5" customHeight="1">
      <c r="B516" s="49"/>
      <c r="C516" s="50"/>
    </row>
    <row r="517" spans="2:3" ht="13.5" customHeight="1">
      <c r="B517" s="49"/>
      <c r="C517" s="50"/>
    </row>
    <row r="518" spans="2:3" ht="13.5" customHeight="1">
      <c r="B518" s="49"/>
      <c r="C518" s="50"/>
    </row>
    <row r="519" spans="2:3" ht="13.5" customHeight="1">
      <c r="B519" s="49"/>
      <c r="C519" s="50"/>
    </row>
    <row r="520" spans="2:3" ht="13.5" customHeight="1">
      <c r="B520" s="49"/>
      <c r="C520" s="50"/>
    </row>
    <row r="521" spans="2:3" ht="13.5" customHeight="1">
      <c r="B521" s="49"/>
      <c r="C521" s="50"/>
    </row>
    <row r="522" spans="2:3" ht="13.5" customHeight="1">
      <c r="B522" s="49"/>
      <c r="C522" s="50"/>
    </row>
    <row r="523" spans="2:3" ht="13.5" customHeight="1">
      <c r="B523" s="49"/>
      <c r="C523" s="50"/>
    </row>
    <row r="524" spans="2:3" ht="13.5" customHeight="1">
      <c r="B524" s="49"/>
      <c r="C524" s="50"/>
    </row>
    <row r="525" spans="2:3" ht="13.5" customHeight="1">
      <c r="B525" s="49"/>
      <c r="C525" s="50"/>
    </row>
    <row r="526" spans="2:3" ht="13.5" customHeight="1">
      <c r="B526" s="49"/>
      <c r="C526" s="50"/>
    </row>
    <row r="527" spans="2:3" ht="13.5" customHeight="1">
      <c r="B527" s="49"/>
      <c r="C527" s="50"/>
    </row>
    <row r="528" spans="2:3" ht="13.5" customHeight="1">
      <c r="B528" s="49"/>
      <c r="C528" s="50"/>
    </row>
    <row r="529" spans="2:3" ht="13.5" customHeight="1">
      <c r="B529" s="49"/>
      <c r="C529" s="50"/>
    </row>
    <row r="530" spans="2:3" ht="13.5" customHeight="1">
      <c r="B530" s="49"/>
      <c r="C530" s="50"/>
    </row>
    <row r="531" spans="2:3" ht="13.5" customHeight="1">
      <c r="B531" s="49"/>
      <c r="C531" s="50"/>
    </row>
    <row r="532" spans="2:3" ht="13.5" customHeight="1">
      <c r="B532" s="49"/>
      <c r="C532" s="50"/>
    </row>
    <row r="533" spans="2:3" ht="13.5" customHeight="1">
      <c r="B533" s="49"/>
      <c r="C533" s="50"/>
    </row>
    <row r="534" spans="2:3" ht="13.5" customHeight="1">
      <c r="B534" s="49"/>
      <c r="C534" s="50"/>
    </row>
    <row r="535" spans="2:3" ht="13.5" customHeight="1">
      <c r="B535" s="49"/>
      <c r="C535" s="50"/>
    </row>
    <row r="536" spans="2:3" ht="13.5" customHeight="1">
      <c r="B536" s="49"/>
      <c r="C536" s="50"/>
    </row>
    <row r="537" spans="2:3" ht="13.5" customHeight="1">
      <c r="B537" s="49"/>
      <c r="C537" s="50"/>
    </row>
    <row r="538" spans="2:3" ht="13.5" customHeight="1">
      <c r="B538" s="49"/>
      <c r="C538" s="50"/>
    </row>
    <row r="539" spans="2:3" ht="13.5" customHeight="1">
      <c r="B539" s="49"/>
      <c r="C539" s="50"/>
    </row>
    <row r="540" spans="2:3" ht="13.5" customHeight="1">
      <c r="B540" s="49"/>
      <c r="C540" s="50"/>
    </row>
    <row r="541" spans="2:3" ht="13.5" customHeight="1">
      <c r="B541" s="49"/>
      <c r="C541" s="50"/>
    </row>
    <row r="542" spans="2:3" ht="13.5" customHeight="1">
      <c r="B542" s="49"/>
      <c r="C542" s="50"/>
    </row>
    <row r="543" spans="2:3" ht="13.5" customHeight="1">
      <c r="B543" s="49"/>
      <c r="C543" s="50"/>
    </row>
    <row r="544" spans="2:3" ht="13.5" customHeight="1">
      <c r="B544" s="49"/>
      <c r="C544" s="50"/>
    </row>
    <row r="545" spans="2:3" ht="13.5" customHeight="1">
      <c r="B545" s="49"/>
      <c r="C545" s="50"/>
    </row>
    <row r="546" spans="2:3" ht="13.5" customHeight="1">
      <c r="B546" s="49"/>
      <c r="C546" s="50"/>
    </row>
    <row r="547" spans="2:3" ht="13.5" customHeight="1">
      <c r="B547" s="49"/>
      <c r="C547" s="50"/>
    </row>
    <row r="548" spans="2:3" ht="13.5" customHeight="1">
      <c r="B548" s="49"/>
      <c r="C548" s="50"/>
    </row>
    <row r="549" spans="2:3" ht="13.5" customHeight="1">
      <c r="B549" s="49"/>
      <c r="C549" s="50"/>
    </row>
    <row r="550" spans="2:3" ht="13.5" customHeight="1">
      <c r="B550" s="49"/>
      <c r="C550" s="50"/>
    </row>
    <row r="551" spans="2:3" ht="13.5" customHeight="1">
      <c r="B551" s="49"/>
      <c r="C551" s="50"/>
    </row>
    <row r="552" spans="2:3" ht="13.5" customHeight="1">
      <c r="B552" s="49"/>
      <c r="C552" s="50"/>
    </row>
    <row r="553" spans="2:3" ht="13.5" customHeight="1">
      <c r="B553" s="49"/>
      <c r="C553" s="50"/>
    </row>
    <row r="554" spans="2:3" ht="13.5" customHeight="1">
      <c r="B554" s="49"/>
      <c r="C554" s="50"/>
    </row>
    <row r="555" spans="2:3" ht="13.5" customHeight="1">
      <c r="B555" s="49"/>
      <c r="C555" s="50"/>
    </row>
    <row r="556" spans="2:3" ht="13.5" customHeight="1">
      <c r="B556" s="49"/>
      <c r="C556" s="50"/>
    </row>
    <row r="557" spans="2:3" ht="13.5" customHeight="1">
      <c r="B557" s="49"/>
      <c r="C557" s="50"/>
    </row>
    <row r="558" spans="2:3" ht="13.5" customHeight="1">
      <c r="B558" s="49"/>
      <c r="C558" s="50"/>
    </row>
    <row r="559" spans="2:3" ht="13.5" customHeight="1">
      <c r="B559" s="49"/>
      <c r="C559" s="50"/>
    </row>
    <row r="560" spans="2:3" ht="13.5" customHeight="1">
      <c r="B560" s="49"/>
      <c r="C560" s="50"/>
    </row>
    <row r="561" spans="2:3" ht="13.5" customHeight="1">
      <c r="B561" s="49"/>
      <c r="C561" s="50"/>
    </row>
    <row r="562" spans="2:3" ht="13.5" customHeight="1">
      <c r="B562" s="49"/>
      <c r="C562" s="50"/>
    </row>
    <row r="563" spans="2:3" ht="13.5" customHeight="1">
      <c r="B563" s="49"/>
      <c r="C563" s="50"/>
    </row>
    <row r="564" spans="2:3" ht="13.5" customHeight="1">
      <c r="B564" s="49"/>
      <c r="C564" s="50"/>
    </row>
    <row r="565" spans="2:3" ht="13.5" customHeight="1">
      <c r="B565" s="49"/>
      <c r="C565" s="50"/>
    </row>
    <row r="566" spans="2:3" ht="13.5" customHeight="1">
      <c r="B566" s="49"/>
      <c r="C566" s="50"/>
    </row>
    <row r="567" spans="2:3" ht="13.5" customHeight="1">
      <c r="B567" s="49"/>
      <c r="C567" s="50"/>
    </row>
    <row r="568" spans="2:3" ht="13.5" customHeight="1">
      <c r="B568" s="49"/>
      <c r="C568" s="50"/>
    </row>
    <row r="569" spans="2:3" ht="13.5" customHeight="1">
      <c r="B569" s="49"/>
      <c r="C569" s="50"/>
    </row>
    <row r="570" spans="2:3" ht="13.5" customHeight="1">
      <c r="B570" s="49"/>
      <c r="C570" s="50"/>
    </row>
    <row r="571" spans="2:3" ht="13.5" customHeight="1">
      <c r="B571" s="49"/>
      <c r="C571" s="50"/>
    </row>
    <row r="572" spans="2:3" ht="13.5" customHeight="1">
      <c r="B572" s="49"/>
      <c r="C572" s="50"/>
    </row>
    <row r="573" spans="2:3" ht="13.5" customHeight="1">
      <c r="B573" s="49"/>
      <c r="C573" s="50"/>
    </row>
    <row r="574" spans="2:3" ht="13.5" customHeight="1">
      <c r="B574" s="49"/>
      <c r="C574" s="50"/>
    </row>
    <row r="575" spans="2:3" ht="13.5" customHeight="1">
      <c r="B575" s="49"/>
      <c r="C575" s="50"/>
    </row>
    <row r="576" spans="2:3" ht="13.5" customHeight="1">
      <c r="B576" s="49"/>
      <c r="C576" s="50"/>
    </row>
    <row r="577" spans="2:3" ht="13.5" customHeight="1">
      <c r="B577" s="49"/>
      <c r="C577" s="50"/>
    </row>
    <row r="578" spans="2:3" ht="13.5" customHeight="1">
      <c r="B578" s="49"/>
      <c r="C578" s="50"/>
    </row>
    <row r="579" spans="2:3" ht="13.5" customHeight="1">
      <c r="B579" s="49"/>
      <c r="C579" s="50"/>
    </row>
    <row r="580" spans="2:3" ht="13.5" customHeight="1">
      <c r="B580" s="49"/>
      <c r="C580" s="50"/>
    </row>
    <row r="581" spans="2:3" ht="13.5" customHeight="1">
      <c r="B581" s="49"/>
      <c r="C581" s="50"/>
    </row>
    <row r="582" spans="2:3" ht="13.5" customHeight="1">
      <c r="B582" s="49"/>
      <c r="C582" s="50"/>
    </row>
    <row r="583" spans="2:3" ht="13.5" customHeight="1">
      <c r="B583" s="49"/>
      <c r="C583" s="50"/>
    </row>
    <row r="584" spans="2:3" ht="13.5" customHeight="1">
      <c r="B584" s="49"/>
      <c r="C584" s="50"/>
    </row>
    <row r="585" spans="2:3" ht="13.5" customHeight="1">
      <c r="B585" s="49"/>
      <c r="C585" s="50"/>
    </row>
    <row r="586" spans="2:3" ht="13.5" customHeight="1">
      <c r="B586" s="49"/>
      <c r="C586" s="50"/>
    </row>
    <row r="587" spans="2:3" ht="13.5" customHeight="1">
      <c r="B587" s="49"/>
      <c r="C587" s="50"/>
    </row>
    <row r="588" spans="2:3" ht="13.5" customHeight="1">
      <c r="B588" s="49"/>
      <c r="C588" s="50"/>
    </row>
    <row r="589" spans="2:3" ht="13.5" customHeight="1">
      <c r="B589" s="49"/>
      <c r="C589" s="50"/>
    </row>
    <row r="590" spans="2:3" ht="13.5" customHeight="1">
      <c r="B590" s="49"/>
      <c r="C590" s="50"/>
    </row>
    <row r="591" spans="2:3" ht="13.5" customHeight="1">
      <c r="B591" s="49"/>
      <c r="C591" s="50"/>
    </row>
    <row r="592" spans="2:3" ht="13.5" customHeight="1">
      <c r="B592" s="49"/>
      <c r="C592" s="50"/>
    </row>
    <row r="593" spans="2:3" ht="13.5" customHeight="1">
      <c r="B593" s="49"/>
      <c r="C593" s="50"/>
    </row>
    <row r="594" spans="2:3" ht="13.5" customHeight="1">
      <c r="B594" s="49"/>
      <c r="C594" s="50"/>
    </row>
    <row r="595" spans="2:3" ht="13.5" customHeight="1">
      <c r="B595" s="49"/>
      <c r="C595" s="50"/>
    </row>
    <row r="596" spans="2:3" ht="13.5" customHeight="1">
      <c r="B596" s="49"/>
      <c r="C596" s="50"/>
    </row>
    <row r="597" spans="2:3" ht="13.5" customHeight="1">
      <c r="B597" s="49"/>
      <c r="C597" s="50"/>
    </row>
    <row r="598" spans="2:3" ht="13.5" customHeight="1">
      <c r="B598" s="49"/>
      <c r="C598" s="50"/>
    </row>
    <row r="599" spans="2:3" ht="13.5" customHeight="1">
      <c r="B599" s="49"/>
      <c r="C599" s="50"/>
    </row>
    <row r="600" spans="2:3" ht="13.5" customHeight="1">
      <c r="B600" s="49"/>
      <c r="C600" s="50"/>
    </row>
    <row r="601" spans="2:3" ht="13.5" customHeight="1">
      <c r="B601" s="49"/>
      <c r="C601" s="50"/>
    </row>
    <row r="602" spans="2:3" ht="13.5" customHeight="1">
      <c r="B602" s="49"/>
      <c r="C602" s="50"/>
    </row>
    <row r="603" spans="2:3" ht="13.5" customHeight="1">
      <c r="B603" s="49"/>
      <c r="C603" s="50"/>
    </row>
    <row r="604" spans="2:3" ht="13.5" customHeight="1">
      <c r="B604" s="49"/>
      <c r="C604" s="50"/>
    </row>
    <row r="605" spans="2:3" ht="13.5" customHeight="1">
      <c r="B605" s="49"/>
      <c r="C605" s="50"/>
    </row>
    <row r="606" spans="2:3" ht="13.5" customHeight="1">
      <c r="B606" s="49"/>
      <c r="C606" s="50"/>
    </row>
    <row r="607" spans="2:3" ht="13.5" customHeight="1">
      <c r="B607" s="49"/>
      <c r="C607" s="50"/>
    </row>
    <row r="608" spans="2:3" ht="13.5" customHeight="1">
      <c r="B608" s="49"/>
      <c r="C608" s="50"/>
    </row>
    <row r="609" spans="2:3" ht="13.5" customHeight="1">
      <c r="B609" s="49"/>
      <c r="C609" s="50"/>
    </row>
    <row r="610" spans="2:3" ht="13.5" customHeight="1">
      <c r="B610" s="49"/>
      <c r="C610" s="50"/>
    </row>
    <row r="611" spans="2:3" ht="13.5" customHeight="1">
      <c r="B611" s="49"/>
      <c r="C611" s="50"/>
    </row>
    <row r="612" spans="2:3" ht="13.5" customHeight="1">
      <c r="B612" s="49"/>
      <c r="C612" s="50"/>
    </row>
    <row r="613" spans="2:3" ht="13.5" customHeight="1">
      <c r="B613" s="49"/>
      <c r="C613" s="50"/>
    </row>
    <row r="614" spans="2:3" ht="13.5" customHeight="1">
      <c r="B614" s="49"/>
      <c r="C614" s="50"/>
    </row>
    <row r="615" spans="2:3" ht="13.5" customHeight="1">
      <c r="B615" s="49"/>
      <c r="C615" s="50"/>
    </row>
    <row r="616" spans="2:3" ht="13.5" customHeight="1">
      <c r="B616" s="49"/>
      <c r="C616" s="50"/>
    </row>
    <row r="617" spans="2:3" ht="13.5" customHeight="1">
      <c r="B617" s="49"/>
      <c r="C617" s="50"/>
    </row>
    <row r="618" spans="2:3" ht="13.5" customHeight="1">
      <c r="B618" s="49"/>
      <c r="C618" s="50"/>
    </row>
    <row r="619" spans="2:3" ht="13.5" customHeight="1">
      <c r="B619" s="49"/>
      <c r="C619" s="50"/>
    </row>
    <row r="620" spans="2:3" ht="13.5" customHeight="1">
      <c r="B620" s="49"/>
      <c r="C620" s="50"/>
    </row>
    <row r="621" spans="2:3" ht="13.5" customHeight="1">
      <c r="B621" s="49"/>
      <c r="C621" s="50"/>
    </row>
    <row r="622" spans="2:3" ht="13.5" customHeight="1">
      <c r="B622" s="49"/>
      <c r="C622" s="50"/>
    </row>
    <row r="623" spans="2:3" ht="13.5" customHeight="1">
      <c r="B623" s="49"/>
      <c r="C623" s="50"/>
    </row>
    <row r="624" spans="2:3" ht="13.5" customHeight="1">
      <c r="B624" s="49"/>
      <c r="C624" s="50"/>
    </row>
    <row r="625" spans="2:3" ht="13.5" customHeight="1">
      <c r="B625" s="49"/>
      <c r="C625" s="50"/>
    </row>
    <row r="626" spans="2:3" ht="13.5" customHeight="1">
      <c r="B626" s="49"/>
      <c r="C626" s="50"/>
    </row>
    <row r="627" spans="2:3" ht="13.5" customHeight="1">
      <c r="B627" s="49"/>
      <c r="C627" s="50"/>
    </row>
    <row r="628" spans="2:3" ht="13.5" customHeight="1">
      <c r="B628" s="49"/>
      <c r="C628" s="50"/>
    </row>
    <row r="629" spans="2:3" ht="13.5" customHeight="1">
      <c r="B629" s="49"/>
      <c r="C629" s="50"/>
    </row>
    <row r="630" spans="2:3" ht="13.5" customHeight="1">
      <c r="B630" s="49"/>
      <c r="C630" s="50"/>
    </row>
    <row r="631" spans="2:3" ht="13.5" customHeight="1">
      <c r="B631" s="49"/>
      <c r="C631" s="50"/>
    </row>
    <row r="632" spans="2:3" ht="13.5" customHeight="1">
      <c r="B632" s="49"/>
      <c r="C632" s="50"/>
    </row>
    <row r="633" spans="2:3" ht="13.5" customHeight="1">
      <c r="B633" s="49"/>
      <c r="C633" s="50"/>
    </row>
    <row r="634" spans="2:3" ht="13.5" customHeight="1">
      <c r="B634" s="49"/>
      <c r="C634" s="50"/>
    </row>
    <row r="635" spans="2:3" ht="13.5" customHeight="1">
      <c r="B635" s="49"/>
      <c r="C635" s="50"/>
    </row>
    <row r="636" spans="2:3" ht="13.5" customHeight="1">
      <c r="B636" s="49"/>
      <c r="C636" s="50"/>
    </row>
    <row r="637" spans="2:3" ht="13.5" customHeight="1">
      <c r="B637" s="49"/>
      <c r="C637" s="50"/>
    </row>
    <row r="638" spans="2:3" ht="13.5" customHeight="1">
      <c r="B638" s="49"/>
      <c r="C638" s="50"/>
    </row>
    <row r="639" spans="2:3" ht="13.5" customHeight="1">
      <c r="B639" s="49"/>
      <c r="C639" s="50"/>
    </row>
    <row r="640" spans="2:3" ht="13.5" customHeight="1">
      <c r="B640" s="49"/>
      <c r="C640" s="50"/>
    </row>
    <row r="641" spans="2:3" ht="13.5" customHeight="1">
      <c r="B641" s="49"/>
      <c r="C641" s="50"/>
    </row>
    <row r="642" spans="2:3" ht="13.5" customHeight="1">
      <c r="B642" s="49"/>
      <c r="C642" s="50"/>
    </row>
    <row r="643" spans="2:3" ht="13.5" customHeight="1">
      <c r="B643" s="49"/>
      <c r="C643" s="50"/>
    </row>
    <row r="644" spans="2:3" ht="13.5" customHeight="1">
      <c r="B644" s="49"/>
      <c r="C644" s="50"/>
    </row>
    <row r="645" spans="2:3" ht="13.5" customHeight="1">
      <c r="B645" s="49"/>
      <c r="C645" s="50"/>
    </row>
    <row r="646" spans="2:3" ht="13.5" customHeight="1">
      <c r="B646" s="49"/>
      <c r="C646" s="50"/>
    </row>
    <row r="647" spans="2:3" ht="13.5" customHeight="1">
      <c r="B647" s="49"/>
      <c r="C647" s="50"/>
    </row>
    <row r="648" spans="2:3" ht="13.5" customHeight="1">
      <c r="B648" s="49"/>
      <c r="C648" s="50"/>
    </row>
    <row r="649" spans="2:3" ht="13.5" customHeight="1">
      <c r="B649" s="49"/>
      <c r="C649" s="50"/>
    </row>
    <row r="650" spans="2:3" ht="13.5" customHeight="1">
      <c r="B650" s="49"/>
      <c r="C650" s="50"/>
    </row>
    <row r="651" spans="2:3" ht="13.5" customHeight="1">
      <c r="B651" s="49"/>
      <c r="C651" s="50"/>
    </row>
    <row r="652" spans="2:3" ht="13.5" customHeight="1">
      <c r="B652" s="49"/>
      <c r="C652" s="50"/>
    </row>
    <row r="653" spans="2:3" ht="13.5" customHeight="1">
      <c r="B653" s="49"/>
      <c r="C653" s="50"/>
    </row>
    <row r="654" spans="2:3" ht="13.5" customHeight="1">
      <c r="B654" s="49"/>
      <c r="C654" s="50"/>
    </row>
    <row r="655" spans="2:3" ht="13.5" customHeight="1">
      <c r="B655" s="49"/>
      <c r="C655" s="50"/>
    </row>
    <row r="656" spans="2:3" ht="13.5" customHeight="1">
      <c r="B656" s="49"/>
      <c r="C656" s="50"/>
    </row>
    <row r="657" spans="2:3" ht="13.5" customHeight="1">
      <c r="B657" s="49"/>
      <c r="C657" s="50"/>
    </row>
    <row r="658" spans="2:3" ht="13.5" customHeight="1">
      <c r="B658" s="49"/>
      <c r="C658" s="50"/>
    </row>
    <row r="659" spans="2:3" ht="13.5" customHeight="1">
      <c r="B659" s="49"/>
      <c r="C659" s="50"/>
    </row>
    <row r="660" spans="2:3" ht="13.5" customHeight="1">
      <c r="B660" s="49"/>
      <c r="C660" s="50"/>
    </row>
    <row r="661" spans="2:3" ht="13.5" customHeight="1">
      <c r="B661" s="49"/>
      <c r="C661" s="50"/>
    </row>
    <row r="662" spans="2:3" ht="13.5" customHeight="1">
      <c r="B662" s="49"/>
      <c r="C662" s="50"/>
    </row>
    <row r="663" spans="2:3" ht="13.5" customHeight="1">
      <c r="B663" s="49"/>
      <c r="C663" s="50"/>
    </row>
    <row r="664" spans="2:3" ht="13.5" customHeight="1">
      <c r="B664" s="49"/>
      <c r="C664" s="50"/>
    </row>
    <row r="665" spans="2:3" ht="13.5" customHeight="1">
      <c r="B665" s="49"/>
      <c r="C665" s="50"/>
    </row>
    <row r="666" spans="2:3" ht="13.5" customHeight="1">
      <c r="B666" s="49"/>
      <c r="C666" s="50"/>
    </row>
    <row r="667" spans="2:3" ht="13.5" customHeight="1">
      <c r="B667" s="49"/>
      <c r="C667" s="50"/>
    </row>
    <row r="668" spans="2:3" ht="13.5" customHeight="1">
      <c r="B668" s="49"/>
      <c r="C668" s="50"/>
    </row>
    <row r="669" spans="2:3" ht="13.5" customHeight="1">
      <c r="B669" s="49"/>
      <c r="C669" s="50"/>
    </row>
    <row r="670" spans="2:3" ht="13.5" customHeight="1">
      <c r="B670" s="49"/>
      <c r="C670" s="50"/>
    </row>
    <row r="671" spans="2:3" ht="13.5" customHeight="1">
      <c r="B671" s="49"/>
      <c r="C671" s="50"/>
    </row>
    <row r="672" spans="2:3" ht="13.5" customHeight="1">
      <c r="B672" s="49"/>
      <c r="C672" s="50"/>
    </row>
    <row r="673" spans="2:3" ht="13.5" customHeight="1">
      <c r="B673" s="49"/>
      <c r="C673" s="50"/>
    </row>
    <row r="674" spans="2:3" ht="13.5" customHeight="1">
      <c r="B674" s="49"/>
      <c r="C674" s="50"/>
    </row>
    <row r="675" spans="2:3" ht="13.5" customHeight="1">
      <c r="B675" s="49"/>
      <c r="C675" s="50"/>
    </row>
    <row r="676" spans="2:3" ht="13.5" customHeight="1">
      <c r="B676" s="49"/>
      <c r="C676" s="50"/>
    </row>
    <row r="677" spans="2:3" ht="13.5" customHeight="1">
      <c r="B677" s="49"/>
      <c r="C677" s="50"/>
    </row>
    <row r="678" spans="2:3" ht="13.5" customHeight="1">
      <c r="B678" s="49"/>
      <c r="C678" s="50"/>
    </row>
    <row r="679" spans="2:3" ht="13.5" customHeight="1">
      <c r="B679" s="49"/>
      <c r="C679" s="50"/>
    </row>
    <row r="680" spans="2:3" ht="13.5" customHeight="1">
      <c r="B680" s="49"/>
      <c r="C680" s="50"/>
    </row>
    <row r="681" spans="2:3" ht="13.5" customHeight="1">
      <c r="B681" s="49"/>
      <c r="C681" s="50"/>
    </row>
    <row r="682" spans="2:3" ht="13.5" customHeight="1">
      <c r="B682" s="49"/>
      <c r="C682" s="50"/>
    </row>
    <row r="683" spans="2:3" ht="13.5" customHeight="1">
      <c r="B683" s="49"/>
      <c r="C683" s="50"/>
    </row>
    <row r="684" spans="2:3" ht="13.5" customHeight="1">
      <c r="B684" s="49"/>
      <c r="C684" s="50"/>
    </row>
    <row r="685" spans="2:3" ht="13.5" customHeight="1">
      <c r="B685" s="49"/>
      <c r="C685" s="50"/>
    </row>
    <row r="686" spans="2:3" ht="13.5" customHeight="1">
      <c r="B686" s="49"/>
      <c r="C686" s="50"/>
    </row>
    <row r="687" spans="2:3" ht="13.5" customHeight="1">
      <c r="B687" s="49"/>
      <c r="C687" s="50"/>
    </row>
    <row r="688" spans="2:3" ht="13.5" customHeight="1">
      <c r="B688" s="49"/>
      <c r="C688" s="50"/>
    </row>
    <row r="689" spans="2:3" ht="13.5" customHeight="1">
      <c r="B689" s="49"/>
      <c r="C689" s="50"/>
    </row>
    <row r="690" spans="2:3" ht="13.5" customHeight="1">
      <c r="B690" s="49"/>
      <c r="C690" s="50"/>
    </row>
    <row r="691" spans="2:3" ht="13.5" customHeight="1">
      <c r="B691" s="49"/>
      <c r="C691" s="50"/>
    </row>
    <row r="692" spans="2:3" ht="13.5" customHeight="1">
      <c r="B692" s="49"/>
      <c r="C692" s="50"/>
    </row>
    <row r="693" spans="2:3" ht="13.5" customHeight="1">
      <c r="B693" s="49"/>
      <c r="C693" s="50"/>
    </row>
    <row r="694" spans="2:3" ht="13.5" customHeight="1">
      <c r="B694" s="49"/>
      <c r="C694" s="50"/>
    </row>
    <row r="695" spans="2:3" ht="13.5" customHeight="1">
      <c r="B695" s="49"/>
      <c r="C695" s="50"/>
    </row>
    <row r="696" spans="2:3" ht="13.5" customHeight="1">
      <c r="B696" s="49"/>
      <c r="C696" s="50"/>
    </row>
    <row r="697" spans="2:3" ht="13.5" customHeight="1">
      <c r="B697" s="49"/>
      <c r="C697" s="50"/>
    </row>
    <row r="698" spans="2:3" ht="13.5" customHeight="1">
      <c r="B698" s="49"/>
      <c r="C698" s="50"/>
    </row>
    <row r="699" spans="2:3" ht="13.5" customHeight="1">
      <c r="B699" s="49"/>
      <c r="C699" s="50"/>
    </row>
    <row r="700" spans="2:3" ht="13.5" customHeight="1">
      <c r="B700" s="49"/>
      <c r="C700" s="50"/>
    </row>
    <row r="701" spans="2:3" ht="13.5" customHeight="1">
      <c r="B701" s="49"/>
      <c r="C701" s="50"/>
    </row>
    <row r="702" spans="2:3" ht="13.5" customHeight="1">
      <c r="B702" s="49"/>
      <c r="C702" s="50"/>
    </row>
    <row r="703" spans="2:3" ht="13.5" customHeight="1">
      <c r="B703" s="49"/>
      <c r="C703" s="50"/>
    </row>
    <row r="704" spans="2:3" ht="13.5" customHeight="1">
      <c r="B704" s="49"/>
      <c r="C704" s="50"/>
    </row>
    <row r="705" spans="2:3" ht="13.5" customHeight="1">
      <c r="B705" s="49"/>
      <c r="C705" s="50"/>
    </row>
    <row r="706" spans="2:3" ht="13.5" customHeight="1">
      <c r="B706" s="49"/>
      <c r="C706" s="50"/>
    </row>
    <row r="707" spans="2:3" ht="13.5" customHeight="1">
      <c r="B707" s="49"/>
      <c r="C707" s="50"/>
    </row>
    <row r="708" spans="2:3" ht="13.5" customHeight="1">
      <c r="B708" s="49"/>
      <c r="C708" s="50"/>
    </row>
    <row r="709" spans="2:3" ht="13.5" customHeight="1">
      <c r="B709" s="49"/>
      <c r="C709" s="50"/>
    </row>
    <row r="710" spans="2:3" ht="13.5" customHeight="1">
      <c r="B710" s="49"/>
      <c r="C710" s="50"/>
    </row>
    <row r="711" spans="2:3" ht="13.5" customHeight="1">
      <c r="B711" s="49"/>
      <c r="C711" s="50"/>
    </row>
    <row r="712" spans="2:3" ht="13.5" customHeight="1">
      <c r="B712" s="49"/>
      <c r="C712" s="50"/>
    </row>
    <row r="713" spans="2:3" ht="13.5" customHeight="1">
      <c r="B713" s="49"/>
      <c r="C713" s="50"/>
    </row>
    <row r="714" spans="2:3" ht="13.5" customHeight="1">
      <c r="B714" s="49"/>
      <c r="C714" s="50"/>
    </row>
    <row r="715" spans="2:3" ht="13.5" customHeight="1">
      <c r="B715" s="49"/>
      <c r="C715" s="50"/>
    </row>
    <row r="716" spans="2:3" ht="13.5" customHeight="1">
      <c r="B716" s="49"/>
      <c r="C716" s="50"/>
    </row>
    <row r="717" spans="2:3" ht="13.5" customHeight="1">
      <c r="B717" s="49"/>
      <c r="C717" s="50"/>
    </row>
    <row r="718" spans="2:3" ht="13.5" customHeight="1">
      <c r="B718" s="49"/>
      <c r="C718" s="50"/>
    </row>
    <row r="719" spans="2:3" ht="13.5" customHeight="1">
      <c r="B719" s="49"/>
      <c r="C719" s="50"/>
    </row>
    <row r="720" spans="2:3" ht="13.5" customHeight="1">
      <c r="B720" s="49"/>
      <c r="C720" s="50"/>
    </row>
    <row r="721" spans="2:3" ht="13.5" customHeight="1">
      <c r="B721" s="49"/>
      <c r="C721" s="50"/>
    </row>
    <row r="722" spans="2:3" ht="13.5" customHeight="1">
      <c r="B722" s="49"/>
      <c r="C722" s="50"/>
    </row>
    <row r="723" spans="2:3" ht="13.5" customHeight="1">
      <c r="B723" s="49"/>
      <c r="C723" s="50"/>
    </row>
    <row r="724" spans="2:3" ht="13.5" customHeight="1">
      <c r="B724" s="49"/>
      <c r="C724" s="50"/>
    </row>
    <row r="725" spans="2:3" ht="13.5" customHeight="1">
      <c r="B725" s="49"/>
      <c r="C725" s="50"/>
    </row>
    <row r="726" spans="2:3" ht="13.5" customHeight="1">
      <c r="B726" s="49"/>
      <c r="C726" s="50"/>
    </row>
    <row r="727" spans="2:3" ht="13.5" customHeight="1">
      <c r="B727" s="49"/>
      <c r="C727" s="50"/>
    </row>
    <row r="728" spans="2:3" ht="13.5" customHeight="1">
      <c r="B728" s="49"/>
      <c r="C728" s="50"/>
    </row>
    <row r="729" spans="2:3" ht="13.5" customHeight="1">
      <c r="B729" s="49"/>
      <c r="C729" s="50"/>
    </row>
    <row r="730" spans="2:3" ht="13.5" customHeight="1">
      <c r="B730" s="49"/>
      <c r="C730" s="50"/>
    </row>
    <row r="731" spans="2:3" ht="13.5" customHeight="1">
      <c r="B731" s="49"/>
      <c r="C731" s="50"/>
    </row>
    <row r="732" spans="2:3" ht="13.5" customHeight="1">
      <c r="B732" s="49"/>
      <c r="C732" s="50"/>
    </row>
    <row r="733" spans="2:3" ht="13.5" customHeight="1">
      <c r="B733" s="49"/>
      <c r="C733" s="50"/>
    </row>
    <row r="734" spans="2:3" ht="13.5" customHeight="1">
      <c r="B734" s="49"/>
      <c r="C734" s="50"/>
    </row>
    <row r="735" spans="2:3" ht="13.5" customHeight="1">
      <c r="B735" s="49"/>
      <c r="C735" s="50"/>
    </row>
    <row r="736" spans="2:3" ht="13.5" customHeight="1">
      <c r="B736" s="49"/>
      <c r="C736" s="50"/>
    </row>
    <row r="737" spans="2:3" ht="13.5" customHeight="1">
      <c r="B737" s="49"/>
      <c r="C737" s="50"/>
    </row>
    <row r="738" spans="2:3" ht="13.5" customHeight="1">
      <c r="B738" s="49"/>
      <c r="C738" s="50"/>
    </row>
    <row r="739" spans="2:3" ht="13.5" customHeight="1">
      <c r="B739" s="49"/>
      <c r="C739" s="50"/>
    </row>
    <row r="740" spans="2:3" ht="13.5" customHeight="1">
      <c r="B740" s="49"/>
      <c r="C740" s="50"/>
    </row>
    <row r="741" spans="2:3" ht="13.5" customHeight="1">
      <c r="B741" s="49"/>
      <c r="C741" s="50"/>
    </row>
    <row r="742" spans="2:3" ht="13.5" customHeight="1">
      <c r="B742" s="49"/>
      <c r="C742" s="50"/>
    </row>
    <row r="743" spans="2:3" ht="13.5" customHeight="1">
      <c r="B743" s="49"/>
      <c r="C743" s="50"/>
    </row>
    <row r="744" spans="2:3" ht="13.5" customHeight="1">
      <c r="B744" s="49"/>
      <c r="C744" s="50"/>
    </row>
    <row r="745" spans="2:3" ht="13.5" customHeight="1">
      <c r="B745" s="49"/>
      <c r="C745" s="50"/>
    </row>
    <row r="746" spans="2:3" ht="13.5" customHeight="1">
      <c r="B746" s="49"/>
      <c r="C746" s="50"/>
    </row>
    <row r="747" spans="2:3" ht="13.5" customHeight="1">
      <c r="B747" s="49"/>
      <c r="C747" s="50"/>
    </row>
    <row r="748" spans="2:3" ht="13.5" customHeight="1">
      <c r="B748" s="49"/>
      <c r="C748" s="50"/>
    </row>
    <row r="749" spans="2:3" ht="13.5" customHeight="1">
      <c r="B749" s="49"/>
      <c r="C749" s="50"/>
    </row>
    <row r="750" spans="2:3" ht="13.5" customHeight="1">
      <c r="B750" s="49"/>
      <c r="C750" s="50"/>
    </row>
    <row r="751" spans="2:3" ht="13.5" customHeight="1">
      <c r="B751" s="49"/>
      <c r="C751" s="50"/>
    </row>
    <row r="752" spans="2:3" ht="13.5" customHeight="1">
      <c r="B752" s="49"/>
      <c r="C752" s="50"/>
    </row>
    <row r="753" spans="2:3" ht="13.5" customHeight="1">
      <c r="B753" s="49"/>
      <c r="C753" s="50"/>
    </row>
    <row r="754" spans="2:3" ht="13.5" customHeight="1">
      <c r="B754" s="49"/>
      <c r="C754" s="50"/>
    </row>
    <row r="755" spans="2:3" ht="13.5" customHeight="1">
      <c r="B755" s="49"/>
      <c r="C755" s="50"/>
    </row>
    <row r="756" spans="2:3" ht="13.5" customHeight="1">
      <c r="B756" s="49"/>
      <c r="C756" s="50"/>
    </row>
    <row r="757" spans="2:3" ht="13.5" customHeight="1">
      <c r="B757" s="49"/>
      <c r="C757" s="50"/>
    </row>
    <row r="758" spans="2:3" ht="13.5" customHeight="1">
      <c r="B758" s="49"/>
      <c r="C758" s="50"/>
    </row>
    <row r="759" spans="2:3" ht="13.5" customHeight="1">
      <c r="B759" s="49"/>
      <c r="C759" s="50"/>
    </row>
    <row r="760" spans="2:3" ht="13.5" customHeight="1">
      <c r="B760" s="49"/>
      <c r="C760" s="50"/>
    </row>
    <row r="761" spans="2:3" ht="13.5" customHeight="1">
      <c r="B761" s="49"/>
      <c r="C761" s="50"/>
    </row>
    <row r="762" spans="2:3" ht="13.5" customHeight="1">
      <c r="B762" s="49"/>
      <c r="C762" s="50"/>
    </row>
    <row r="763" spans="2:3" ht="13.5" customHeight="1">
      <c r="B763" s="49"/>
      <c r="C763" s="50"/>
    </row>
    <row r="764" spans="2:3" ht="13.5" customHeight="1">
      <c r="B764" s="49"/>
      <c r="C764" s="50"/>
    </row>
    <row r="765" spans="2:3" ht="13.5" customHeight="1">
      <c r="B765" s="49"/>
      <c r="C765" s="50"/>
    </row>
    <row r="766" spans="2:3" ht="13.5" customHeight="1">
      <c r="B766" s="49"/>
      <c r="C766" s="50"/>
    </row>
    <row r="767" spans="2:3" ht="13.5" customHeight="1">
      <c r="B767" s="49"/>
      <c r="C767" s="50"/>
    </row>
    <row r="768" spans="2:3" ht="13.5" customHeight="1">
      <c r="B768" s="49"/>
      <c r="C768" s="50"/>
    </row>
    <row r="769" spans="2:3" ht="13.5" customHeight="1">
      <c r="B769" s="49"/>
      <c r="C769" s="50"/>
    </row>
    <row r="770" spans="2:3" ht="13.5" customHeight="1">
      <c r="B770" s="49"/>
      <c r="C770" s="50"/>
    </row>
    <row r="771" spans="2:3" ht="13.5" customHeight="1">
      <c r="B771" s="49"/>
      <c r="C771" s="50"/>
    </row>
    <row r="772" spans="2:3" ht="13.5" customHeight="1">
      <c r="B772" s="49"/>
      <c r="C772" s="50"/>
    </row>
    <row r="773" spans="2:3" ht="13.5" customHeight="1">
      <c r="B773" s="49"/>
      <c r="C773" s="50"/>
    </row>
    <row r="774" spans="2:3" ht="13.5" customHeight="1">
      <c r="B774" s="49"/>
      <c r="C774" s="50"/>
    </row>
    <row r="775" spans="2:3" ht="13.5" customHeight="1">
      <c r="B775" s="49"/>
      <c r="C775" s="50"/>
    </row>
    <row r="776" spans="2:3" ht="13.5" customHeight="1">
      <c r="B776" s="49"/>
      <c r="C776" s="50"/>
    </row>
    <row r="777" spans="2:3" ht="13.5" customHeight="1">
      <c r="B777" s="49"/>
      <c r="C777" s="50"/>
    </row>
    <row r="778" spans="2:3" ht="13.5" customHeight="1">
      <c r="B778" s="49"/>
      <c r="C778" s="50"/>
    </row>
    <row r="779" spans="2:3" ht="13.5" customHeight="1">
      <c r="B779" s="49"/>
      <c r="C779" s="50"/>
    </row>
    <row r="780" spans="2:3" ht="13.5" customHeight="1">
      <c r="B780" s="49"/>
      <c r="C780" s="50"/>
    </row>
    <row r="781" spans="2:3" ht="13.5" customHeight="1">
      <c r="B781" s="49"/>
      <c r="C781" s="50"/>
    </row>
    <row r="782" spans="2:3" ht="13.5" customHeight="1">
      <c r="B782" s="49"/>
      <c r="C782" s="50"/>
    </row>
    <row r="783" spans="2:3" ht="13.5" customHeight="1">
      <c r="B783" s="49"/>
      <c r="C783" s="50"/>
    </row>
    <row r="784" spans="2:3" ht="13.5" customHeight="1">
      <c r="B784" s="49"/>
      <c r="C784" s="50"/>
    </row>
    <row r="785" spans="2:3" ht="13.5" customHeight="1">
      <c r="B785" s="49"/>
      <c r="C785" s="50"/>
    </row>
    <row r="786" spans="2:3" ht="13.5" customHeight="1">
      <c r="B786" s="49"/>
      <c r="C786" s="50"/>
    </row>
    <row r="787" spans="2:3" ht="13.5" customHeight="1">
      <c r="B787" s="49"/>
      <c r="C787" s="50"/>
    </row>
    <row r="788" spans="2:3" ht="13.5" customHeight="1">
      <c r="B788" s="49"/>
      <c r="C788" s="50"/>
    </row>
    <row r="789" spans="2:3" ht="13.5" customHeight="1">
      <c r="B789" s="49"/>
      <c r="C789" s="50"/>
    </row>
    <row r="790" spans="2:3" ht="13.5" customHeight="1">
      <c r="B790" s="49"/>
      <c r="C790" s="50"/>
    </row>
    <row r="791" spans="2:3" ht="13.5" customHeight="1">
      <c r="B791" s="49"/>
      <c r="C791" s="50"/>
    </row>
    <row r="792" spans="2:3" ht="13.5" customHeight="1">
      <c r="B792" s="49"/>
      <c r="C792" s="50"/>
    </row>
    <row r="793" spans="2:3" ht="13.5" customHeight="1">
      <c r="B793" s="49"/>
      <c r="C793" s="50"/>
    </row>
    <row r="794" spans="2:3" ht="13.5" customHeight="1">
      <c r="B794" s="49"/>
      <c r="C794" s="50"/>
    </row>
    <row r="795" spans="2:3" ht="13.5" customHeight="1">
      <c r="B795" s="49"/>
      <c r="C795" s="50"/>
    </row>
    <row r="796" spans="2:3" ht="13.5" customHeight="1">
      <c r="B796" s="49"/>
      <c r="C796" s="50"/>
    </row>
    <row r="797" spans="2:3" ht="13.5" customHeight="1">
      <c r="B797" s="49"/>
      <c r="C797" s="50"/>
    </row>
    <row r="798" spans="2:3" ht="13.5" customHeight="1">
      <c r="B798" s="49"/>
      <c r="C798" s="50"/>
    </row>
    <row r="799" spans="2:3" ht="13.5" customHeight="1">
      <c r="B799" s="49"/>
      <c r="C799" s="50"/>
    </row>
    <row r="800" spans="2:3" ht="13.5" customHeight="1">
      <c r="B800" s="49"/>
      <c r="C800" s="50"/>
    </row>
    <row r="801" spans="2:3" ht="13.5" customHeight="1">
      <c r="B801" s="49"/>
      <c r="C801" s="50"/>
    </row>
    <row r="802" spans="2:3" ht="13.5" customHeight="1">
      <c r="B802" s="49"/>
      <c r="C802" s="50"/>
    </row>
    <row r="803" spans="2:3" ht="13.5" customHeight="1">
      <c r="B803" s="49"/>
      <c r="C803" s="50"/>
    </row>
    <row r="804" spans="2:3" ht="13.5" customHeight="1">
      <c r="B804" s="49"/>
      <c r="C804" s="50"/>
    </row>
    <row r="805" spans="2:3" ht="13.5" customHeight="1">
      <c r="B805" s="49"/>
      <c r="C805" s="50"/>
    </row>
    <row r="806" spans="2:3" ht="13.5" customHeight="1">
      <c r="B806" s="49"/>
      <c r="C806" s="50"/>
    </row>
    <row r="807" spans="2:3" ht="13.5" customHeight="1">
      <c r="B807" s="49"/>
      <c r="C807" s="50"/>
    </row>
    <row r="808" spans="2:3" ht="13.5" customHeight="1">
      <c r="B808" s="49"/>
      <c r="C808" s="50"/>
    </row>
    <row r="809" spans="2:3" ht="13.5" customHeight="1">
      <c r="B809" s="49"/>
      <c r="C809" s="50"/>
    </row>
    <row r="810" spans="2:3" ht="13.5" customHeight="1">
      <c r="B810" s="49"/>
      <c r="C810" s="50"/>
    </row>
    <row r="811" spans="2:3" ht="13.5" customHeight="1">
      <c r="B811" s="49"/>
      <c r="C811" s="50"/>
    </row>
    <row r="812" spans="2:3" ht="13.5" customHeight="1">
      <c r="B812" s="49"/>
      <c r="C812" s="50"/>
    </row>
    <row r="813" spans="2:3" ht="13.5" customHeight="1">
      <c r="B813" s="49"/>
      <c r="C813" s="50"/>
    </row>
    <row r="814" spans="2:3" ht="13.5" customHeight="1">
      <c r="B814" s="49"/>
      <c r="C814" s="50"/>
    </row>
    <row r="815" spans="2:3" ht="13.5" customHeight="1">
      <c r="B815" s="49"/>
      <c r="C815" s="50"/>
    </row>
    <row r="816" spans="2:3" ht="13.5" customHeight="1">
      <c r="B816" s="49"/>
      <c r="C816" s="50"/>
    </row>
    <row r="817" spans="2:3" ht="13.5" customHeight="1">
      <c r="B817" s="49"/>
      <c r="C817" s="50"/>
    </row>
    <row r="818" spans="2:3" ht="13.5" customHeight="1">
      <c r="B818" s="49"/>
      <c r="C818" s="50"/>
    </row>
    <row r="819" spans="2:3" ht="13.5" customHeight="1">
      <c r="B819" s="49"/>
      <c r="C819" s="50"/>
    </row>
    <row r="820" spans="2:3" ht="13.5" customHeight="1">
      <c r="B820" s="49"/>
      <c r="C820" s="50"/>
    </row>
    <row r="821" spans="2:3" ht="13.5" customHeight="1">
      <c r="B821" s="49"/>
      <c r="C821" s="50"/>
    </row>
    <row r="822" spans="2:3" ht="13.5" customHeight="1">
      <c r="B822" s="49"/>
      <c r="C822" s="50"/>
    </row>
    <row r="823" spans="2:3" ht="13.5" customHeight="1">
      <c r="B823" s="49"/>
      <c r="C823" s="50"/>
    </row>
    <row r="824" spans="2:3" ht="13.5" customHeight="1">
      <c r="B824" s="49"/>
      <c r="C824" s="50"/>
    </row>
    <row r="825" spans="2:3" ht="13.5" customHeight="1">
      <c r="B825" s="49"/>
      <c r="C825" s="50"/>
    </row>
    <row r="826" spans="2:3" ht="13.5" customHeight="1">
      <c r="B826" s="49"/>
      <c r="C826" s="50"/>
    </row>
    <row r="827" spans="2:3" ht="13.5" customHeight="1">
      <c r="B827" s="49"/>
      <c r="C827" s="50"/>
    </row>
    <row r="828" spans="2:3" ht="13.5" customHeight="1">
      <c r="B828" s="49"/>
      <c r="C828" s="50"/>
    </row>
    <row r="829" spans="2:3" ht="13.5" customHeight="1">
      <c r="B829" s="49"/>
      <c r="C829" s="50"/>
    </row>
    <row r="830" spans="2:3" ht="13.5" customHeight="1">
      <c r="B830" s="49"/>
      <c r="C830" s="50"/>
    </row>
    <row r="831" spans="2:3" ht="13.5" customHeight="1">
      <c r="B831" s="49"/>
      <c r="C831" s="50"/>
    </row>
    <row r="832" spans="2:3" ht="13.5" customHeight="1">
      <c r="B832" s="49"/>
      <c r="C832" s="50"/>
    </row>
    <row r="833" spans="2:3" ht="13.5" customHeight="1">
      <c r="B833" s="49"/>
      <c r="C833" s="50"/>
    </row>
    <row r="834" spans="2:3" ht="13.5" customHeight="1">
      <c r="B834" s="49"/>
      <c r="C834" s="50"/>
    </row>
    <row r="835" spans="2:3" ht="13.5" customHeight="1">
      <c r="B835" s="49"/>
      <c r="C835" s="50"/>
    </row>
    <row r="836" spans="2:3" ht="13.5" customHeight="1">
      <c r="B836" s="49"/>
      <c r="C836" s="50"/>
    </row>
    <row r="837" spans="2:3" ht="13.5" customHeight="1">
      <c r="B837" s="49"/>
      <c r="C837" s="50"/>
    </row>
    <row r="838" spans="2:3" ht="13.5" customHeight="1">
      <c r="B838" s="49"/>
      <c r="C838" s="50"/>
    </row>
    <row r="839" spans="2:3" ht="13.5" customHeight="1">
      <c r="B839" s="49"/>
      <c r="C839" s="50"/>
    </row>
    <row r="840" spans="2:3" ht="13.5" customHeight="1">
      <c r="B840" s="49"/>
      <c r="C840" s="50"/>
    </row>
    <row r="841" spans="2:3" ht="13.5" customHeight="1">
      <c r="B841" s="49"/>
      <c r="C841" s="50"/>
    </row>
    <row r="842" spans="2:3" ht="13.5" customHeight="1">
      <c r="B842" s="49"/>
      <c r="C842" s="50"/>
    </row>
    <row r="843" spans="2:3" ht="13.5" customHeight="1">
      <c r="B843" s="49"/>
      <c r="C843" s="50"/>
    </row>
    <row r="844" spans="2:3" ht="13.5" customHeight="1">
      <c r="B844" s="49"/>
      <c r="C844" s="50"/>
    </row>
    <row r="845" spans="2:3" ht="13.5" customHeight="1">
      <c r="B845" s="49"/>
      <c r="C845" s="50"/>
    </row>
    <row r="846" spans="2:3" ht="13.5" customHeight="1">
      <c r="B846" s="49"/>
      <c r="C846" s="50"/>
    </row>
    <row r="847" spans="2:3" ht="13.5" customHeight="1">
      <c r="B847" s="49"/>
      <c r="C847" s="50"/>
    </row>
    <row r="848" spans="2:3" ht="13.5" customHeight="1">
      <c r="B848" s="49"/>
      <c r="C848" s="50"/>
    </row>
    <row r="849" spans="2:3" ht="13.5" customHeight="1">
      <c r="B849" s="49"/>
      <c r="C849" s="50"/>
    </row>
    <row r="850" spans="2:3" ht="13.5" customHeight="1">
      <c r="B850" s="49"/>
      <c r="C850" s="50"/>
    </row>
    <row r="851" spans="2:3" ht="13.5" customHeight="1">
      <c r="B851" s="49"/>
      <c r="C851" s="50"/>
    </row>
    <row r="852" spans="2:3" ht="13.5" customHeight="1">
      <c r="B852" s="49"/>
      <c r="C852" s="50"/>
    </row>
    <row r="853" spans="2:3" ht="13.5" customHeight="1">
      <c r="B853" s="49"/>
      <c r="C853" s="50"/>
    </row>
    <row r="854" spans="2:3" ht="13.5" customHeight="1">
      <c r="B854" s="49"/>
      <c r="C854" s="50"/>
    </row>
    <row r="855" spans="2:3" ht="13.5" customHeight="1">
      <c r="B855" s="49"/>
      <c r="C855" s="50"/>
    </row>
    <row r="856" spans="2:3" ht="13.5" customHeight="1">
      <c r="B856" s="49"/>
      <c r="C856" s="50"/>
    </row>
    <row r="857" spans="2:3" ht="13.5" customHeight="1">
      <c r="B857" s="49"/>
      <c r="C857" s="50"/>
    </row>
    <row r="858" spans="2:3" ht="13.5" customHeight="1">
      <c r="B858" s="49"/>
      <c r="C858" s="50"/>
    </row>
    <row r="859" spans="2:3" ht="13.5" customHeight="1">
      <c r="B859" s="49"/>
      <c r="C859" s="50"/>
    </row>
    <row r="860" spans="2:3" ht="13.5" customHeight="1">
      <c r="B860" s="49"/>
      <c r="C860" s="50"/>
    </row>
    <row r="861" spans="2:3" ht="13.5" customHeight="1">
      <c r="B861" s="49"/>
      <c r="C861" s="50"/>
    </row>
    <row r="862" spans="2:3" ht="13.5" customHeight="1">
      <c r="B862" s="49"/>
      <c r="C862" s="50"/>
    </row>
    <row r="863" spans="2:3" ht="13.5" customHeight="1">
      <c r="B863" s="49"/>
      <c r="C863" s="50"/>
    </row>
    <row r="864" spans="2:3" ht="13.5" customHeight="1">
      <c r="B864" s="49"/>
      <c r="C864" s="50"/>
    </row>
    <row r="865" spans="2:3" ht="13.5" customHeight="1">
      <c r="B865" s="49"/>
      <c r="C865" s="50"/>
    </row>
    <row r="866" spans="2:3" ht="13.5" customHeight="1">
      <c r="B866" s="49"/>
      <c r="C866" s="50"/>
    </row>
    <row r="867" spans="2:3" ht="13.5" customHeight="1">
      <c r="B867" s="49"/>
      <c r="C867" s="50"/>
    </row>
    <row r="868" spans="2:3" ht="13.5" customHeight="1">
      <c r="B868" s="49"/>
      <c r="C868" s="50"/>
    </row>
    <row r="869" spans="2:3" ht="13.5" customHeight="1">
      <c r="B869" s="49"/>
      <c r="C869" s="50"/>
    </row>
    <row r="870" spans="2:3" ht="13.5" customHeight="1">
      <c r="B870" s="49"/>
      <c r="C870" s="50"/>
    </row>
    <row r="871" spans="2:3" ht="13.5" customHeight="1">
      <c r="B871" s="49"/>
      <c r="C871" s="50"/>
    </row>
    <row r="872" spans="2:3" ht="13.5" customHeight="1">
      <c r="B872" s="49"/>
      <c r="C872" s="50"/>
    </row>
    <row r="873" spans="2:3" ht="13.5" customHeight="1">
      <c r="B873" s="49"/>
      <c r="C873" s="50"/>
    </row>
    <row r="874" spans="2:3" ht="13.5" customHeight="1">
      <c r="B874" s="49"/>
      <c r="C874" s="50"/>
    </row>
    <row r="875" spans="2:3" ht="13.5" customHeight="1">
      <c r="B875" s="49"/>
      <c r="C875" s="50"/>
    </row>
    <row r="876" spans="2:3" ht="13.5" customHeight="1">
      <c r="B876" s="49"/>
      <c r="C876" s="50"/>
    </row>
    <row r="877" spans="2:3" ht="13.5" customHeight="1">
      <c r="B877" s="49"/>
      <c r="C877" s="50"/>
    </row>
    <row r="878" spans="2:3" ht="13.5" customHeight="1">
      <c r="B878" s="49"/>
      <c r="C878" s="50"/>
    </row>
    <row r="879" spans="2:3" ht="13.5" customHeight="1">
      <c r="B879" s="49"/>
      <c r="C879" s="50"/>
    </row>
    <row r="880" spans="2:3" ht="13.5" customHeight="1">
      <c r="B880" s="49"/>
      <c r="C880" s="50"/>
    </row>
    <row r="881" spans="2:3" ht="13.5" customHeight="1">
      <c r="B881" s="49"/>
      <c r="C881" s="50"/>
    </row>
    <row r="882" spans="2:3" ht="13.5" customHeight="1">
      <c r="B882" s="49"/>
      <c r="C882" s="50"/>
    </row>
    <row r="883" spans="2:3" ht="13.5" customHeight="1">
      <c r="B883" s="49"/>
      <c r="C883" s="50"/>
    </row>
    <row r="884" spans="2:3" ht="13.5" customHeight="1">
      <c r="B884" s="49"/>
      <c r="C884" s="50"/>
    </row>
    <row r="885" spans="2:3" ht="13.5" customHeight="1">
      <c r="B885" s="49"/>
      <c r="C885" s="50"/>
    </row>
    <row r="886" spans="2:3" ht="13.5" customHeight="1">
      <c r="B886" s="49"/>
      <c r="C886" s="50"/>
    </row>
    <row r="887" spans="2:3" ht="13.5" customHeight="1">
      <c r="B887" s="49"/>
      <c r="C887" s="50"/>
    </row>
    <row r="888" spans="2:3" ht="13.5" customHeight="1">
      <c r="B888" s="49"/>
      <c r="C888" s="50"/>
    </row>
    <row r="889" spans="2:3" ht="13.5" customHeight="1">
      <c r="B889" s="49"/>
      <c r="C889" s="50"/>
    </row>
    <row r="890" spans="2:3" ht="13.5" customHeight="1">
      <c r="B890" s="49"/>
      <c r="C890" s="50"/>
    </row>
    <row r="891" spans="2:3" ht="13.5" customHeight="1">
      <c r="B891" s="49"/>
      <c r="C891" s="50"/>
    </row>
    <row r="892" spans="2:3" ht="13.5" customHeight="1">
      <c r="B892" s="49"/>
      <c r="C892" s="50"/>
    </row>
    <row r="893" spans="2:3" ht="13.5" customHeight="1">
      <c r="B893" s="49"/>
      <c r="C893" s="50"/>
    </row>
    <row r="894" spans="2:3" ht="13.5" customHeight="1">
      <c r="B894" s="49"/>
      <c r="C894" s="50"/>
    </row>
    <row r="895" spans="2:3" ht="13.5" customHeight="1">
      <c r="B895" s="49"/>
      <c r="C895" s="50"/>
    </row>
    <row r="896" spans="2:3" ht="13.5" customHeight="1">
      <c r="B896" s="49"/>
      <c r="C896" s="50"/>
    </row>
    <row r="897" spans="2:3" ht="13.5" customHeight="1">
      <c r="B897" s="49"/>
      <c r="C897" s="50"/>
    </row>
    <row r="898" spans="2:3" ht="13.5" customHeight="1">
      <c r="B898" s="49"/>
      <c r="C898" s="50"/>
    </row>
    <row r="899" spans="2:3" ht="13.5" customHeight="1">
      <c r="B899" s="49"/>
      <c r="C899" s="50"/>
    </row>
    <row r="900" spans="2:3" ht="13.5" customHeight="1">
      <c r="B900" s="49"/>
      <c r="C900" s="50"/>
    </row>
    <row r="901" spans="2:3" ht="13.5" customHeight="1">
      <c r="B901" s="49"/>
      <c r="C901" s="50"/>
    </row>
    <row r="902" spans="2:3" ht="13.5" customHeight="1">
      <c r="B902" s="49"/>
      <c r="C902" s="50"/>
    </row>
    <row r="903" spans="2:3" ht="13.5" customHeight="1">
      <c r="B903" s="49"/>
      <c r="C903" s="50"/>
    </row>
    <row r="904" spans="2:3" ht="13.5" customHeight="1">
      <c r="B904" s="49"/>
      <c r="C904" s="50"/>
    </row>
    <row r="905" spans="2:3" ht="13.5" customHeight="1">
      <c r="B905" s="49"/>
      <c r="C905" s="50"/>
    </row>
    <row r="906" spans="2:3" ht="13.5" customHeight="1">
      <c r="B906" s="49"/>
      <c r="C906" s="50"/>
    </row>
    <row r="907" spans="2:3" ht="13.5" customHeight="1">
      <c r="B907" s="49"/>
      <c r="C907" s="50"/>
    </row>
    <row r="908" spans="2:3" ht="13.5" customHeight="1">
      <c r="B908" s="49"/>
      <c r="C908" s="50"/>
    </row>
    <row r="909" spans="2:3" ht="13.5" customHeight="1">
      <c r="B909" s="49"/>
      <c r="C909" s="50"/>
    </row>
    <row r="910" spans="2:3" ht="13.5" customHeight="1">
      <c r="B910" s="49"/>
      <c r="C910" s="50"/>
    </row>
    <row r="911" spans="2:3" ht="13.5" customHeight="1">
      <c r="B911" s="49"/>
      <c r="C911" s="50"/>
    </row>
    <row r="912" spans="2:3" ht="13.5" customHeight="1">
      <c r="B912" s="49"/>
      <c r="C912" s="50"/>
    </row>
    <row r="913" spans="2:3" ht="13.5" customHeight="1">
      <c r="B913" s="49"/>
      <c r="C913" s="50"/>
    </row>
    <row r="914" spans="2:3" ht="13.5" customHeight="1">
      <c r="B914" s="49"/>
      <c r="C914" s="50"/>
    </row>
    <row r="915" spans="2:3" ht="13.5" customHeight="1">
      <c r="B915" s="49"/>
      <c r="C915" s="50"/>
    </row>
    <row r="916" spans="2:3" ht="13.5" customHeight="1">
      <c r="B916" s="49"/>
      <c r="C916" s="50"/>
    </row>
    <row r="917" spans="2:3" ht="13.5" customHeight="1">
      <c r="B917" s="49"/>
      <c r="C917" s="50"/>
    </row>
    <row r="918" spans="2:3" ht="13.5" customHeight="1">
      <c r="B918" s="49"/>
      <c r="C918" s="50"/>
    </row>
    <row r="919" spans="2:3" ht="13.5" customHeight="1">
      <c r="B919" s="49"/>
      <c r="C919" s="50"/>
    </row>
    <row r="920" spans="2:3" ht="13.5" customHeight="1">
      <c r="B920" s="49"/>
      <c r="C920" s="50"/>
    </row>
    <row r="921" spans="2:3" ht="13.5" customHeight="1">
      <c r="B921" s="49"/>
      <c r="C921" s="50"/>
    </row>
    <row r="922" spans="2:3" ht="13.5" customHeight="1">
      <c r="B922" s="49"/>
      <c r="C922" s="50"/>
    </row>
    <row r="923" spans="2:3" ht="13.5" customHeight="1">
      <c r="B923" s="49"/>
      <c r="C923" s="50"/>
    </row>
    <row r="924" spans="2:3" ht="13.5" customHeight="1">
      <c r="B924" s="49"/>
      <c r="C924" s="50"/>
    </row>
    <row r="925" spans="2:3" ht="13.5" customHeight="1">
      <c r="B925" s="49"/>
      <c r="C925" s="50"/>
    </row>
    <row r="926" spans="2:3" ht="13.5" customHeight="1">
      <c r="B926" s="49"/>
      <c r="C926" s="50"/>
    </row>
    <row r="927" spans="2:3" ht="13.5" customHeight="1">
      <c r="B927" s="49"/>
      <c r="C927" s="50"/>
    </row>
    <row r="928" spans="2:3" ht="13.5" customHeight="1">
      <c r="B928" s="49"/>
      <c r="C928" s="50"/>
    </row>
    <row r="929" spans="2:3" ht="13.5" customHeight="1">
      <c r="B929" s="49"/>
      <c r="C929" s="50"/>
    </row>
    <row r="930" spans="2:3" ht="13.5" customHeight="1">
      <c r="B930" s="49"/>
      <c r="C930" s="50"/>
    </row>
    <row r="931" spans="2:3" ht="13.5" customHeight="1">
      <c r="B931" s="49"/>
      <c r="C931" s="50"/>
    </row>
    <row r="932" spans="2:3" ht="13.5" customHeight="1">
      <c r="B932" s="49"/>
      <c r="C932" s="50"/>
    </row>
    <row r="933" spans="2:3" ht="13.5" customHeight="1">
      <c r="B933" s="49"/>
      <c r="C933" s="50"/>
    </row>
    <row r="934" spans="2:3" ht="13.5" customHeight="1">
      <c r="B934" s="49"/>
      <c r="C934" s="50"/>
    </row>
    <row r="935" spans="2:3" ht="13.5" customHeight="1">
      <c r="B935" s="49"/>
      <c r="C935" s="50"/>
    </row>
    <row r="936" spans="2:3" ht="13.5" customHeight="1">
      <c r="B936" s="49"/>
      <c r="C936" s="50"/>
    </row>
    <row r="937" spans="2:3" ht="13.5" customHeight="1">
      <c r="B937" s="49"/>
      <c r="C937" s="50"/>
    </row>
    <row r="938" spans="2:3" ht="13.5" customHeight="1">
      <c r="B938" s="49"/>
      <c r="C938" s="50"/>
    </row>
    <row r="939" spans="2:3" ht="13.5" customHeight="1">
      <c r="B939" s="49"/>
      <c r="C939" s="50"/>
    </row>
    <row r="940" spans="2:3" ht="13.5" customHeight="1">
      <c r="B940" s="49"/>
      <c r="C940" s="50"/>
    </row>
    <row r="941" spans="2:3" ht="13.5" customHeight="1">
      <c r="B941" s="49"/>
      <c r="C941" s="50"/>
    </row>
    <row r="942" spans="2:3" ht="13.5" customHeight="1">
      <c r="B942" s="49"/>
      <c r="C942" s="50"/>
    </row>
    <row r="943" spans="2:3" ht="13.5" customHeight="1">
      <c r="B943" s="49"/>
      <c r="C943" s="50"/>
    </row>
    <row r="944" spans="2:3" ht="13.5" customHeight="1">
      <c r="B944" s="49"/>
      <c r="C944" s="50"/>
    </row>
    <row r="945" spans="2:3" ht="13.5" customHeight="1">
      <c r="B945" s="49"/>
      <c r="C945" s="50"/>
    </row>
    <row r="946" spans="2:3" ht="13.5" customHeight="1">
      <c r="B946" s="49"/>
      <c r="C946" s="50"/>
    </row>
    <row r="947" spans="2:3" ht="13.5" customHeight="1">
      <c r="B947" s="49"/>
      <c r="C947" s="50"/>
    </row>
    <row r="948" spans="2:3" ht="13.5" customHeight="1">
      <c r="B948" s="49"/>
      <c r="C948" s="50"/>
    </row>
    <row r="949" spans="2:3" ht="13.5" customHeight="1">
      <c r="B949" s="49"/>
      <c r="C949" s="50"/>
    </row>
    <row r="950" spans="2:3" ht="13.5" customHeight="1">
      <c r="B950" s="49"/>
      <c r="C950" s="50"/>
    </row>
    <row r="951" spans="2:3" ht="13.5" customHeight="1">
      <c r="B951" s="49"/>
      <c r="C951" s="50"/>
    </row>
    <row r="952" spans="2:3" ht="13.5" customHeight="1">
      <c r="B952" s="49"/>
      <c r="C952" s="50"/>
    </row>
    <row r="953" spans="2:3" ht="13.5" customHeight="1">
      <c r="B953" s="49"/>
      <c r="C953" s="50"/>
    </row>
    <row r="954" spans="2:3" ht="13.5" customHeight="1">
      <c r="B954" s="49"/>
      <c r="C954" s="50"/>
    </row>
    <row r="955" spans="2:3" ht="13.5" customHeight="1">
      <c r="B955" s="49"/>
      <c r="C955" s="50"/>
    </row>
    <row r="956" spans="2:3" ht="13.5" customHeight="1">
      <c r="B956" s="49"/>
      <c r="C956" s="50"/>
    </row>
    <row r="957" spans="2:3" ht="13.5" customHeight="1">
      <c r="B957" s="49"/>
      <c r="C957" s="50"/>
    </row>
    <row r="958" spans="2:3" ht="13.5" customHeight="1">
      <c r="B958" s="49"/>
      <c r="C958" s="50"/>
    </row>
    <row r="959" spans="2:3" ht="13.5" customHeight="1">
      <c r="B959" s="49"/>
      <c r="C959" s="50"/>
    </row>
    <row r="960" spans="2:3" ht="13.5" customHeight="1">
      <c r="B960" s="49"/>
      <c r="C960" s="50"/>
    </row>
    <row r="961" spans="2:3" ht="13.5" customHeight="1">
      <c r="B961" s="49"/>
      <c r="C961" s="50"/>
    </row>
    <row r="962" spans="2:3" ht="13.5" customHeight="1">
      <c r="B962" s="49"/>
      <c r="C962" s="50"/>
    </row>
    <row r="963" spans="2:3" ht="13.5" customHeight="1">
      <c r="B963" s="49"/>
      <c r="C963" s="50"/>
    </row>
    <row r="964" spans="2:3" ht="13.5" customHeight="1">
      <c r="B964" s="49"/>
      <c r="C964" s="50"/>
    </row>
    <row r="965" spans="2:3" ht="13.5" customHeight="1">
      <c r="B965" s="49"/>
      <c r="C965" s="50"/>
    </row>
    <row r="966" spans="2:3" ht="13.5" customHeight="1">
      <c r="B966" s="49"/>
      <c r="C966" s="50"/>
    </row>
    <row r="967" spans="2:3" ht="13.5" customHeight="1">
      <c r="B967" s="49"/>
      <c r="C967" s="50"/>
    </row>
    <row r="968" spans="2:3" ht="13.5" customHeight="1">
      <c r="B968" s="49"/>
      <c r="C968" s="50"/>
    </row>
    <row r="969" spans="2:3" ht="13.5" customHeight="1">
      <c r="B969" s="49"/>
      <c r="C969" s="50"/>
    </row>
    <row r="970" spans="2:3" ht="13.5" customHeight="1">
      <c r="B970" s="49"/>
      <c r="C970" s="50"/>
    </row>
    <row r="971" spans="2:3" ht="13.5" customHeight="1">
      <c r="B971" s="49"/>
      <c r="C971" s="50"/>
    </row>
    <row r="972" spans="2:3" ht="13.5" customHeight="1">
      <c r="B972" s="49"/>
      <c r="C972" s="50"/>
    </row>
    <row r="973" spans="2:3" ht="13.5" customHeight="1">
      <c r="B973" s="49"/>
      <c r="C973" s="50"/>
    </row>
    <row r="974" spans="2:3" ht="13.5" customHeight="1">
      <c r="B974" s="49"/>
      <c r="C974" s="50"/>
    </row>
    <row r="975" spans="2:3" ht="13.5" customHeight="1">
      <c r="B975" s="49"/>
      <c r="C975" s="50"/>
    </row>
    <row r="976" spans="2:3" ht="13.5" customHeight="1">
      <c r="B976" s="49"/>
      <c r="C976" s="50"/>
    </row>
    <row r="977" spans="2:3" ht="13.5" customHeight="1">
      <c r="B977" s="49"/>
      <c r="C977" s="50"/>
    </row>
    <row r="978" spans="2:3" ht="13.5" customHeight="1">
      <c r="B978" s="49"/>
      <c r="C978" s="50"/>
    </row>
    <row r="979" spans="2:3" ht="13.5" customHeight="1">
      <c r="B979" s="49"/>
      <c r="C979" s="50"/>
    </row>
    <row r="980" spans="2:3" ht="13.5" customHeight="1">
      <c r="B980" s="49"/>
      <c r="C980" s="50"/>
    </row>
    <row r="981" spans="2:3" ht="13.5" customHeight="1">
      <c r="B981" s="49"/>
      <c r="C981" s="50"/>
    </row>
    <row r="982" spans="2:3" ht="13.5" customHeight="1">
      <c r="B982" s="49"/>
      <c r="C982" s="50"/>
    </row>
    <row r="983" spans="2:3" ht="13.5" customHeight="1">
      <c r="B983" s="49"/>
      <c r="C983" s="50"/>
    </row>
    <row r="984" spans="2:3" ht="13.5" customHeight="1">
      <c r="B984" s="49"/>
      <c r="C984" s="50"/>
    </row>
    <row r="985" spans="2:3" ht="13.5" customHeight="1">
      <c r="B985" s="49"/>
      <c r="C985" s="50"/>
    </row>
    <row r="986" spans="2:3" ht="13.5" customHeight="1">
      <c r="B986" s="49"/>
      <c r="C986" s="50"/>
    </row>
    <row r="987" spans="2:3" ht="13.5" customHeight="1">
      <c r="B987" s="49"/>
      <c r="C987" s="50"/>
    </row>
    <row r="988" spans="2:3" ht="13.5" customHeight="1">
      <c r="B988" s="49"/>
      <c r="C988" s="50"/>
    </row>
    <row r="989" spans="2:3" ht="13.5" customHeight="1">
      <c r="B989" s="49"/>
      <c r="C989" s="50"/>
    </row>
    <row r="990" spans="2:3" ht="13.5" customHeight="1">
      <c r="B990" s="49"/>
      <c r="C990" s="50"/>
    </row>
    <row r="991" spans="2:3" ht="13.5" customHeight="1">
      <c r="B991" s="49"/>
      <c r="C991" s="50"/>
    </row>
    <row r="992" spans="2:3" ht="13.5" customHeight="1">
      <c r="B992" s="49"/>
      <c r="C992" s="50"/>
    </row>
    <row r="993" spans="2:3" ht="12.75" customHeight="1">
      <c r="B993" s="49"/>
      <c r="C993" s="50"/>
    </row>
    <row r="994" spans="2:3" ht="12.75" customHeight="1">
      <c r="B994" s="49"/>
      <c r="C994" s="50"/>
    </row>
    <row r="995" spans="2:3" ht="12.75" customHeight="1">
      <c r="B995" s="49"/>
      <c r="C995" s="50"/>
    </row>
    <row r="996" spans="2:3" ht="12.75" customHeight="1">
      <c r="B996" s="49"/>
      <c r="C996" s="50"/>
    </row>
  </sheetData>
  <mergeCells count="16">
    <mergeCell ref="J42:K42"/>
    <mergeCell ref="J43:K43"/>
    <mergeCell ref="J44:K44"/>
    <mergeCell ref="J45:K45"/>
    <mergeCell ref="B5:C5"/>
    <mergeCell ref="F5:F6"/>
    <mergeCell ref="J40:K40"/>
    <mergeCell ref="E4:E6"/>
    <mergeCell ref="G4:G6"/>
    <mergeCell ref="AA40:AB40"/>
    <mergeCell ref="J41:K41"/>
    <mergeCell ref="H2:H6"/>
    <mergeCell ref="K3:K6"/>
    <mergeCell ref="L3:U6"/>
    <mergeCell ref="I4:I6"/>
    <mergeCell ref="J4:J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K1000"/>
  <sheetViews>
    <sheetView showGridLines="0" zoomScaleNormal="100" workbookViewId="0">
      <selection activeCell="Q36" sqref="Q36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ADB"/>
  </sheetPr>
  <dimension ref="B1:AB994"/>
  <sheetViews>
    <sheetView showGridLines="0" zoomScaleNormal="100" workbookViewId="0">
      <selection activeCell="D26" sqref="D26"/>
    </sheetView>
  </sheetViews>
  <sheetFormatPr defaultColWidth="14.42578125" defaultRowHeight="13.15"/>
  <cols>
    <col min="1" max="1" width="5.42578125" style="1" customWidth="1"/>
    <col min="2" max="3" width="11.42578125" style="1" customWidth="1"/>
    <col min="4" max="4" width="60" style="1" customWidth="1"/>
    <col min="5" max="5" width="15" style="1" customWidth="1"/>
    <col min="6" max="6" width="13.28515625" style="1" customWidth="1"/>
    <col min="7" max="7" width="12.5703125" style="1" customWidth="1"/>
    <col min="8" max="11" width="11.5703125" style="1" customWidth="1"/>
    <col min="12" max="26" width="3.7109375" style="1" customWidth="1"/>
    <col min="27" max="16384" width="14.42578125" style="1"/>
  </cols>
  <sheetData>
    <row r="1" spans="2:28" ht="13.5" customHeight="1"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</row>
    <row r="2" spans="2:28" ht="13.5" customHeight="1">
      <c r="B2" s="49"/>
      <c r="C2" s="50"/>
      <c r="D2" s="108"/>
      <c r="E2" s="108"/>
      <c r="F2" s="108"/>
      <c r="G2" s="108"/>
      <c r="H2" s="133" t="s">
        <v>268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</row>
    <row r="3" spans="2:28" ht="13.5" customHeight="1">
      <c r="B3" s="49"/>
      <c r="C3" s="50"/>
      <c r="D3" s="108"/>
      <c r="E3" s="108"/>
      <c r="F3" s="108"/>
      <c r="G3" s="108"/>
      <c r="H3" s="133"/>
      <c r="I3" s="108"/>
      <c r="J3" s="108"/>
      <c r="K3" s="136" t="s">
        <v>269</v>
      </c>
      <c r="L3" s="137" t="s">
        <v>270</v>
      </c>
      <c r="M3" s="137"/>
      <c r="N3" s="137"/>
      <c r="O3" s="137"/>
      <c r="P3" s="137"/>
      <c r="Q3" s="137"/>
      <c r="R3" s="137"/>
      <c r="S3" s="137"/>
      <c r="T3" s="137"/>
      <c r="U3" s="137"/>
      <c r="V3" s="108"/>
      <c r="W3" s="108"/>
      <c r="X3" s="108"/>
      <c r="Y3" s="108"/>
      <c r="Z3" s="108"/>
      <c r="AA3" s="108"/>
      <c r="AB3" s="108"/>
    </row>
    <row r="4" spans="2:28" ht="12.75" customHeight="1">
      <c r="B4" s="49"/>
      <c r="C4" s="50"/>
      <c r="D4" s="108"/>
      <c r="E4" s="135" t="s">
        <v>271</v>
      </c>
      <c r="F4" s="108"/>
      <c r="G4" s="134" t="s">
        <v>272</v>
      </c>
      <c r="H4" s="133"/>
      <c r="I4" s="136" t="s">
        <v>273</v>
      </c>
      <c r="J4" s="133" t="s">
        <v>274</v>
      </c>
      <c r="K4" s="136"/>
      <c r="L4" s="136"/>
      <c r="M4" s="137"/>
      <c r="N4" s="137"/>
      <c r="O4" s="137"/>
      <c r="P4" s="137"/>
      <c r="Q4" s="137"/>
      <c r="R4" s="137"/>
      <c r="S4" s="137"/>
      <c r="T4" s="137"/>
      <c r="U4" s="137"/>
      <c r="V4" s="108"/>
      <c r="W4" s="108"/>
      <c r="X4" s="108"/>
      <c r="Y4" s="108"/>
      <c r="Z4" s="108"/>
      <c r="AA4" s="108"/>
      <c r="AB4" s="108"/>
    </row>
    <row r="5" spans="2:28" ht="18" customHeight="1">
      <c r="B5" s="138" t="s">
        <v>275</v>
      </c>
      <c r="C5" s="138"/>
      <c r="D5" s="108"/>
      <c r="E5" s="135"/>
      <c r="F5" s="139" t="s">
        <v>276</v>
      </c>
      <c r="G5" s="134"/>
      <c r="H5" s="134"/>
      <c r="I5" s="134"/>
      <c r="J5" s="134"/>
      <c r="K5" s="134"/>
      <c r="L5" s="134"/>
      <c r="M5" s="137"/>
      <c r="N5" s="137"/>
      <c r="O5" s="137"/>
      <c r="P5" s="137"/>
      <c r="Q5" s="137"/>
      <c r="R5" s="137"/>
      <c r="S5" s="137"/>
      <c r="T5" s="137"/>
      <c r="U5" s="137"/>
      <c r="V5" s="108"/>
      <c r="W5" s="108"/>
      <c r="X5" s="108"/>
      <c r="Y5" s="108"/>
      <c r="Z5" s="108"/>
      <c r="AA5" s="108"/>
      <c r="AB5" s="108"/>
    </row>
    <row r="6" spans="2:28" ht="13.5" customHeight="1">
      <c r="B6" s="51"/>
      <c r="C6" s="50"/>
      <c r="D6" s="108"/>
      <c r="E6" s="135"/>
      <c r="F6" s="135"/>
      <c r="G6" s="135"/>
      <c r="H6" s="135"/>
      <c r="I6" s="135"/>
      <c r="J6" s="135"/>
      <c r="K6" s="135"/>
      <c r="L6" s="135"/>
      <c r="M6" s="137"/>
      <c r="N6" s="137"/>
      <c r="O6" s="137"/>
      <c r="P6" s="137"/>
      <c r="Q6" s="137"/>
      <c r="R6" s="137"/>
      <c r="S6" s="137"/>
      <c r="T6" s="137"/>
      <c r="U6" s="137"/>
      <c r="V6" s="108"/>
      <c r="W6" s="108"/>
      <c r="X6" s="108"/>
      <c r="Y6" s="108"/>
      <c r="Z6" s="108"/>
      <c r="AA6" s="108"/>
      <c r="AB6" s="108"/>
    </row>
    <row r="7" spans="2:28" s="79" customFormat="1" ht="34.5" customHeight="1">
      <c r="B7" s="52" t="s">
        <v>277</v>
      </c>
      <c r="C7" s="52" t="s">
        <v>278</v>
      </c>
      <c r="D7" s="52" t="s">
        <v>19</v>
      </c>
      <c r="E7" s="52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</row>
    <row r="8" spans="2:28" ht="13.5" customHeight="1">
      <c r="B8" s="56" t="s">
        <v>563</v>
      </c>
      <c r="C8" s="57" t="s">
        <v>251</v>
      </c>
      <c r="D8" s="59" t="s">
        <v>564</v>
      </c>
      <c r="E8" s="59"/>
      <c r="F8" s="59" t="s">
        <v>31</v>
      </c>
      <c r="G8" s="57">
        <v>18</v>
      </c>
      <c r="H8" s="72">
        <v>0</v>
      </c>
      <c r="I8" s="72">
        <f t="shared" ref="I8:I27" si="0">SUM(G8-H8)</f>
        <v>18</v>
      </c>
      <c r="J8" s="72">
        <v>0</v>
      </c>
      <c r="K8" s="72">
        <f t="shared" ref="K8:K27" si="1">SUM(J8-G8)</f>
        <v>-18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108"/>
      <c r="AB8" s="108"/>
    </row>
    <row r="9" spans="2:28" ht="13.5" customHeight="1">
      <c r="B9" s="56" t="s">
        <v>565</v>
      </c>
      <c r="C9" s="61" t="s">
        <v>251</v>
      </c>
      <c r="D9" s="58" t="s">
        <v>566</v>
      </c>
      <c r="E9" s="59"/>
      <c r="F9" s="58" t="s">
        <v>31</v>
      </c>
      <c r="G9" s="61">
        <v>10</v>
      </c>
      <c r="H9" s="73">
        <v>0</v>
      </c>
      <c r="I9" s="73">
        <f t="shared" si="0"/>
        <v>10</v>
      </c>
      <c r="J9" s="73">
        <v>0</v>
      </c>
      <c r="K9" s="73">
        <f t="shared" si="1"/>
        <v>-10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108"/>
      <c r="AB9" s="112"/>
    </row>
    <row r="10" spans="2:28" ht="13.5" customHeight="1">
      <c r="B10" s="56" t="s">
        <v>567</v>
      </c>
      <c r="C10" s="61" t="s">
        <v>251</v>
      </c>
      <c r="D10" s="58" t="s">
        <v>568</v>
      </c>
      <c r="E10" s="59"/>
      <c r="F10" s="58" t="s">
        <v>31</v>
      </c>
      <c r="G10" s="61">
        <v>10</v>
      </c>
      <c r="H10" s="73">
        <v>0</v>
      </c>
      <c r="I10" s="73">
        <f t="shared" si="0"/>
        <v>10</v>
      </c>
      <c r="J10" s="73">
        <v>0</v>
      </c>
      <c r="K10" s="73">
        <f t="shared" si="1"/>
        <v>-10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108"/>
      <c r="AB10" s="112"/>
    </row>
    <row r="11" spans="2:28" ht="13.5" customHeight="1">
      <c r="B11" s="56" t="s">
        <v>569</v>
      </c>
      <c r="C11" s="61" t="s">
        <v>220</v>
      </c>
      <c r="D11" s="58" t="s">
        <v>570</v>
      </c>
      <c r="E11" s="59"/>
      <c r="F11" s="58" t="s">
        <v>31</v>
      </c>
      <c r="G11" s="61">
        <v>8</v>
      </c>
      <c r="H11" s="73">
        <v>0</v>
      </c>
      <c r="I11" s="73">
        <f t="shared" si="0"/>
        <v>8</v>
      </c>
      <c r="J11" s="73">
        <v>0</v>
      </c>
      <c r="K11" s="73">
        <f t="shared" si="1"/>
        <v>-8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108"/>
      <c r="AB11" s="112"/>
    </row>
    <row r="12" spans="2:28" ht="13.5" customHeight="1">
      <c r="B12" s="56" t="s">
        <v>571</v>
      </c>
      <c r="C12" s="61" t="s">
        <v>220</v>
      </c>
      <c r="D12" s="58" t="s">
        <v>572</v>
      </c>
      <c r="E12" s="59"/>
      <c r="F12" s="58" t="s">
        <v>31</v>
      </c>
      <c r="G12" s="61">
        <v>20</v>
      </c>
      <c r="H12" s="73">
        <v>0</v>
      </c>
      <c r="I12" s="73">
        <f t="shared" si="0"/>
        <v>20</v>
      </c>
      <c r="J12" s="73">
        <v>0</v>
      </c>
      <c r="K12" s="73">
        <f t="shared" si="1"/>
        <v>-20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108"/>
      <c r="AB12" s="112"/>
    </row>
    <row r="13" spans="2:28" ht="13.5" customHeight="1">
      <c r="B13" s="56" t="s">
        <v>573</v>
      </c>
      <c r="C13" s="61" t="s">
        <v>220</v>
      </c>
      <c r="D13" s="58" t="s">
        <v>574</v>
      </c>
      <c r="E13" s="59"/>
      <c r="F13" s="58" t="s">
        <v>31</v>
      </c>
      <c r="G13" s="61">
        <v>8</v>
      </c>
      <c r="H13" s="73">
        <v>0</v>
      </c>
      <c r="I13" s="73">
        <f t="shared" si="0"/>
        <v>8</v>
      </c>
      <c r="J13" s="73">
        <v>0</v>
      </c>
      <c r="K13" s="73">
        <f t="shared" si="1"/>
        <v>-8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108"/>
      <c r="AB13" s="112"/>
    </row>
    <row r="14" spans="2:28" ht="13.5" customHeight="1">
      <c r="B14" s="56" t="s">
        <v>575</v>
      </c>
      <c r="C14" s="61" t="s">
        <v>220</v>
      </c>
      <c r="D14" s="58" t="s">
        <v>576</v>
      </c>
      <c r="E14" s="59"/>
      <c r="F14" s="58" t="s">
        <v>31</v>
      </c>
      <c r="G14" s="61">
        <v>6</v>
      </c>
      <c r="H14" s="73">
        <v>0</v>
      </c>
      <c r="I14" s="73">
        <f t="shared" si="0"/>
        <v>6</v>
      </c>
      <c r="J14" s="73">
        <v>0</v>
      </c>
      <c r="K14" s="73">
        <f t="shared" si="1"/>
        <v>-6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108"/>
      <c r="AB14" s="112"/>
    </row>
    <row r="15" spans="2:28" ht="13.5" customHeight="1">
      <c r="B15" s="56" t="s">
        <v>577</v>
      </c>
      <c r="C15" s="61" t="s">
        <v>236</v>
      </c>
      <c r="D15" s="58" t="s">
        <v>578</v>
      </c>
      <c r="E15" s="59"/>
      <c r="F15" s="58" t="s">
        <v>31</v>
      </c>
      <c r="G15" s="61">
        <v>10</v>
      </c>
      <c r="H15" s="73">
        <v>0</v>
      </c>
      <c r="I15" s="73">
        <f t="shared" si="0"/>
        <v>10</v>
      </c>
      <c r="J15" s="73">
        <v>0</v>
      </c>
      <c r="K15" s="73">
        <f t="shared" si="1"/>
        <v>-10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108"/>
      <c r="AB15" s="112"/>
    </row>
    <row r="16" spans="2:28" ht="13.5" customHeight="1">
      <c r="B16" s="56" t="s">
        <v>579</v>
      </c>
      <c r="C16" s="61" t="s">
        <v>236</v>
      </c>
      <c r="D16" s="58" t="s">
        <v>580</v>
      </c>
      <c r="E16" s="59"/>
      <c r="F16" s="58" t="s">
        <v>31</v>
      </c>
      <c r="G16" s="61">
        <v>10</v>
      </c>
      <c r="H16" s="73">
        <v>0</v>
      </c>
      <c r="I16" s="73">
        <f t="shared" si="0"/>
        <v>10</v>
      </c>
      <c r="J16" s="73">
        <v>0</v>
      </c>
      <c r="K16" s="73">
        <f t="shared" si="1"/>
        <v>-10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08"/>
      <c r="AB16" s="112"/>
    </row>
    <row r="17" spans="2:28" ht="13.5" customHeight="1">
      <c r="B17" s="56" t="s">
        <v>581</v>
      </c>
      <c r="C17" s="61" t="s">
        <v>236</v>
      </c>
      <c r="D17" s="58" t="s">
        <v>582</v>
      </c>
      <c r="E17" s="59"/>
      <c r="F17" s="58" t="s">
        <v>31</v>
      </c>
      <c r="G17" s="61">
        <v>4</v>
      </c>
      <c r="H17" s="73">
        <v>0</v>
      </c>
      <c r="I17" s="73">
        <f t="shared" si="0"/>
        <v>4</v>
      </c>
      <c r="J17" s="73">
        <v>0</v>
      </c>
      <c r="K17" s="73">
        <f t="shared" si="1"/>
        <v>-4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108"/>
      <c r="AB17" s="112"/>
    </row>
    <row r="18" spans="2:28" ht="13.5" customHeight="1">
      <c r="B18" s="56" t="s">
        <v>583</v>
      </c>
      <c r="C18" s="61" t="s">
        <v>246</v>
      </c>
      <c r="D18" s="58" t="s">
        <v>584</v>
      </c>
      <c r="E18" s="59"/>
      <c r="F18" s="58" t="s">
        <v>31</v>
      </c>
      <c r="G18" s="61">
        <v>6</v>
      </c>
      <c r="H18" s="73">
        <v>0</v>
      </c>
      <c r="I18" s="73">
        <f t="shared" si="0"/>
        <v>6</v>
      </c>
      <c r="J18" s="73">
        <v>0</v>
      </c>
      <c r="K18" s="73">
        <f t="shared" si="1"/>
        <v>-6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108"/>
      <c r="AB18" s="112"/>
    </row>
    <row r="19" spans="2:28" ht="13.5" customHeight="1">
      <c r="B19" s="56" t="s">
        <v>585</v>
      </c>
      <c r="C19" s="61" t="s">
        <v>246</v>
      </c>
      <c r="D19" s="58" t="s">
        <v>586</v>
      </c>
      <c r="E19" s="59"/>
      <c r="F19" s="58" t="s">
        <v>31</v>
      </c>
      <c r="G19" s="61">
        <v>6</v>
      </c>
      <c r="H19" s="73">
        <v>0</v>
      </c>
      <c r="I19" s="73">
        <f t="shared" si="0"/>
        <v>6</v>
      </c>
      <c r="J19" s="73">
        <v>0</v>
      </c>
      <c r="K19" s="73">
        <f t="shared" si="1"/>
        <v>-6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108"/>
      <c r="AB19" s="112"/>
    </row>
    <row r="20" spans="2:28" ht="13.5" customHeight="1">
      <c r="B20" s="56" t="s">
        <v>587</v>
      </c>
      <c r="C20" s="61" t="s">
        <v>246</v>
      </c>
      <c r="D20" s="58" t="s">
        <v>588</v>
      </c>
      <c r="E20" s="59"/>
      <c r="F20" s="58" t="s">
        <v>31</v>
      </c>
      <c r="G20" s="61">
        <v>4</v>
      </c>
      <c r="H20" s="73">
        <v>0</v>
      </c>
      <c r="I20" s="73">
        <f t="shared" si="0"/>
        <v>4</v>
      </c>
      <c r="J20" s="73">
        <v>0</v>
      </c>
      <c r="K20" s="73">
        <f t="shared" si="1"/>
        <v>-4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108"/>
      <c r="AB20" s="112"/>
    </row>
    <row r="21" spans="2:28" ht="13.5" customHeight="1">
      <c r="B21" s="56" t="s">
        <v>589</v>
      </c>
      <c r="C21" s="61" t="s">
        <v>257</v>
      </c>
      <c r="D21" s="58" t="s">
        <v>590</v>
      </c>
      <c r="E21" s="59"/>
      <c r="F21" s="58" t="s">
        <v>31</v>
      </c>
      <c r="G21" s="61">
        <v>18</v>
      </c>
      <c r="H21" s="73">
        <v>0</v>
      </c>
      <c r="I21" s="73">
        <f t="shared" si="0"/>
        <v>18</v>
      </c>
      <c r="J21" s="73">
        <v>0</v>
      </c>
      <c r="K21" s="73">
        <f t="shared" si="1"/>
        <v>-18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108"/>
      <c r="AB21" s="112"/>
    </row>
    <row r="22" spans="2:28" ht="13.5" customHeight="1">
      <c r="B22" s="56" t="s">
        <v>591</v>
      </c>
      <c r="C22" s="61" t="s">
        <v>257</v>
      </c>
      <c r="D22" s="58" t="s">
        <v>592</v>
      </c>
      <c r="E22" s="59"/>
      <c r="F22" s="58" t="s">
        <v>31</v>
      </c>
      <c r="G22" s="61">
        <v>14</v>
      </c>
      <c r="H22" s="73">
        <v>0</v>
      </c>
      <c r="I22" s="73">
        <f t="shared" si="0"/>
        <v>14</v>
      </c>
      <c r="J22" s="73">
        <v>0</v>
      </c>
      <c r="K22" s="73">
        <f t="shared" si="1"/>
        <v>-14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108"/>
      <c r="AB22" s="112"/>
    </row>
    <row r="23" spans="2:28" ht="13.5" customHeight="1">
      <c r="B23" s="56" t="s">
        <v>593</v>
      </c>
      <c r="C23" s="61" t="s">
        <v>262</v>
      </c>
      <c r="D23" s="58" t="s">
        <v>594</v>
      </c>
      <c r="E23" s="59"/>
      <c r="F23" s="58" t="s">
        <v>31</v>
      </c>
      <c r="G23" s="61">
        <v>28</v>
      </c>
      <c r="H23" s="73">
        <v>0</v>
      </c>
      <c r="I23" s="73">
        <f t="shared" si="0"/>
        <v>28</v>
      </c>
      <c r="J23" s="73">
        <v>0</v>
      </c>
      <c r="K23" s="73">
        <f t="shared" si="1"/>
        <v>-28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108"/>
      <c r="AB23" s="112"/>
    </row>
    <row r="24" spans="2:28" ht="13.5" customHeight="1">
      <c r="B24" s="56" t="s">
        <v>595</v>
      </c>
      <c r="C24" s="61" t="s">
        <v>262</v>
      </c>
      <c r="D24" s="58" t="s">
        <v>596</v>
      </c>
      <c r="E24" s="59"/>
      <c r="F24" s="58" t="s">
        <v>31</v>
      </c>
      <c r="G24" s="61">
        <v>36</v>
      </c>
      <c r="H24" s="73">
        <v>0</v>
      </c>
      <c r="I24" s="73">
        <f t="shared" si="0"/>
        <v>36</v>
      </c>
      <c r="J24" s="73">
        <v>0</v>
      </c>
      <c r="K24" s="73">
        <f t="shared" si="1"/>
        <v>-36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108"/>
      <c r="AB24" s="112"/>
    </row>
    <row r="25" spans="2:28" ht="13.5" customHeight="1">
      <c r="B25" s="56" t="s">
        <v>597</v>
      </c>
      <c r="C25" s="61" t="s">
        <v>262</v>
      </c>
      <c r="D25" s="58" t="s">
        <v>598</v>
      </c>
      <c r="E25" s="59"/>
      <c r="F25" s="58" t="s">
        <v>31</v>
      </c>
      <c r="G25" s="61">
        <v>18</v>
      </c>
      <c r="H25" s="73">
        <v>0</v>
      </c>
      <c r="I25" s="73">
        <f t="shared" si="0"/>
        <v>18</v>
      </c>
      <c r="J25" s="73">
        <v>0</v>
      </c>
      <c r="K25" s="73">
        <f t="shared" si="1"/>
        <v>-18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108"/>
      <c r="AB25" s="112"/>
    </row>
    <row r="26" spans="2:28" ht="13.5" customHeight="1">
      <c r="B26" s="56" t="s">
        <v>599</v>
      </c>
      <c r="C26" s="61" t="s">
        <v>262</v>
      </c>
      <c r="D26" s="58" t="s">
        <v>600</v>
      </c>
      <c r="E26" s="59"/>
      <c r="F26" s="58" t="s">
        <v>31</v>
      </c>
      <c r="G26" s="61">
        <v>10</v>
      </c>
      <c r="H26" s="73">
        <v>0</v>
      </c>
      <c r="I26" s="73">
        <f t="shared" si="0"/>
        <v>10</v>
      </c>
      <c r="J26" s="73">
        <v>0</v>
      </c>
      <c r="K26" s="73">
        <f t="shared" si="1"/>
        <v>-10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108"/>
      <c r="AB26" s="112"/>
    </row>
    <row r="27" spans="2:28" ht="13.5" customHeight="1">
      <c r="B27" s="56" t="s">
        <v>601</v>
      </c>
      <c r="C27" s="61" t="s">
        <v>86</v>
      </c>
      <c r="D27" s="58" t="s">
        <v>602</v>
      </c>
      <c r="E27" s="59"/>
      <c r="F27" s="58" t="s">
        <v>31</v>
      </c>
      <c r="G27" s="61">
        <v>6</v>
      </c>
      <c r="H27" s="73">
        <v>0</v>
      </c>
      <c r="I27" s="73">
        <f t="shared" si="0"/>
        <v>6</v>
      </c>
      <c r="J27" s="73">
        <v>0</v>
      </c>
      <c r="K27" s="73">
        <f t="shared" si="1"/>
        <v>-6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108"/>
      <c r="AB27" s="112"/>
    </row>
    <row r="28" spans="2:28" ht="13.5" customHeight="1">
      <c r="B28" s="62"/>
      <c r="C28" s="63"/>
      <c r="D28" s="64"/>
      <c r="E28" s="64"/>
      <c r="F28" s="65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08"/>
      <c r="AB28" s="108"/>
    </row>
    <row r="29" spans="2:28" ht="13.5" customHeight="1">
      <c r="B29" s="75"/>
      <c r="C29" s="76"/>
      <c r="D29" s="66"/>
      <c r="E29" s="66"/>
      <c r="F29" s="77" t="s">
        <v>267</v>
      </c>
      <c r="G29" s="129">
        <f>SUM(G8:G27)</f>
        <v>250</v>
      </c>
      <c r="H29" s="129">
        <f>SUM(H8:H27)</f>
        <v>0</v>
      </c>
      <c r="I29" s="129">
        <f>SUM(I8:I27)</f>
        <v>250</v>
      </c>
      <c r="J29" s="129">
        <f>SUM(J8:J27)</f>
        <v>0</v>
      </c>
      <c r="K29" s="129">
        <f>SUM(K8:K27)</f>
        <v>-250</v>
      </c>
      <c r="L29" s="129">
        <f t="shared" ref="L29:Z29" si="2">SUBTOTAL(9,L7:L27)</f>
        <v>0</v>
      </c>
      <c r="M29" s="129">
        <f t="shared" si="2"/>
        <v>0</v>
      </c>
      <c r="N29" s="129">
        <f t="shared" si="2"/>
        <v>0</v>
      </c>
      <c r="O29" s="129">
        <f t="shared" si="2"/>
        <v>0</v>
      </c>
      <c r="P29" s="129">
        <f t="shared" si="2"/>
        <v>0</v>
      </c>
      <c r="Q29" s="129">
        <f t="shared" si="2"/>
        <v>0</v>
      </c>
      <c r="R29" s="129">
        <f t="shared" si="2"/>
        <v>0</v>
      </c>
      <c r="S29" s="129">
        <f t="shared" si="2"/>
        <v>0</v>
      </c>
      <c r="T29" s="129">
        <f t="shared" si="2"/>
        <v>0</v>
      </c>
      <c r="U29" s="129">
        <f t="shared" si="2"/>
        <v>0</v>
      </c>
      <c r="V29" s="129">
        <f t="shared" si="2"/>
        <v>0</v>
      </c>
      <c r="W29" s="129">
        <f t="shared" si="2"/>
        <v>0</v>
      </c>
      <c r="X29" s="129">
        <f t="shared" si="2"/>
        <v>0</v>
      </c>
      <c r="Y29" s="129">
        <f t="shared" si="2"/>
        <v>0</v>
      </c>
      <c r="Z29" s="129">
        <f t="shared" si="2"/>
        <v>0</v>
      </c>
      <c r="AA29" s="108"/>
      <c r="AB29" s="108"/>
    </row>
    <row r="30" spans="2:28" ht="13.5" customHeight="1">
      <c r="B30" s="75"/>
      <c r="C30" s="76"/>
      <c r="D30" s="66"/>
      <c r="E30" s="66"/>
      <c r="F30" s="77" t="s">
        <v>333</v>
      </c>
      <c r="G30" s="129"/>
      <c r="H30" s="129"/>
      <c r="I30" s="129"/>
      <c r="J30" s="129"/>
      <c r="K30" s="129"/>
      <c r="L30" s="129">
        <f>G29-L29</f>
        <v>250</v>
      </c>
      <c r="M30" s="129">
        <f t="shared" ref="M30:Z30" si="3">L30-M29</f>
        <v>250</v>
      </c>
      <c r="N30" s="129">
        <f t="shared" si="3"/>
        <v>250</v>
      </c>
      <c r="O30" s="129">
        <f t="shared" si="3"/>
        <v>250</v>
      </c>
      <c r="P30" s="129">
        <f t="shared" si="3"/>
        <v>250</v>
      </c>
      <c r="Q30" s="129">
        <f t="shared" si="3"/>
        <v>250</v>
      </c>
      <c r="R30" s="129">
        <f t="shared" si="3"/>
        <v>250</v>
      </c>
      <c r="S30" s="129">
        <f t="shared" si="3"/>
        <v>250</v>
      </c>
      <c r="T30" s="129">
        <f t="shared" si="3"/>
        <v>250</v>
      </c>
      <c r="U30" s="129">
        <f t="shared" si="3"/>
        <v>250</v>
      </c>
      <c r="V30" s="129">
        <f t="shared" si="3"/>
        <v>250</v>
      </c>
      <c r="W30" s="129">
        <f t="shared" si="3"/>
        <v>250</v>
      </c>
      <c r="X30" s="129">
        <f t="shared" si="3"/>
        <v>250</v>
      </c>
      <c r="Y30" s="129">
        <f t="shared" si="3"/>
        <v>250</v>
      </c>
      <c r="Z30" s="129">
        <f t="shared" si="3"/>
        <v>250</v>
      </c>
      <c r="AA30" s="108"/>
      <c r="AB30" s="108"/>
    </row>
    <row r="31" spans="2:28" ht="13.5" customHeight="1">
      <c r="B31" s="75"/>
      <c r="C31" s="76"/>
      <c r="D31" s="66"/>
      <c r="E31" s="66"/>
      <c r="F31" s="77" t="s">
        <v>334</v>
      </c>
      <c r="G31" s="129"/>
      <c r="H31" s="129"/>
      <c r="I31" s="129"/>
      <c r="J31" s="129"/>
      <c r="K31" s="129"/>
      <c r="L31" s="129">
        <f>L29</f>
        <v>0</v>
      </c>
      <c r="M31" s="129">
        <f t="shared" ref="M31:Z31" si="4">L31+M29</f>
        <v>0</v>
      </c>
      <c r="N31" s="129">
        <f t="shared" si="4"/>
        <v>0</v>
      </c>
      <c r="O31" s="129">
        <f t="shared" si="4"/>
        <v>0</v>
      </c>
      <c r="P31" s="129">
        <f t="shared" si="4"/>
        <v>0</v>
      </c>
      <c r="Q31" s="129">
        <f t="shared" si="4"/>
        <v>0</v>
      </c>
      <c r="R31" s="129">
        <f t="shared" si="4"/>
        <v>0</v>
      </c>
      <c r="S31" s="129">
        <f t="shared" si="4"/>
        <v>0</v>
      </c>
      <c r="T31" s="129">
        <f t="shared" si="4"/>
        <v>0</v>
      </c>
      <c r="U31" s="129">
        <f t="shared" si="4"/>
        <v>0</v>
      </c>
      <c r="V31" s="129">
        <f t="shared" si="4"/>
        <v>0</v>
      </c>
      <c r="W31" s="129">
        <f t="shared" si="4"/>
        <v>0</v>
      </c>
      <c r="X31" s="129">
        <f t="shared" si="4"/>
        <v>0</v>
      </c>
      <c r="Y31" s="129">
        <f t="shared" si="4"/>
        <v>0</v>
      </c>
      <c r="Z31" s="129">
        <f t="shared" si="4"/>
        <v>0</v>
      </c>
      <c r="AA31" s="108"/>
      <c r="AB31" s="108"/>
    </row>
    <row r="32" spans="2:28" ht="13.5" customHeight="1">
      <c r="B32" s="75"/>
      <c r="C32" s="7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108"/>
      <c r="AB32" s="108"/>
    </row>
    <row r="33" spans="2:28" ht="13.5" customHeight="1">
      <c r="B33" s="49"/>
      <c r="C33" s="50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</row>
    <row r="34" spans="2:28" ht="13.5" customHeight="1">
      <c r="B34" s="49"/>
      <c r="C34" s="50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</row>
    <row r="35" spans="2:28" ht="13.5" customHeight="1">
      <c r="B35" s="49"/>
      <c r="C35" s="50"/>
      <c r="D35" s="108"/>
      <c r="E35" s="108"/>
      <c r="F35" s="108"/>
      <c r="G35" s="108"/>
      <c r="H35" s="108"/>
      <c r="I35" s="108"/>
      <c r="J35" s="132" t="s">
        <v>335</v>
      </c>
      <c r="K35" s="132"/>
      <c r="L35" s="128">
        <v>1</v>
      </c>
      <c r="M35" s="128">
        <v>2</v>
      </c>
      <c r="N35" s="128">
        <v>3</v>
      </c>
      <c r="O35" s="128">
        <v>4</v>
      </c>
      <c r="P35" s="128">
        <v>5</v>
      </c>
      <c r="Q35" s="128">
        <v>6</v>
      </c>
      <c r="R35" s="128">
        <v>7</v>
      </c>
      <c r="S35" s="128">
        <v>8</v>
      </c>
      <c r="T35" s="128">
        <v>9</v>
      </c>
      <c r="U35" s="128">
        <v>10</v>
      </c>
      <c r="V35" s="128">
        <v>11</v>
      </c>
      <c r="W35" s="128">
        <v>12</v>
      </c>
      <c r="X35" s="128">
        <v>13</v>
      </c>
      <c r="Y35" s="128">
        <v>14</v>
      </c>
      <c r="Z35" s="128">
        <v>15</v>
      </c>
      <c r="AA35" s="131" t="s">
        <v>336</v>
      </c>
      <c r="AB35" s="131"/>
    </row>
    <row r="36" spans="2:28" ht="13.5" customHeight="1">
      <c r="B36" s="49"/>
      <c r="C36" s="50"/>
      <c r="D36" s="108"/>
      <c r="E36" s="108"/>
      <c r="F36" s="108"/>
      <c r="G36" s="108"/>
      <c r="H36" s="108"/>
      <c r="I36" s="108"/>
      <c r="J36" s="132" t="s">
        <v>603</v>
      </c>
      <c r="K36" s="132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50">
        <f>SUM(L36:Z36)</f>
        <v>0</v>
      </c>
      <c r="AB36" s="108"/>
    </row>
    <row r="37" spans="2:28" ht="13.5" customHeight="1">
      <c r="B37" s="49"/>
      <c r="C37" s="50"/>
      <c r="D37" s="108"/>
      <c r="E37" s="108"/>
      <c r="F37" s="108"/>
      <c r="G37" s="108"/>
      <c r="H37" s="108"/>
      <c r="I37" s="108"/>
      <c r="J37" s="132" t="s">
        <v>604</v>
      </c>
      <c r="K37" s="132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50">
        <f>SUM(L37:Z37)</f>
        <v>0</v>
      </c>
      <c r="AB37" s="108"/>
    </row>
    <row r="38" spans="2:28" ht="13.5" customHeight="1">
      <c r="B38" s="49"/>
      <c r="C38" s="50"/>
      <c r="D38" s="108"/>
      <c r="E38" s="108"/>
      <c r="F38" s="108"/>
      <c r="G38" s="108"/>
      <c r="H38" s="108"/>
      <c r="I38" s="108"/>
      <c r="J38" s="132" t="s">
        <v>605</v>
      </c>
      <c r="K38" s="132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50">
        <f>SUM(L38:Z38)</f>
        <v>0</v>
      </c>
      <c r="AB38" s="108"/>
    </row>
    <row r="39" spans="2:28" ht="13.5" customHeight="1">
      <c r="B39" s="49"/>
      <c r="C39" s="50"/>
      <c r="D39" s="108"/>
      <c r="E39" s="108"/>
      <c r="F39" s="108"/>
      <c r="G39" s="108"/>
      <c r="H39" s="108"/>
      <c r="I39" s="108"/>
      <c r="J39" s="132" t="s">
        <v>606</v>
      </c>
      <c r="K39" s="132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50">
        <f>SUM(L39:Z39)</f>
        <v>0</v>
      </c>
      <c r="AB39" s="108"/>
    </row>
    <row r="40" spans="2:28" ht="13.5" customHeight="1">
      <c r="B40" s="49"/>
      <c r="C40" s="50"/>
      <c r="D40" s="108"/>
      <c r="E40" s="108"/>
      <c r="F40" s="108"/>
      <c r="G40" s="108"/>
      <c r="H40" s="108"/>
      <c r="I40" s="108"/>
      <c r="J40" s="132" t="s">
        <v>607</v>
      </c>
      <c r="K40" s="132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50">
        <f>SUM(L40:Z40)</f>
        <v>0</v>
      </c>
      <c r="AB40" s="108"/>
    </row>
    <row r="41" spans="2:28" ht="13.5" customHeight="1">
      <c r="B41" s="49"/>
      <c r="C41" s="50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74">
        <f>SUM(AA36:AA40)</f>
        <v>0</v>
      </c>
      <c r="AB41" s="108"/>
    </row>
    <row r="42" spans="2:28" ht="13.5" customHeight="1">
      <c r="B42" s="49"/>
      <c r="C42" s="50"/>
      <c r="D42" s="108"/>
      <c r="E42" s="108"/>
      <c r="F42" s="108"/>
      <c r="G42" s="108"/>
      <c r="H42" s="108"/>
      <c r="I42" s="108"/>
      <c r="J42" s="108" t="s">
        <v>459</v>
      </c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</row>
    <row r="43" spans="2:28" ht="12.75" customHeight="1">
      <c r="B43" s="49"/>
      <c r="C43" s="50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</row>
    <row r="44" spans="2:28" ht="12.75" customHeight="1">
      <c r="B44" s="49"/>
      <c r="C44" s="50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/>
      <c r="AB44" s="108"/>
    </row>
    <row r="45" spans="2:28" ht="12.75" customHeight="1">
      <c r="B45" s="49"/>
      <c r="C45" s="50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/>
      <c r="AB45" s="108"/>
    </row>
    <row r="46" spans="2:28" ht="12.75" customHeight="1">
      <c r="B46" s="49"/>
      <c r="C46" s="50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108"/>
      <c r="AB46" s="108"/>
    </row>
    <row r="47" spans="2:28" ht="13.5" customHeight="1">
      <c r="B47" s="49"/>
      <c r="C47" s="50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</row>
    <row r="48" spans="2:28" ht="13.5" customHeight="1">
      <c r="B48" s="49"/>
      <c r="C48" s="50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</row>
    <row r="49" spans="2:3" ht="13.5" customHeight="1">
      <c r="B49" s="49"/>
      <c r="C49" s="50"/>
    </row>
    <row r="50" spans="2:3" ht="13.5" customHeight="1">
      <c r="B50" s="49"/>
      <c r="C50" s="50"/>
    </row>
    <row r="51" spans="2:3" ht="13.5" customHeight="1">
      <c r="B51" s="49"/>
      <c r="C51" s="50"/>
    </row>
    <row r="52" spans="2:3" ht="13.5" customHeight="1">
      <c r="B52" s="49"/>
      <c r="C52" s="50"/>
    </row>
    <row r="53" spans="2:3" ht="13.5" customHeight="1">
      <c r="B53" s="49"/>
      <c r="C53" s="50"/>
    </row>
    <row r="54" spans="2:3" ht="13.5" customHeight="1">
      <c r="B54" s="49"/>
      <c r="C54" s="50"/>
    </row>
    <row r="55" spans="2:3" ht="13.5" customHeight="1">
      <c r="B55" s="49"/>
      <c r="C55" s="50"/>
    </row>
    <row r="56" spans="2:3" ht="13.5" customHeight="1">
      <c r="B56" s="49"/>
      <c r="C56" s="50"/>
    </row>
    <row r="57" spans="2:3" ht="13.5" customHeight="1">
      <c r="B57" s="49"/>
      <c r="C57" s="50"/>
    </row>
    <row r="58" spans="2:3" ht="13.5" customHeight="1">
      <c r="B58" s="49"/>
      <c r="C58" s="50"/>
    </row>
    <row r="59" spans="2:3" ht="13.5" customHeight="1">
      <c r="B59" s="49"/>
      <c r="C59" s="50"/>
    </row>
    <row r="60" spans="2:3" ht="13.5" customHeight="1">
      <c r="B60" s="49"/>
      <c r="C60" s="50"/>
    </row>
    <row r="61" spans="2:3" ht="13.5" customHeight="1">
      <c r="B61" s="49"/>
      <c r="C61" s="50"/>
    </row>
    <row r="62" spans="2:3" ht="13.5" customHeight="1">
      <c r="B62" s="49"/>
      <c r="C62" s="50"/>
    </row>
    <row r="63" spans="2:3" ht="13.5" customHeight="1">
      <c r="B63" s="49"/>
      <c r="C63" s="50"/>
    </row>
    <row r="64" spans="2:3" ht="13.5" customHeight="1">
      <c r="B64" s="49"/>
      <c r="C64" s="50"/>
    </row>
    <row r="65" spans="2:3" ht="13.5" customHeight="1">
      <c r="B65" s="49"/>
      <c r="C65" s="50"/>
    </row>
    <row r="66" spans="2:3" ht="13.5" customHeight="1">
      <c r="B66" s="49"/>
      <c r="C66" s="50"/>
    </row>
    <row r="67" spans="2:3" ht="13.5" customHeight="1">
      <c r="B67" s="49"/>
      <c r="C67" s="50"/>
    </row>
    <row r="68" spans="2:3" ht="13.5" customHeight="1">
      <c r="B68" s="49"/>
      <c r="C68" s="50"/>
    </row>
    <row r="69" spans="2:3" ht="13.5" customHeight="1">
      <c r="B69" s="49"/>
      <c r="C69" s="50"/>
    </row>
    <row r="70" spans="2:3" ht="13.5" customHeight="1">
      <c r="B70" s="49"/>
      <c r="C70" s="50"/>
    </row>
    <row r="71" spans="2:3" ht="13.5" customHeight="1">
      <c r="B71" s="49"/>
      <c r="C71" s="50"/>
    </row>
    <row r="72" spans="2:3" ht="13.5" customHeight="1">
      <c r="B72" s="49"/>
      <c r="C72" s="50"/>
    </row>
    <row r="73" spans="2:3" ht="13.5" customHeight="1">
      <c r="B73" s="49"/>
      <c r="C73" s="50"/>
    </row>
    <row r="74" spans="2:3" ht="13.5" customHeight="1">
      <c r="B74" s="49"/>
      <c r="C74" s="50"/>
    </row>
    <row r="75" spans="2:3" ht="13.5" customHeight="1">
      <c r="B75" s="49"/>
      <c r="C75" s="50"/>
    </row>
    <row r="76" spans="2:3" ht="13.5" customHeight="1">
      <c r="B76" s="49"/>
      <c r="C76" s="50"/>
    </row>
    <row r="77" spans="2:3" ht="13.5" customHeight="1">
      <c r="B77" s="49"/>
      <c r="C77" s="50"/>
    </row>
    <row r="78" spans="2:3" ht="13.5" customHeight="1">
      <c r="B78" s="49"/>
      <c r="C78" s="50"/>
    </row>
    <row r="79" spans="2:3" ht="13.5" customHeight="1">
      <c r="B79" s="49"/>
      <c r="C79" s="50"/>
    </row>
    <row r="80" spans="2:3" ht="13.5" customHeight="1">
      <c r="B80" s="49"/>
      <c r="C80" s="50"/>
    </row>
    <row r="81" spans="2:3" ht="13.5" customHeight="1">
      <c r="B81" s="49"/>
      <c r="C81" s="50"/>
    </row>
    <row r="82" spans="2:3" ht="13.5" customHeight="1">
      <c r="B82" s="49"/>
      <c r="C82" s="50"/>
    </row>
    <row r="83" spans="2:3" ht="13.5" customHeight="1">
      <c r="B83" s="49"/>
      <c r="C83" s="50"/>
    </row>
    <row r="84" spans="2:3" ht="13.5" customHeight="1">
      <c r="B84" s="49"/>
      <c r="C84" s="50"/>
    </row>
    <row r="85" spans="2:3" ht="13.5" customHeight="1">
      <c r="B85" s="49"/>
      <c r="C85" s="50"/>
    </row>
    <row r="86" spans="2:3" ht="13.5" customHeight="1">
      <c r="B86" s="49"/>
      <c r="C86" s="50"/>
    </row>
    <row r="87" spans="2:3" ht="13.5" customHeight="1">
      <c r="B87" s="49"/>
      <c r="C87" s="50"/>
    </row>
    <row r="88" spans="2:3" ht="13.5" customHeight="1">
      <c r="B88" s="49"/>
      <c r="C88" s="50"/>
    </row>
    <row r="89" spans="2:3" ht="13.5" customHeight="1">
      <c r="B89" s="49"/>
      <c r="C89" s="50"/>
    </row>
    <row r="90" spans="2:3" ht="13.5" customHeight="1">
      <c r="B90" s="49"/>
      <c r="C90" s="50"/>
    </row>
    <row r="91" spans="2:3" ht="13.5" customHeight="1">
      <c r="B91" s="49"/>
      <c r="C91" s="50"/>
    </row>
    <row r="92" spans="2:3" ht="13.5" customHeight="1">
      <c r="B92" s="49"/>
      <c r="C92" s="50"/>
    </row>
    <row r="93" spans="2:3" ht="13.5" customHeight="1">
      <c r="B93" s="49"/>
      <c r="C93" s="50"/>
    </row>
    <row r="94" spans="2:3" ht="13.5" customHeight="1">
      <c r="B94" s="49"/>
      <c r="C94" s="50"/>
    </row>
    <row r="95" spans="2:3" ht="13.5" customHeight="1">
      <c r="B95" s="49"/>
      <c r="C95" s="50"/>
    </row>
    <row r="96" spans="2:3" ht="13.5" customHeight="1">
      <c r="B96" s="49"/>
      <c r="C96" s="50"/>
    </row>
    <row r="97" spans="2:3" ht="13.5" customHeight="1">
      <c r="B97" s="49"/>
      <c r="C97" s="50"/>
    </row>
    <row r="98" spans="2:3" ht="13.5" customHeight="1">
      <c r="B98" s="49"/>
      <c r="C98" s="50"/>
    </row>
    <row r="99" spans="2:3" ht="13.5" customHeight="1">
      <c r="B99" s="49"/>
      <c r="C99" s="50"/>
    </row>
    <row r="100" spans="2:3" ht="13.5" customHeight="1">
      <c r="B100" s="49"/>
      <c r="C100" s="50"/>
    </row>
    <row r="101" spans="2:3" ht="13.5" customHeight="1">
      <c r="B101" s="49"/>
      <c r="C101" s="50"/>
    </row>
    <row r="102" spans="2:3" ht="13.5" customHeight="1">
      <c r="B102" s="49"/>
      <c r="C102" s="50"/>
    </row>
    <row r="103" spans="2:3" ht="13.5" customHeight="1">
      <c r="B103" s="49"/>
      <c r="C103" s="50"/>
    </row>
    <row r="104" spans="2:3" ht="13.5" customHeight="1">
      <c r="B104" s="49"/>
      <c r="C104" s="50"/>
    </row>
    <row r="105" spans="2:3" ht="13.5" customHeight="1">
      <c r="B105" s="49"/>
      <c r="C105" s="50"/>
    </row>
    <row r="106" spans="2:3" ht="13.5" customHeight="1">
      <c r="B106" s="49"/>
      <c r="C106" s="50"/>
    </row>
    <row r="107" spans="2:3" ht="13.5" customHeight="1">
      <c r="B107" s="49"/>
      <c r="C107" s="50"/>
    </row>
    <row r="108" spans="2:3" ht="13.5" customHeight="1">
      <c r="B108" s="49"/>
      <c r="C108" s="50"/>
    </row>
    <row r="109" spans="2:3" ht="13.5" customHeight="1">
      <c r="B109" s="49"/>
      <c r="C109" s="50"/>
    </row>
    <row r="110" spans="2:3" ht="13.5" customHeight="1">
      <c r="B110" s="49"/>
      <c r="C110" s="50"/>
    </row>
    <row r="111" spans="2:3" ht="13.5" customHeight="1">
      <c r="B111" s="49"/>
      <c r="C111" s="50"/>
    </row>
    <row r="112" spans="2:3" ht="13.5" customHeight="1">
      <c r="B112" s="49"/>
      <c r="C112" s="50"/>
    </row>
    <row r="113" spans="2:3" ht="13.5" customHeight="1">
      <c r="B113" s="49"/>
      <c r="C113" s="50"/>
    </row>
    <row r="114" spans="2:3" ht="13.5" customHeight="1">
      <c r="B114" s="49"/>
      <c r="C114" s="50"/>
    </row>
    <row r="115" spans="2:3" ht="13.5" customHeight="1">
      <c r="B115" s="49"/>
      <c r="C115" s="50"/>
    </row>
    <row r="116" spans="2:3" ht="13.5" customHeight="1">
      <c r="B116" s="49"/>
      <c r="C116" s="50"/>
    </row>
    <row r="117" spans="2:3" ht="13.5" customHeight="1">
      <c r="B117" s="49"/>
      <c r="C117" s="50"/>
    </row>
    <row r="118" spans="2:3" ht="13.5" customHeight="1">
      <c r="B118" s="49"/>
      <c r="C118" s="50"/>
    </row>
    <row r="119" spans="2:3" ht="13.5" customHeight="1">
      <c r="B119" s="49"/>
      <c r="C119" s="50"/>
    </row>
    <row r="120" spans="2:3" ht="13.5" customHeight="1">
      <c r="B120" s="49"/>
      <c r="C120" s="50"/>
    </row>
    <row r="121" spans="2:3" ht="13.5" customHeight="1">
      <c r="B121" s="49"/>
      <c r="C121" s="50"/>
    </row>
    <row r="122" spans="2:3" ht="13.5" customHeight="1">
      <c r="B122" s="49"/>
      <c r="C122" s="50"/>
    </row>
    <row r="123" spans="2:3" ht="13.5" customHeight="1">
      <c r="B123" s="49"/>
      <c r="C123" s="50"/>
    </row>
    <row r="124" spans="2:3" ht="13.5" customHeight="1">
      <c r="B124" s="49"/>
      <c r="C124" s="50"/>
    </row>
    <row r="125" spans="2:3" ht="13.5" customHeight="1">
      <c r="B125" s="49"/>
      <c r="C125" s="50"/>
    </row>
    <row r="126" spans="2:3" ht="13.5" customHeight="1">
      <c r="B126" s="49"/>
      <c r="C126" s="50"/>
    </row>
    <row r="127" spans="2:3" ht="13.5" customHeight="1">
      <c r="B127" s="49"/>
      <c r="C127" s="50"/>
    </row>
    <row r="128" spans="2:3" ht="13.5" customHeight="1">
      <c r="B128" s="49"/>
      <c r="C128" s="50"/>
    </row>
    <row r="129" spans="2:3" ht="13.5" customHeight="1">
      <c r="B129" s="49"/>
      <c r="C129" s="50"/>
    </row>
    <row r="130" spans="2:3" ht="13.5" customHeight="1">
      <c r="B130" s="49"/>
      <c r="C130" s="50"/>
    </row>
    <row r="131" spans="2:3" ht="13.5" customHeight="1">
      <c r="B131" s="49"/>
      <c r="C131" s="50"/>
    </row>
    <row r="132" spans="2:3" ht="13.5" customHeight="1">
      <c r="B132" s="49"/>
      <c r="C132" s="50"/>
    </row>
    <row r="133" spans="2:3" ht="13.5" customHeight="1">
      <c r="B133" s="49"/>
      <c r="C133" s="50"/>
    </row>
    <row r="134" spans="2:3" ht="13.5" customHeight="1">
      <c r="B134" s="49"/>
      <c r="C134" s="50"/>
    </row>
    <row r="135" spans="2:3" ht="13.5" customHeight="1">
      <c r="B135" s="49"/>
      <c r="C135" s="50"/>
    </row>
    <row r="136" spans="2:3" ht="13.5" customHeight="1">
      <c r="B136" s="49"/>
      <c r="C136" s="50"/>
    </row>
    <row r="137" spans="2:3" ht="13.5" customHeight="1">
      <c r="B137" s="49"/>
      <c r="C137" s="50"/>
    </row>
    <row r="138" spans="2:3" ht="13.5" customHeight="1">
      <c r="B138" s="49"/>
      <c r="C138" s="50"/>
    </row>
    <row r="139" spans="2:3" ht="13.5" customHeight="1">
      <c r="B139" s="49"/>
      <c r="C139" s="50"/>
    </row>
    <row r="140" spans="2:3" ht="13.5" customHeight="1">
      <c r="B140" s="49"/>
      <c r="C140" s="50"/>
    </row>
    <row r="141" spans="2:3" ht="13.5" customHeight="1">
      <c r="B141" s="49"/>
      <c r="C141" s="50"/>
    </row>
    <row r="142" spans="2:3" ht="13.5" customHeight="1">
      <c r="B142" s="49"/>
      <c r="C142" s="50"/>
    </row>
    <row r="143" spans="2:3" ht="13.5" customHeight="1">
      <c r="B143" s="49"/>
      <c r="C143" s="50"/>
    </row>
    <row r="144" spans="2:3" ht="13.5" customHeight="1">
      <c r="B144" s="49"/>
      <c r="C144" s="50"/>
    </row>
    <row r="145" spans="2:3" ht="13.5" customHeight="1">
      <c r="B145" s="49"/>
      <c r="C145" s="50"/>
    </row>
    <row r="146" spans="2:3" ht="13.5" customHeight="1">
      <c r="B146" s="49"/>
      <c r="C146" s="50"/>
    </row>
    <row r="147" spans="2:3" ht="13.5" customHeight="1">
      <c r="B147" s="49"/>
      <c r="C147" s="50"/>
    </row>
    <row r="148" spans="2:3" ht="13.5" customHeight="1">
      <c r="B148" s="49"/>
      <c r="C148" s="50"/>
    </row>
    <row r="149" spans="2:3" ht="13.5" customHeight="1">
      <c r="B149" s="49"/>
      <c r="C149" s="50"/>
    </row>
    <row r="150" spans="2:3" ht="13.5" customHeight="1">
      <c r="B150" s="49"/>
      <c r="C150" s="50"/>
    </row>
    <row r="151" spans="2:3" ht="13.5" customHeight="1">
      <c r="B151" s="49"/>
      <c r="C151" s="50"/>
    </row>
    <row r="152" spans="2:3" ht="13.5" customHeight="1">
      <c r="B152" s="49"/>
      <c r="C152" s="50"/>
    </row>
    <row r="153" spans="2:3" ht="13.5" customHeight="1">
      <c r="B153" s="49"/>
      <c r="C153" s="50"/>
    </row>
    <row r="154" spans="2:3" ht="13.5" customHeight="1">
      <c r="B154" s="49"/>
      <c r="C154" s="50"/>
    </row>
    <row r="155" spans="2:3" ht="13.5" customHeight="1">
      <c r="B155" s="49"/>
      <c r="C155" s="50"/>
    </row>
    <row r="156" spans="2:3" ht="13.5" customHeight="1">
      <c r="B156" s="49"/>
      <c r="C156" s="50"/>
    </row>
    <row r="157" spans="2:3" ht="13.5" customHeight="1">
      <c r="B157" s="49"/>
      <c r="C157" s="50"/>
    </row>
    <row r="158" spans="2:3" ht="13.5" customHeight="1">
      <c r="B158" s="49"/>
      <c r="C158" s="50"/>
    </row>
    <row r="159" spans="2:3" ht="13.5" customHeight="1">
      <c r="B159" s="49"/>
      <c r="C159" s="50"/>
    </row>
    <row r="160" spans="2:3" ht="13.5" customHeight="1">
      <c r="B160" s="49"/>
      <c r="C160" s="50"/>
    </row>
    <row r="161" spans="2:3" ht="13.5" customHeight="1">
      <c r="B161" s="49"/>
      <c r="C161" s="50"/>
    </row>
    <row r="162" spans="2:3" ht="13.5" customHeight="1">
      <c r="B162" s="49"/>
      <c r="C162" s="50"/>
    </row>
    <row r="163" spans="2:3" ht="13.5" customHeight="1">
      <c r="B163" s="49"/>
      <c r="C163" s="50"/>
    </row>
    <row r="164" spans="2:3" ht="13.5" customHeight="1">
      <c r="B164" s="49"/>
      <c r="C164" s="50"/>
    </row>
    <row r="165" spans="2:3" ht="13.5" customHeight="1">
      <c r="B165" s="49"/>
      <c r="C165" s="50"/>
    </row>
    <row r="166" spans="2:3" ht="13.5" customHeight="1">
      <c r="B166" s="49"/>
      <c r="C166" s="50"/>
    </row>
    <row r="167" spans="2:3" ht="13.5" customHeight="1">
      <c r="B167" s="49"/>
      <c r="C167" s="50"/>
    </row>
    <row r="168" spans="2:3" ht="13.5" customHeight="1">
      <c r="B168" s="49"/>
      <c r="C168" s="50"/>
    </row>
    <row r="169" spans="2:3" ht="13.5" customHeight="1">
      <c r="B169" s="49"/>
      <c r="C169" s="50"/>
    </row>
    <row r="170" spans="2:3" ht="13.5" customHeight="1">
      <c r="B170" s="49"/>
      <c r="C170" s="50"/>
    </row>
    <row r="171" spans="2:3" ht="13.5" customHeight="1">
      <c r="B171" s="49"/>
      <c r="C171" s="50"/>
    </row>
    <row r="172" spans="2:3" ht="13.5" customHeight="1">
      <c r="B172" s="49"/>
      <c r="C172" s="50"/>
    </row>
    <row r="173" spans="2:3" ht="13.5" customHeight="1">
      <c r="B173" s="49"/>
      <c r="C173" s="50"/>
    </row>
    <row r="174" spans="2:3" ht="13.5" customHeight="1">
      <c r="B174" s="49"/>
      <c r="C174" s="50"/>
    </row>
    <row r="175" spans="2:3" ht="13.5" customHeight="1">
      <c r="B175" s="49"/>
      <c r="C175" s="50"/>
    </row>
    <row r="176" spans="2:3" ht="13.5" customHeight="1">
      <c r="B176" s="49"/>
      <c r="C176" s="50"/>
    </row>
    <row r="177" spans="2:3" ht="13.5" customHeight="1">
      <c r="B177" s="49"/>
      <c r="C177" s="50"/>
    </row>
    <row r="178" spans="2:3" ht="13.5" customHeight="1">
      <c r="B178" s="49"/>
      <c r="C178" s="50"/>
    </row>
    <row r="179" spans="2:3" ht="13.5" customHeight="1">
      <c r="B179" s="49"/>
      <c r="C179" s="50"/>
    </row>
    <row r="180" spans="2:3" ht="13.5" customHeight="1">
      <c r="B180" s="49"/>
      <c r="C180" s="50"/>
    </row>
    <row r="181" spans="2:3" ht="13.5" customHeight="1">
      <c r="B181" s="49"/>
      <c r="C181" s="50"/>
    </row>
    <row r="182" spans="2:3" ht="13.5" customHeight="1">
      <c r="B182" s="49"/>
      <c r="C182" s="50"/>
    </row>
    <row r="183" spans="2:3" ht="13.5" customHeight="1">
      <c r="B183" s="49"/>
      <c r="C183" s="50"/>
    </row>
    <row r="184" spans="2:3" ht="13.5" customHeight="1">
      <c r="B184" s="49"/>
      <c r="C184" s="50"/>
    </row>
    <row r="185" spans="2:3" ht="13.5" customHeight="1">
      <c r="B185" s="49"/>
      <c r="C185" s="50"/>
    </row>
    <row r="186" spans="2:3" ht="13.5" customHeight="1">
      <c r="B186" s="49"/>
      <c r="C186" s="50"/>
    </row>
    <row r="187" spans="2:3" ht="13.5" customHeight="1">
      <c r="B187" s="49"/>
      <c r="C187" s="50"/>
    </row>
    <row r="188" spans="2:3" ht="13.5" customHeight="1">
      <c r="B188" s="49"/>
      <c r="C188" s="50"/>
    </row>
    <row r="189" spans="2:3" ht="13.5" customHeight="1">
      <c r="B189" s="49"/>
      <c r="C189" s="50"/>
    </row>
    <row r="190" spans="2:3" ht="13.5" customHeight="1">
      <c r="B190" s="49"/>
      <c r="C190" s="50"/>
    </row>
    <row r="191" spans="2:3" ht="13.5" customHeight="1">
      <c r="B191" s="49"/>
      <c r="C191" s="50"/>
    </row>
    <row r="192" spans="2:3" ht="13.5" customHeight="1">
      <c r="B192" s="49"/>
      <c r="C192" s="50"/>
    </row>
    <row r="193" spans="2:3" ht="13.5" customHeight="1">
      <c r="B193" s="49"/>
      <c r="C193" s="50"/>
    </row>
    <row r="194" spans="2:3" ht="13.5" customHeight="1">
      <c r="B194" s="49"/>
      <c r="C194" s="50"/>
    </row>
    <row r="195" spans="2:3" ht="13.5" customHeight="1">
      <c r="B195" s="49"/>
      <c r="C195" s="50"/>
    </row>
    <row r="196" spans="2:3" ht="13.5" customHeight="1">
      <c r="B196" s="49"/>
      <c r="C196" s="50"/>
    </row>
    <row r="197" spans="2:3" ht="13.5" customHeight="1">
      <c r="B197" s="49"/>
      <c r="C197" s="50"/>
    </row>
    <row r="198" spans="2:3" ht="13.5" customHeight="1">
      <c r="B198" s="49"/>
      <c r="C198" s="50"/>
    </row>
    <row r="199" spans="2:3" ht="13.5" customHeight="1">
      <c r="B199" s="49"/>
      <c r="C199" s="50"/>
    </row>
    <row r="200" spans="2:3" ht="13.5" customHeight="1">
      <c r="B200" s="49"/>
      <c r="C200" s="50"/>
    </row>
    <row r="201" spans="2:3" ht="13.5" customHeight="1">
      <c r="B201" s="49"/>
      <c r="C201" s="50"/>
    </row>
    <row r="202" spans="2:3" ht="13.5" customHeight="1">
      <c r="B202" s="49"/>
      <c r="C202" s="50"/>
    </row>
    <row r="203" spans="2:3" ht="13.5" customHeight="1">
      <c r="B203" s="49"/>
      <c r="C203" s="50"/>
    </row>
    <row r="204" spans="2:3" ht="13.5" customHeight="1">
      <c r="B204" s="49"/>
      <c r="C204" s="50"/>
    </row>
    <row r="205" spans="2:3" ht="13.5" customHeight="1">
      <c r="B205" s="49"/>
      <c r="C205" s="50"/>
    </row>
    <row r="206" spans="2:3" ht="13.5" customHeight="1">
      <c r="B206" s="49"/>
      <c r="C206" s="50"/>
    </row>
    <row r="207" spans="2:3" ht="13.5" customHeight="1">
      <c r="B207" s="49"/>
      <c r="C207" s="50"/>
    </row>
    <row r="208" spans="2:3" ht="13.5" customHeight="1">
      <c r="B208" s="49"/>
      <c r="C208" s="50"/>
    </row>
    <row r="209" spans="2:3" ht="13.5" customHeight="1">
      <c r="B209" s="49"/>
      <c r="C209" s="50"/>
    </row>
    <row r="210" spans="2:3" ht="13.5" customHeight="1">
      <c r="B210" s="49"/>
      <c r="C210" s="50"/>
    </row>
    <row r="211" spans="2:3" ht="13.5" customHeight="1">
      <c r="B211" s="49"/>
      <c r="C211" s="50"/>
    </row>
    <row r="212" spans="2:3" ht="13.5" customHeight="1">
      <c r="B212" s="49"/>
      <c r="C212" s="50"/>
    </row>
    <row r="213" spans="2:3" ht="13.5" customHeight="1">
      <c r="B213" s="49"/>
      <c r="C213" s="50"/>
    </row>
    <row r="214" spans="2:3" ht="13.5" customHeight="1">
      <c r="B214" s="49"/>
      <c r="C214" s="50"/>
    </row>
    <row r="215" spans="2:3" ht="13.5" customHeight="1">
      <c r="B215" s="49"/>
      <c r="C215" s="50"/>
    </row>
    <row r="216" spans="2:3" ht="13.5" customHeight="1">
      <c r="B216" s="49"/>
      <c r="C216" s="50"/>
    </row>
    <row r="217" spans="2:3" ht="13.5" customHeight="1">
      <c r="B217" s="49"/>
      <c r="C217" s="50"/>
    </row>
    <row r="218" spans="2:3" ht="13.5" customHeight="1">
      <c r="B218" s="49"/>
      <c r="C218" s="50"/>
    </row>
    <row r="219" spans="2:3" ht="13.5" customHeight="1">
      <c r="B219" s="49"/>
      <c r="C219" s="50"/>
    </row>
    <row r="220" spans="2:3" ht="13.5" customHeight="1">
      <c r="B220" s="49"/>
      <c r="C220" s="50"/>
    </row>
    <row r="221" spans="2:3" ht="13.5" customHeight="1">
      <c r="B221" s="49"/>
      <c r="C221" s="50"/>
    </row>
    <row r="222" spans="2:3" ht="13.5" customHeight="1">
      <c r="B222" s="49"/>
      <c r="C222" s="50"/>
    </row>
    <row r="223" spans="2:3" ht="13.5" customHeight="1">
      <c r="B223" s="49"/>
      <c r="C223" s="50"/>
    </row>
    <row r="224" spans="2:3" ht="13.5" customHeight="1">
      <c r="B224" s="49"/>
      <c r="C224" s="50"/>
    </row>
    <row r="225" spans="2:3" ht="13.5" customHeight="1">
      <c r="B225" s="49"/>
      <c r="C225" s="50"/>
    </row>
    <row r="226" spans="2:3" ht="13.5" customHeight="1">
      <c r="B226" s="49"/>
      <c r="C226" s="50"/>
    </row>
    <row r="227" spans="2:3" ht="13.5" customHeight="1">
      <c r="B227" s="49"/>
      <c r="C227" s="50"/>
    </row>
    <row r="228" spans="2:3" ht="13.5" customHeight="1">
      <c r="B228" s="49"/>
      <c r="C228" s="50"/>
    </row>
    <row r="229" spans="2:3" ht="13.5" customHeight="1">
      <c r="B229" s="49"/>
      <c r="C229" s="50"/>
    </row>
    <row r="230" spans="2:3" ht="13.5" customHeight="1">
      <c r="B230" s="49"/>
      <c r="C230" s="50"/>
    </row>
    <row r="231" spans="2:3" ht="13.5" customHeight="1">
      <c r="B231" s="49"/>
      <c r="C231" s="50"/>
    </row>
    <row r="232" spans="2:3" ht="13.5" customHeight="1">
      <c r="B232" s="49"/>
      <c r="C232" s="50"/>
    </row>
    <row r="233" spans="2:3" ht="13.5" customHeight="1">
      <c r="B233" s="49"/>
      <c r="C233" s="50"/>
    </row>
    <row r="234" spans="2:3" ht="13.5" customHeight="1">
      <c r="B234" s="49"/>
      <c r="C234" s="50"/>
    </row>
    <row r="235" spans="2:3" ht="13.5" customHeight="1">
      <c r="B235" s="49"/>
      <c r="C235" s="50"/>
    </row>
    <row r="236" spans="2:3" ht="13.5" customHeight="1">
      <c r="B236" s="49"/>
      <c r="C236" s="50"/>
    </row>
    <row r="237" spans="2:3" ht="13.5" customHeight="1">
      <c r="B237" s="49"/>
      <c r="C237" s="50"/>
    </row>
    <row r="238" spans="2:3" ht="13.5" customHeight="1">
      <c r="B238" s="49"/>
      <c r="C238" s="50"/>
    </row>
    <row r="239" spans="2:3" ht="13.5" customHeight="1">
      <c r="B239" s="49"/>
      <c r="C239" s="50"/>
    </row>
    <row r="240" spans="2:3" ht="13.5" customHeight="1">
      <c r="B240" s="49"/>
      <c r="C240" s="50"/>
    </row>
    <row r="241" spans="2:3" ht="13.5" customHeight="1">
      <c r="B241" s="49"/>
      <c r="C241" s="50"/>
    </row>
    <row r="242" spans="2:3" ht="13.5" customHeight="1">
      <c r="B242" s="49"/>
      <c r="C242" s="50"/>
    </row>
    <row r="243" spans="2:3" ht="13.5" customHeight="1">
      <c r="B243" s="49"/>
      <c r="C243" s="50"/>
    </row>
    <row r="244" spans="2:3" ht="13.5" customHeight="1">
      <c r="B244" s="49"/>
      <c r="C244" s="50"/>
    </row>
    <row r="245" spans="2:3" ht="13.5" customHeight="1">
      <c r="B245" s="49"/>
      <c r="C245" s="50"/>
    </row>
    <row r="246" spans="2:3" ht="13.5" customHeight="1">
      <c r="B246" s="49"/>
      <c r="C246" s="50"/>
    </row>
    <row r="247" spans="2:3" ht="13.5" customHeight="1">
      <c r="B247" s="49"/>
      <c r="C247" s="50"/>
    </row>
    <row r="248" spans="2:3" ht="13.5" customHeight="1">
      <c r="B248" s="49"/>
      <c r="C248" s="50"/>
    </row>
    <row r="249" spans="2:3" ht="13.5" customHeight="1">
      <c r="B249" s="49"/>
      <c r="C249" s="50"/>
    </row>
    <row r="250" spans="2:3" ht="13.5" customHeight="1">
      <c r="B250" s="49"/>
      <c r="C250" s="50"/>
    </row>
    <row r="251" spans="2:3" ht="13.5" customHeight="1">
      <c r="B251" s="49"/>
      <c r="C251" s="50"/>
    </row>
    <row r="252" spans="2:3" ht="13.5" customHeight="1">
      <c r="B252" s="49"/>
      <c r="C252" s="50"/>
    </row>
    <row r="253" spans="2:3" ht="13.5" customHeight="1">
      <c r="B253" s="49"/>
      <c r="C253" s="50"/>
    </row>
    <row r="254" spans="2:3" ht="13.5" customHeight="1">
      <c r="B254" s="49"/>
      <c r="C254" s="50"/>
    </row>
    <row r="255" spans="2:3" ht="13.5" customHeight="1">
      <c r="B255" s="49"/>
      <c r="C255" s="50"/>
    </row>
    <row r="256" spans="2:3" ht="13.5" customHeight="1">
      <c r="B256" s="49"/>
      <c r="C256" s="50"/>
    </row>
    <row r="257" spans="2:3" ht="13.5" customHeight="1">
      <c r="B257" s="49"/>
      <c r="C257" s="50"/>
    </row>
    <row r="258" spans="2:3" ht="13.5" customHeight="1">
      <c r="B258" s="49"/>
      <c r="C258" s="50"/>
    </row>
    <row r="259" spans="2:3" ht="13.5" customHeight="1">
      <c r="B259" s="49"/>
      <c r="C259" s="50"/>
    </row>
    <row r="260" spans="2:3" ht="13.5" customHeight="1">
      <c r="B260" s="49"/>
      <c r="C260" s="50"/>
    </row>
    <row r="261" spans="2:3" ht="13.5" customHeight="1">
      <c r="B261" s="49"/>
      <c r="C261" s="50"/>
    </row>
    <row r="262" spans="2:3" ht="13.5" customHeight="1">
      <c r="B262" s="49"/>
      <c r="C262" s="50"/>
    </row>
    <row r="263" spans="2:3" ht="13.5" customHeight="1">
      <c r="B263" s="49"/>
      <c r="C263" s="50"/>
    </row>
    <row r="264" spans="2:3" ht="13.5" customHeight="1">
      <c r="B264" s="49"/>
      <c r="C264" s="50"/>
    </row>
    <row r="265" spans="2:3" ht="13.5" customHeight="1">
      <c r="B265" s="49"/>
      <c r="C265" s="50"/>
    </row>
    <row r="266" spans="2:3" ht="13.5" customHeight="1">
      <c r="B266" s="49"/>
      <c r="C266" s="50"/>
    </row>
    <row r="267" spans="2:3" ht="13.5" customHeight="1">
      <c r="B267" s="49"/>
      <c r="C267" s="50"/>
    </row>
    <row r="268" spans="2:3" ht="13.5" customHeight="1">
      <c r="B268" s="49"/>
      <c r="C268" s="50"/>
    </row>
    <row r="269" spans="2:3" ht="13.5" customHeight="1">
      <c r="B269" s="49"/>
      <c r="C269" s="50"/>
    </row>
    <row r="270" spans="2:3" ht="13.5" customHeight="1">
      <c r="B270" s="49"/>
      <c r="C270" s="50"/>
    </row>
    <row r="271" spans="2:3" ht="13.5" customHeight="1">
      <c r="B271" s="49"/>
      <c r="C271" s="50"/>
    </row>
    <row r="272" spans="2:3" ht="13.5" customHeight="1">
      <c r="B272" s="49"/>
      <c r="C272" s="50"/>
    </row>
    <row r="273" spans="2:3" ht="13.5" customHeight="1">
      <c r="B273" s="49"/>
      <c r="C273" s="50"/>
    </row>
    <row r="274" spans="2:3" ht="13.5" customHeight="1">
      <c r="B274" s="49"/>
      <c r="C274" s="50"/>
    </row>
    <row r="275" spans="2:3" ht="13.5" customHeight="1">
      <c r="B275" s="49"/>
      <c r="C275" s="50"/>
    </row>
    <row r="276" spans="2:3" ht="13.5" customHeight="1">
      <c r="B276" s="49"/>
      <c r="C276" s="50"/>
    </row>
    <row r="277" spans="2:3" ht="13.5" customHeight="1">
      <c r="B277" s="49"/>
      <c r="C277" s="50"/>
    </row>
    <row r="278" spans="2:3" ht="13.5" customHeight="1">
      <c r="B278" s="49"/>
      <c r="C278" s="50"/>
    </row>
    <row r="279" spans="2:3" ht="13.5" customHeight="1">
      <c r="B279" s="49"/>
      <c r="C279" s="50"/>
    </row>
    <row r="280" spans="2:3" ht="13.5" customHeight="1">
      <c r="B280" s="49"/>
      <c r="C280" s="50"/>
    </row>
    <row r="281" spans="2:3" ht="13.5" customHeight="1">
      <c r="B281" s="49"/>
      <c r="C281" s="50"/>
    </row>
    <row r="282" spans="2:3" ht="13.5" customHeight="1">
      <c r="B282" s="49"/>
      <c r="C282" s="50"/>
    </row>
    <row r="283" spans="2:3" ht="13.5" customHeight="1">
      <c r="B283" s="49"/>
      <c r="C283" s="50"/>
    </row>
    <row r="284" spans="2:3" ht="13.5" customHeight="1">
      <c r="B284" s="49"/>
      <c r="C284" s="50"/>
    </row>
    <row r="285" spans="2:3" ht="13.5" customHeight="1">
      <c r="B285" s="49"/>
      <c r="C285" s="50"/>
    </row>
    <row r="286" spans="2:3" ht="13.5" customHeight="1">
      <c r="B286" s="49"/>
      <c r="C286" s="50"/>
    </row>
    <row r="287" spans="2:3" ht="13.5" customHeight="1">
      <c r="B287" s="49"/>
      <c r="C287" s="50"/>
    </row>
    <row r="288" spans="2:3" ht="13.5" customHeight="1">
      <c r="B288" s="49"/>
      <c r="C288" s="50"/>
    </row>
    <row r="289" spans="2:3" ht="13.5" customHeight="1">
      <c r="B289" s="49"/>
      <c r="C289" s="50"/>
    </row>
    <row r="290" spans="2:3" ht="13.5" customHeight="1">
      <c r="B290" s="49"/>
      <c r="C290" s="50"/>
    </row>
    <row r="291" spans="2:3" ht="13.5" customHeight="1">
      <c r="B291" s="49"/>
      <c r="C291" s="50"/>
    </row>
    <row r="292" spans="2:3" ht="13.5" customHeight="1">
      <c r="B292" s="49"/>
      <c r="C292" s="50"/>
    </row>
    <row r="293" spans="2:3" ht="13.5" customHeight="1">
      <c r="B293" s="49"/>
      <c r="C293" s="50"/>
    </row>
    <row r="294" spans="2:3" ht="13.5" customHeight="1">
      <c r="B294" s="49"/>
      <c r="C294" s="50"/>
    </row>
    <row r="295" spans="2:3" ht="13.5" customHeight="1">
      <c r="B295" s="49"/>
      <c r="C295" s="50"/>
    </row>
    <row r="296" spans="2:3" ht="13.5" customHeight="1">
      <c r="B296" s="49"/>
      <c r="C296" s="50"/>
    </row>
    <row r="297" spans="2:3" ht="13.5" customHeight="1">
      <c r="B297" s="49"/>
      <c r="C297" s="50"/>
    </row>
    <row r="298" spans="2:3" ht="13.5" customHeight="1">
      <c r="B298" s="49"/>
      <c r="C298" s="50"/>
    </row>
    <row r="299" spans="2:3" ht="13.5" customHeight="1">
      <c r="B299" s="49"/>
      <c r="C299" s="50"/>
    </row>
    <row r="300" spans="2:3" ht="13.5" customHeight="1">
      <c r="B300" s="49"/>
      <c r="C300" s="50"/>
    </row>
    <row r="301" spans="2:3" ht="13.5" customHeight="1">
      <c r="B301" s="49"/>
      <c r="C301" s="50"/>
    </row>
    <row r="302" spans="2:3" ht="13.5" customHeight="1">
      <c r="B302" s="49"/>
      <c r="C302" s="50"/>
    </row>
    <row r="303" spans="2:3" ht="13.5" customHeight="1">
      <c r="B303" s="49"/>
      <c r="C303" s="50"/>
    </row>
    <row r="304" spans="2:3" ht="13.5" customHeight="1">
      <c r="B304" s="49"/>
      <c r="C304" s="50"/>
    </row>
    <row r="305" spans="2:3" ht="13.5" customHeight="1">
      <c r="B305" s="49"/>
      <c r="C305" s="50"/>
    </row>
    <row r="306" spans="2:3" ht="13.5" customHeight="1">
      <c r="B306" s="49"/>
      <c r="C306" s="50"/>
    </row>
    <row r="307" spans="2:3" ht="13.5" customHeight="1">
      <c r="B307" s="49"/>
      <c r="C307" s="50"/>
    </row>
    <row r="308" spans="2:3" ht="13.5" customHeight="1">
      <c r="B308" s="49"/>
      <c r="C308" s="50"/>
    </row>
    <row r="309" spans="2:3" ht="13.5" customHeight="1">
      <c r="B309" s="49"/>
      <c r="C309" s="50"/>
    </row>
    <row r="310" spans="2:3" ht="13.5" customHeight="1">
      <c r="B310" s="49"/>
      <c r="C310" s="50"/>
    </row>
    <row r="311" spans="2:3" ht="13.5" customHeight="1">
      <c r="B311" s="49"/>
      <c r="C311" s="50"/>
    </row>
    <row r="312" spans="2:3" ht="13.5" customHeight="1">
      <c r="B312" s="49"/>
      <c r="C312" s="50"/>
    </row>
    <row r="313" spans="2:3" ht="13.5" customHeight="1">
      <c r="B313" s="49"/>
      <c r="C313" s="50"/>
    </row>
    <row r="314" spans="2:3" ht="13.5" customHeight="1">
      <c r="B314" s="49"/>
      <c r="C314" s="50"/>
    </row>
    <row r="315" spans="2:3" ht="13.5" customHeight="1">
      <c r="B315" s="49"/>
      <c r="C315" s="50"/>
    </row>
    <row r="316" spans="2:3" ht="13.5" customHeight="1">
      <c r="B316" s="49"/>
      <c r="C316" s="50"/>
    </row>
    <row r="317" spans="2:3" ht="13.5" customHeight="1">
      <c r="B317" s="49"/>
      <c r="C317" s="50"/>
    </row>
    <row r="318" spans="2:3" ht="13.5" customHeight="1">
      <c r="B318" s="49"/>
      <c r="C318" s="50"/>
    </row>
    <row r="319" spans="2:3" ht="13.5" customHeight="1">
      <c r="B319" s="49"/>
      <c r="C319" s="50"/>
    </row>
    <row r="320" spans="2:3" ht="13.5" customHeight="1">
      <c r="B320" s="49"/>
      <c r="C320" s="50"/>
    </row>
    <row r="321" spans="2:3" ht="13.5" customHeight="1">
      <c r="B321" s="49"/>
      <c r="C321" s="50"/>
    </row>
    <row r="322" spans="2:3" ht="13.5" customHeight="1">
      <c r="B322" s="49"/>
      <c r="C322" s="50"/>
    </row>
    <row r="323" spans="2:3" ht="13.5" customHeight="1">
      <c r="B323" s="49"/>
      <c r="C323" s="50"/>
    </row>
    <row r="324" spans="2:3" ht="13.5" customHeight="1">
      <c r="B324" s="49"/>
      <c r="C324" s="50"/>
    </row>
    <row r="325" spans="2:3" ht="13.5" customHeight="1">
      <c r="B325" s="49"/>
      <c r="C325" s="50"/>
    </row>
    <row r="326" spans="2:3" ht="13.5" customHeight="1">
      <c r="B326" s="49"/>
      <c r="C326" s="50"/>
    </row>
    <row r="327" spans="2:3" ht="13.5" customHeight="1">
      <c r="B327" s="49"/>
      <c r="C327" s="50"/>
    </row>
    <row r="328" spans="2:3" ht="13.5" customHeight="1">
      <c r="B328" s="49"/>
      <c r="C328" s="50"/>
    </row>
    <row r="329" spans="2:3" ht="13.5" customHeight="1">
      <c r="B329" s="49"/>
      <c r="C329" s="50"/>
    </row>
    <row r="330" spans="2:3" ht="13.5" customHeight="1">
      <c r="B330" s="49"/>
      <c r="C330" s="50"/>
    </row>
    <row r="331" spans="2:3" ht="13.5" customHeight="1">
      <c r="B331" s="49"/>
      <c r="C331" s="50"/>
    </row>
    <row r="332" spans="2:3" ht="13.5" customHeight="1">
      <c r="B332" s="49"/>
      <c r="C332" s="50"/>
    </row>
    <row r="333" spans="2:3" ht="13.5" customHeight="1">
      <c r="B333" s="49"/>
      <c r="C333" s="50"/>
    </row>
    <row r="334" spans="2:3" ht="13.5" customHeight="1">
      <c r="B334" s="49"/>
      <c r="C334" s="50"/>
    </row>
    <row r="335" spans="2:3" ht="13.5" customHeight="1">
      <c r="B335" s="49"/>
      <c r="C335" s="50"/>
    </row>
    <row r="336" spans="2:3" ht="13.5" customHeight="1">
      <c r="B336" s="49"/>
      <c r="C336" s="50"/>
    </row>
    <row r="337" spans="2:3" ht="13.5" customHeight="1">
      <c r="B337" s="49"/>
      <c r="C337" s="50"/>
    </row>
    <row r="338" spans="2:3" ht="13.5" customHeight="1">
      <c r="B338" s="49"/>
      <c r="C338" s="50"/>
    </row>
    <row r="339" spans="2:3" ht="13.5" customHeight="1">
      <c r="B339" s="49"/>
      <c r="C339" s="50"/>
    </row>
    <row r="340" spans="2:3" ht="13.5" customHeight="1">
      <c r="B340" s="49"/>
      <c r="C340" s="50"/>
    </row>
    <row r="341" spans="2:3" ht="13.5" customHeight="1">
      <c r="B341" s="49"/>
      <c r="C341" s="50"/>
    </row>
    <row r="342" spans="2:3" ht="13.5" customHeight="1">
      <c r="B342" s="49"/>
      <c r="C342" s="50"/>
    </row>
    <row r="343" spans="2:3" ht="13.5" customHeight="1">
      <c r="B343" s="49"/>
      <c r="C343" s="50"/>
    </row>
    <row r="344" spans="2:3" ht="13.5" customHeight="1">
      <c r="B344" s="49"/>
      <c r="C344" s="50"/>
    </row>
    <row r="345" spans="2:3" ht="13.5" customHeight="1">
      <c r="B345" s="49"/>
      <c r="C345" s="50"/>
    </row>
    <row r="346" spans="2:3" ht="13.5" customHeight="1">
      <c r="B346" s="49"/>
      <c r="C346" s="50"/>
    </row>
    <row r="347" spans="2:3" ht="13.5" customHeight="1">
      <c r="B347" s="49"/>
      <c r="C347" s="50"/>
    </row>
    <row r="348" spans="2:3" ht="13.5" customHeight="1">
      <c r="B348" s="49"/>
      <c r="C348" s="50"/>
    </row>
    <row r="349" spans="2:3" ht="13.5" customHeight="1">
      <c r="B349" s="49"/>
      <c r="C349" s="50"/>
    </row>
    <row r="350" spans="2:3" ht="13.5" customHeight="1">
      <c r="B350" s="49"/>
      <c r="C350" s="50"/>
    </row>
    <row r="351" spans="2:3" ht="13.5" customHeight="1">
      <c r="B351" s="49"/>
      <c r="C351" s="50"/>
    </row>
    <row r="352" spans="2:3" ht="13.5" customHeight="1">
      <c r="B352" s="49"/>
      <c r="C352" s="50"/>
    </row>
    <row r="353" spans="2:3" ht="13.5" customHeight="1">
      <c r="B353" s="49"/>
      <c r="C353" s="50"/>
    </row>
    <row r="354" spans="2:3" ht="13.5" customHeight="1">
      <c r="B354" s="49"/>
      <c r="C354" s="50"/>
    </row>
    <row r="355" spans="2:3" ht="13.5" customHeight="1">
      <c r="B355" s="49"/>
      <c r="C355" s="50"/>
    </row>
    <row r="356" spans="2:3" ht="13.5" customHeight="1">
      <c r="B356" s="49"/>
      <c r="C356" s="50"/>
    </row>
    <row r="357" spans="2:3" ht="13.5" customHeight="1">
      <c r="B357" s="49"/>
      <c r="C357" s="50"/>
    </row>
    <row r="358" spans="2:3" ht="13.5" customHeight="1">
      <c r="B358" s="49"/>
      <c r="C358" s="50"/>
    </row>
    <row r="359" spans="2:3" ht="13.5" customHeight="1">
      <c r="B359" s="49"/>
      <c r="C359" s="50"/>
    </row>
    <row r="360" spans="2:3" ht="13.5" customHeight="1">
      <c r="B360" s="49"/>
      <c r="C360" s="50"/>
    </row>
    <row r="361" spans="2:3" ht="13.5" customHeight="1">
      <c r="B361" s="49"/>
      <c r="C361" s="50"/>
    </row>
    <row r="362" spans="2:3" ht="13.5" customHeight="1">
      <c r="B362" s="49"/>
      <c r="C362" s="50"/>
    </row>
    <row r="363" spans="2:3" ht="13.5" customHeight="1">
      <c r="B363" s="49"/>
      <c r="C363" s="50"/>
    </row>
    <row r="364" spans="2:3" ht="13.5" customHeight="1">
      <c r="B364" s="49"/>
      <c r="C364" s="50"/>
    </row>
    <row r="365" spans="2:3" ht="13.5" customHeight="1">
      <c r="B365" s="49"/>
      <c r="C365" s="50"/>
    </row>
    <row r="366" spans="2:3" ht="13.5" customHeight="1">
      <c r="B366" s="49"/>
      <c r="C366" s="50"/>
    </row>
    <row r="367" spans="2:3" ht="13.5" customHeight="1">
      <c r="B367" s="49"/>
      <c r="C367" s="50"/>
    </row>
    <row r="368" spans="2:3" ht="13.5" customHeight="1">
      <c r="B368" s="49"/>
      <c r="C368" s="50"/>
    </row>
    <row r="369" spans="2:3" ht="13.5" customHeight="1">
      <c r="B369" s="49"/>
      <c r="C369" s="50"/>
    </row>
    <row r="370" spans="2:3" ht="13.5" customHeight="1">
      <c r="B370" s="49"/>
      <c r="C370" s="50"/>
    </row>
    <row r="371" spans="2:3" ht="13.5" customHeight="1">
      <c r="B371" s="49"/>
      <c r="C371" s="50"/>
    </row>
    <row r="372" spans="2:3" ht="13.5" customHeight="1">
      <c r="B372" s="49"/>
      <c r="C372" s="50"/>
    </row>
    <row r="373" spans="2:3" ht="13.5" customHeight="1">
      <c r="B373" s="49"/>
      <c r="C373" s="50"/>
    </row>
    <row r="374" spans="2:3" ht="13.5" customHeight="1">
      <c r="B374" s="49"/>
      <c r="C374" s="50"/>
    </row>
    <row r="375" spans="2:3" ht="13.5" customHeight="1">
      <c r="B375" s="49"/>
      <c r="C375" s="50"/>
    </row>
    <row r="376" spans="2:3" ht="13.5" customHeight="1">
      <c r="B376" s="49"/>
      <c r="C376" s="50"/>
    </row>
    <row r="377" spans="2:3" ht="13.5" customHeight="1">
      <c r="B377" s="49"/>
      <c r="C377" s="50"/>
    </row>
    <row r="378" spans="2:3" ht="13.5" customHeight="1">
      <c r="B378" s="49"/>
      <c r="C378" s="50"/>
    </row>
    <row r="379" spans="2:3" ht="13.5" customHeight="1">
      <c r="B379" s="49"/>
      <c r="C379" s="50"/>
    </row>
    <row r="380" spans="2:3" ht="13.5" customHeight="1">
      <c r="B380" s="49"/>
      <c r="C380" s="50"/>
    </row>
    <row r="381" spans="2:3" ht="13.5" customHeight="1">
      <c r="B381" s="49"/>
      <c r="C381" s="50"/>
    </row>
    <row r="382" spans="2:3" ht="13.5" customHeight="1">
      <c r="B382" s="49"/>
      <c r="C382" s="50"/>
    </row>
    <row r="383" spans="2:3" ht="13.5" customHeight="1">
      <c r="B383" s="49"/>
      <c r="C383" s="50"/>
    </row>
    <row r="384" spans="2:3" ht="13.5" customHeight="1">
      <c r="B384" s="49"/>
      <c r="C384" s="50"/>
    </row>
    <row r="385" spans="2:3" ht="13.5" customHeight="1">
      <c r="B385" s="49"/>
      <c r="C385" s="50"/>
    </row>
    <row r="386" spans="2:3" ht="13.5" customHeight="1">
      <c r="B386" s="49"/>
      <c r="C386" s="50"/>
    </row>
    <row r="387" spans="2:3" ht="13.5" customHeight="1">
      <c r="B387" s="49"/>
      <c r="C387" s="50"/>
    </row>
    <row r="388" spans="2:3" ht="13.5" customHeight="1">
      <c r="B388" s="49"/>
      <c r="C388" s="50"/>
    </row>
    <row r="389" spans="2:3" ht="13.5" customHeight="1">
      <c r="B389" s="49"/>
      <c r="C389" s="50"/>
    </row>
    <row r="390" spans="2:3" ht="13.5" customHeight="1">
      <c r="B390" s="49"/>
      <c r="C390" s="50"/>
    </row>
    <row r="391" spans="2:3" ht="13.5" customHeight="1">
      <c r="B391" s="49"/>
      <c r="C391" s="50"/>
    </row>
    <row r="392" spans="2:3" ht="13.5" customHeight="1">
      <c r="B392" s="49"/>
      <c r="C392" s="50"/>
    </row>
    <row r="393" spans="2:3" ht="13.5" customHeight="1">
      <c r="B393" s="49"/>
      <c r="C393" s="50"/>
    </row>
    <row r="394" spans="2:3" ht="13.5" customHeight="1">
      <c r="B394" s="49"/>
      <c r="C394" s="50"/>
    </row>
    <row r="395" spans="2:3" ht="13.5" customHeight="1">
      <c r="B395" s="49"/>
      <c r="C395" s="50"/>
    </row>
    <row r="396" spans="2:3" ht="13.5" customHeight="1">
      <c r="B396" s="49"/>
      <c r="C396" s="50"/>
    </row>
    <row r="397" spans="2:3" ht="13.5" customHeight="1">
      <c r="B397" s="49"/>
      <c r="C397" s="50"/>
    </row>
    <row r="398" spans="2:3" ht="13.5" customHeight="1">
      <c r="B398" s="49"/>
      <c r="C398" s="50"/>
    </row>
    <row r="399" spans="2:3" ht="13.5" customHeight="1">
      <c r="B399" s="49"/>
      <c r="C399" s="50"/>
    </row>
    <row r="400" spans="2:3" ht="13.5" customHeight="1">
      <c r="B400" s="49"/>
      <c r="C400" s="50"/>
    </row>
    <row r="401" spans="2:3" ht="13.5" customHeight="1">
      <c r="B401" s="49"/>
      <c r="C401" s="50"/>
    </row>
    <row r="402" spans="2:3" ht="13.5" customHeight="1">
      <c r="B402" s="49"/>
      <c r="C402" s="50"/>
    </row>
    <row r="403" spans="2:3" ht="13.5" customHeight="1">
      <c r="B403" s="49"/>
      <c r="C403" s="50"/>
    </row>
    <row r="404" spans="2:3" ht="13.5" customHeight="1">
      <c r="B404" s="49"/>
      <c r="C404" s="50"/>
    </row>
    <row r="405" spans="2:3" ht="13.5" customHeight="1">
      <c r="B405" s="49"/>
      <c r="C405" s="50"/>
    </row>
    <row r="406" spans="2:3" ht="13.5" customHeight="1">
      <c r="B406" s="49"/>
      <c r="C406" s="50"/>
    </row>
    <row r="407" spans="2:3" ht="13.5" customHeight="1">
      <c r="B407" s="49"/>
      <c r="C407" s="50"/>
    </row>
    <row r="408" spans="2:3" ht="13.5" customHeight="1">
      <c r="B408" s="49"/>
      <c r="C408" s="50"/>
    </row>
    <row r="409" spans="2:3" ht="13.5" customHeight="1">
      <c r="B409" s="49"/>
      <c r="C409" s="50"/>
    </row>
    <row r="410" spans="2:3" ht="13.5" customHeight="1">
      <c r="B410" s="49"/>
      <c r="C410" s="50"/>
    </row>
    <row r="411" spans="2:3" ht="13.5" customHeight="1">
      <c r="B411" s="49"/>
      <c r="C411" s="50"/>
    </row>
    <row r="412" spans="2:3" ht="13.5" customHeight="1">
      <c r="B412" s="49"/>
      <c r="C412" s="50"/>
    </row>
    <row r="413" spans="2:3" ht="13.5" customHeight="1">
      <c r="B413" s="49"/>
      <c r="C413" s="50"/>
    </row>
    <row r="414" spans="2:3" ht="13.5" customHeight="1">
      <c r="B414" s="49"/>
      <c r="C414" s="50"/>
    </row>
    <row r="415" spans="2:3" ht="13.5" customHeight="1">
      <c r="B415" s="49"/>
      <c r="C415" s="50"/>
    </row>
    <row r="416" spans="2:3" ht="13.5" customHeight="1">
      <c r="B416" s="49"/>
      <c r="C416" s="50"/>
    </row>
    <row r="417" spans="2:3" ht="13.5" customHeight="1">
      <c r="B417" s="49"/>
      <c r="C417" s="50"/>
    </row>
    <row r="418" spans="2:3" ht="13.5" customHeight="1">
      <c r="B418" s="49"/>
      <c r="C418" s="50"/>
    </row>
    <row r="419" spans="2:3" ht="13.5" customHeight="1">
      <c r="B419" s="49"/>
      <c r="C419" s="50"/>
    </row>
    <row r="420" spans="2:3" ht="13.5" customHeight="1">
      <c r="B420" s="49"/>
      <c r="C420" s="50"/>
    </row>
    <row r="421" spans="2:3" ht="13.5" customHeight="1">
      <c r="B421" s="49"/>
      <c r="C421" s="50"/>
    </row>
    <row r="422" spans="2:3" ht="13.5" customHeight="1">
      <c r="B422" s="49"/>
      <c r="C422" s="50"/>
    </row>
    <row r="423" spans="2:3" ht="13.5" customHeight="1">
      <c r="B423" s="49"/>
      <c r="C423" s="50"/>
    </row>
    <row r="424" spans="2:3" ht="13.5" customHeight="1">
      <c r="B424" s="49"/>
      <c r="C424" s="50"/>
    </row>
    <row r="425" spans="2:3" ht="13.5" customHeight="1">
      <c r="B425" s="49"/>
      <c r="C425" s="50"/>
    </row>
    <row r="426" spans="2:3" ht="13.5" customHeight="1">
      <c r="B426" s="49"/>
      <c r="C426" s="50"/>
    </row>
    <row r="427" spans="2:3" ht="13.5" customHeight="1">
      <c r="B427" s="49"/>
      <c r="C427" s="50"/>
    </row>
    <row r="428" spans="2:3" ht="13.5" customHeight="1">
      <c r="B428" s="49"/>
      <c r="C428" s="50"/>
    </row>
    <row r="429" spans="2:3" ht="13.5" customHeight="1">
      <c r="B429" s="49"/>
      <c r="C429" s="50"/>
    </row>
    <row r="430" spans="2:3" ht="13.5" customHeight="1">
      <c r="B430" s="49"/>
      <c r="C430" s="50"/>
    </row>
    <row r="431" spans="2:3" ht="13.5" customHeight="1">
      <c r="B431" s="49"/>
      <c r="C431" s="50"/>
    </row>
    <row r="432" spans="2:3" ht="13.5" customHeight="1">
      <c r="B432" s="49"/>
      <c r="C432" s="50"/>
    </row>
    <row r="433" spans="2:3" ht="13.5" customHeight="1">
      <c r="B433" s="49"/>
      <c r="C433" s="50"/>
    </row>
    <row r="434" spans="2:3" ht="13.5" customHeight="1">
      <c r="B434" s="49"/>
      <c r="C434" s="50"/>
    </row>
    <row r="435" spans="2:3" ht="13.5" customHeight="1">
      <c r="B435" s="49"/>
      <c r="C435" s="50"/>
    </row>
    <row r="436" spans="2:3" ht="13.5" customHeight="1">
      <c r="B436" s="49"/>
      <c r="C436" s="50"/>
    </row>
    <row r="437" spans="2:3" ht="13.5" customHeight="1">
      <c r="B437" s="49"/>
      <c r="C437" s="50"/>
    </row>
    <row r="438" spans="2:3" ht="13.5" customHeight="1">
      <c r="B438" s="49"/>
      <c r="C438" s="50"/>
    </row>
    <row r="439" spans="2:3" ht="13.5" customHeight="1">
      <c r="B439" s="49"/>
      <c r="C439" s="50"/>
    </row>
    <row r="440" spans="2:3" ht="13.5" customHeight="1">
      <c r="B440" s="49"/>
      <c r="C440" s="50"/>
    </row>
    <row r="441" spans="2:3" ht="13.5" customHeight="1">
      <c r="B441" s="49"/>
      <c r="C441" s="50"/>
    </row>
    <row r="442" spans="2:3" ht="13.5" customHeight="1">
      <c r="B442" s="49"/>
      <c r="C442" s="50"/>
    </row>
    <row r="443" spans="2:3" ht="13.5" customHeight="1">
      <c r="B443" s="49"/>
      <c r="C443" s="50"/>
    </row>
    <row r="444" spans="2:3" ht="13.5" customHeight="1">
      <c r="B444" s="49"/>
      <c r="C444" s="50"/>
    </row>
    <row r="445" spans="2:3" ht="13.5" customHeight="1">
      <c r="B445" s="49"/>
      <c r="C445" s="50"/>
    </row>
    <row r="446" spans="2:3" ht="13.5" customHeight="1">
      <c r="B446" s="49"/>
      <c r="C446" s="50"/>
    </row>
    <row r="447" spans="2:3" ht="13.5" customHeight="1">
      <c r="B447" s="49"/>
      <c r="C447" s="50"/>
    </row>
    <row r="448" spans="2:3" ht="13.5" customHeight="1">
      <c r="B448" s="49"/>
      <c r="C448" s="50"/>
    </row>
    <row r="449" spans="2:3" ht="13.5" customHeight="1">
      <c r="B449" s="49"/>
      <c r="C449" s="50"/>
    </row>
    <row r="450" spans="2:3" ht="13.5" customHeight="1">
      <c r="B450" s="49"/>
      <c r="C450" s="50"/>
    </row>
    <row r="451" spans="2:3" ht="13.5" customHeight="1">
      <c r="B451" s="49"/>
      <c r="C451" s="50"/>
    </row>
    <row r="452" spans="2:3" ht="13.5" customHeight="1">
      <c r="B452" s="49"/>
      <c r="C452" s="50"/>
    </row>
    <row r="453" spans="2:3" ht="13.5" customHeight="1">
      <c r="B453" s="49"/>
      <c r="C453" s="50"/>
    </row>
    <row r="454" spans="2:3" ht="13.5" customHeight="1">
      <c r="B454" s="49"/>
      <c r="C454" s="50"/>
    </row>
    <row r="455" spans="2:3" ht="13.5" customHeight="1">
      <c r="B455" s="49"/>
      <c r="C455" s="50"/>
    </row>
    <row r="456" spans="2:3" ht="13.5" customHeight="1">
      <c r="B456" s="49"/>
      <c r="C456" s="50"/>
    </row>
    <row r="457" spans="2:3" ht="13.5" customHeight="1">
      <c r="B457" s="49"/>
      <c r="C457" s="50"/>
    </row>
    <row r="458" spans="2:3" ht="13.5" customHeight="1">
      <c r="B458" s="49"/>
      <c r="C458" s="50"/>
    </row>
    <row r="459" spans="2:3" ht="13.5" customHeight="1">
      <c r="B459" s="49"/>
      <c r="C459" s="50"/>
    </row>
    <row r="460" spans="2:3" ht="13.5" customHeight="1">
      <c r="B460" s="49"/>
      <c r="C460" s="50"/>
    </row>
    <row r="461" spans="2:3" ht="13.5" customHeight="1">
      <c r="B461" s="49"/>
      <c r="C461" s="50"/>
    </row>
    <row r="462" spans="2:3" ht="13.5" customHeight="1">
      <c r="B462" s="49"/>
      <c r="C462" s="50"/>
    </row>
    <row r="463" spans="2:3" ht="13.5" customHeight="1">
      <c r="B463" s="49"/>
      <c r="C463" s="50"/>
    </row>
    <row r="464" spans="2:3" ht="13.5" customHeight="1">
      <c r="B464" s="49"/>
      <c r="C464" s="50"/>
    </row>
    <row r="465" spans="2:3" ht="13.5" customHeight="1">
      <c r="B465" s="49"/>
      <c r="C465" s="50"/>
    </row>
    <row r="466" spans="2:3" ht="13.5" customHeight="1">
      <c r="B466" s="49"/>
      <c r="C466" s="50"/>
    </row>
    <row r="467" spans="2:3" ht="13.5" customHeight="1">
      <c r="B467" s="49"/>
      <c r="C467" s="50"/>
    </row>
    <row r="468" spans="2:3" ht="13.5" customHeight="1">
      <c r="B468" s="49"/>
      <c r="C468" s="50"/>
    </row>
    <row r="469" spans="2:3" ht="13.5" customHeight="1">
      <c r="B469" s="49"/>
      <c r="C469" s="50"/>
    </row>
    <row r="470" spans="2:3" ht="13.5" customHeight="1">
      <c r="B470" s="49"/>
      <c r="C470" s="50"/>
    </row>
    <row r="471" spans="2:3" ht="13.5" customHeight="1">
      <c r="B471" s="49"/>
      <c r="C471" s="50"/>
    </row>
    <row r="472" spans="2:3" ht="13.5" customHeight="1">
      <c r="B472" s="49"/>
      <c r="C472" s="50"/>
    </row>
    <row r="473" spans="2:3" ht="13.5" customHeight="1">
      <c r="B473" s="49"/>
      <c r="C473" s="50"/>
    </row>
    <row r="474" spans="2:3" ht="13.5" customHeight="1">
      <c r="B474" s="49"/>
      <c r="C474" s="50"/>
    </row>
    <row r="475" spans="2:3" ht="13.5" customHeight="1">
      <c r="B475" s="49"/>
      <c r="C475" s="50"/>
    </row>
    <row r="476" spans="2:3" ht="13.5" customHeight="1">
      <c r="B476" s="49"/>
      <c r="C476" s="50"/>
    </row>
    <row r="477" spans="2:3" ht="13.5" customHeight="1">
      <c r="B477" s="49"/>
      <c r="C477" s="50"/>
    </row>
    <row r="478" spans="2:3" ht="13.5" customHeight="1">
      <c r="B478" s="49"/>
      <c r="C478" s="50"/>
    </row>
    <row r="479" spans="2:3" ht="13.5" customHeight="1">
      <c r="B479" s="49"/>
      <c r="C479" s="50"/>
    </row>
    <row r="480" spans="2:3" ht="13.5" customHeight="1">
      <c r="B480" s="49"/>
      <c r="C480" s="50"/>
    </row>
    <row r="481" spans="2:3" ht="13.5" customHeight="1">
      <c r="B481" s="49"/>
      <c r="C481" s="50"/>
    </row>
    <row r="482" spans="2:3" ht="13.5" customHeight="1">
      <c r="B482" s="49"/>
      <c r="C482" s="50"/>
    </row>
    <row r="483" spans="2:3" ht="13.5" customHeight="1">
      <c r="B483" s="49"/>
      <c r="C483" s="50"/>
    </row>
    <row r="484" spans="2:3" ht="13.5" customHeight="1">
      <c r="B484" s="49"/>
      <c r="C484" s="50"/>
    </row>
    <row r="485" spans="2:3" ht="13.5" customHeight="1">
      <c r="B485" s="49"/>
      <c r="C485" s="50"/>
    </row>
    <row r="486" spans="2:3" ht="13.5" customHeight="1">
      <c r="B486" s="49"/>
      <c r="C486" s="50"/>
    </row>
    <row r="487" spans="2:3" ht="13.5" customHeight="1">
      <c r="B487" s="49"/>
      <c r="C487" s="50"/>
    </row>
    <row r="488" spans="2:3" ht="13.5" customHeight="1">
      <c r="B488" s="49"/>
      <c r="C488" s="50"/>
    </row>
    <row r="489" spans="2:3" ht="13.5" customHeight="1">
      <c r="B489" s="49"/>
      <c r="C489" s="50"/>
    </row>
    <row r="490" spans="2:3" ht="13.5" customHeight="1">
      <c r="B490" s="49"/>
      <c r="C490" s="50"/>
    </row>
    <row r="491" spans="2:3" ht="13.5" customHeight="1">
      <c r="B491" s="49"/>
      <c r="C491" s="50"/>
    </row>
    <row r="492" spans="2:3" ht="13.5" customHeight="1">
      <c r="B492" s="49"/>
      <c r="C492" s="50"/>
    </row>
    <row r="493" spans="2:3" ht="13.5" customHeight="1">
      <c r="B493" s="49"/>
      <c r="C493" s="50"/>
    </row>
    <row r="494" spans="2:3" ht="13.5" customHeight="1">
      <c r="B494" s="49"/>
      <c r="C494" s="50"/>
    </row>
    <row r="495" spans="2:3" ht="13.5" customHeight="1">
      <c r="B495" s="49"/>
      <c r="C495" s="50"/>
    </row>
    <row r="496" spans="2:3" ht="13.5" customHeight="1">
      <c r="B496" s="49"/>
      <c r="C496" s="50"/>
    </row>
    <row r="497" spans="2:3" ht="13.5" customHeight="1">
      <c r="B497" s="49"/>
      <c r="C497" s="50"/>
    </row>
    <row r="498" spans="2:3" ht="13.5" customHeight="1">
      <c r="B498" s="49"/>
      <c r="C498" s="50"/>
    </row>
    <row r="499" spans="2:3" ht="13.5" customHeight="1">
      <c r="B499" s="49"/>
      <c r="C499" s="50"/>
    </row>
    <row r="500" spans="2:3" ht="13.5" customHeight="1">
      <c r="B500" s="49"/>
      <c r="C500" s="50"/>
    </row>
    <row r="501" spans="2:3" ht="13.5" customHeight="1">
      <c r="B501" s="49"/>
      <c r="C501" s="50"/>
    </row>
    <row r="502" spans="2:3" ht="13.5" customHeight="1">
      <c r="B502" s="49"/>
      <c r="C502" s="50"/>
    </row>
    <row r="503" spans="2:3" ht="13.5" customHeight="1">
      <c r="B503" s="49"/>
      <c r="C503" s="50"/>
    </row>
    <row r="504" spans="2:3" ht="13.5" customHeight="1">
      <c r="B504" s="49"/>
      <c r="C504" s="50"/>
    </row>
    <row r="505" spans="2:3" ht="13.5" customHeight="1">
      <c r="B505" s="49"/>
      <c r="C505" s="50"/>
    </row>
    <row r="506" spans="2:3" ht="13.5" customHeight="1">
      <c r="B506" s="49"/>
      <c r="C506" s="50"/>
    </row>
    <row r="507" spans="2:3" ht="13.5" customHeight="1">
      <c r="B507" s="49"/>
      <c r="C507" s="50"/>
    </row>
    <row r="508" spans="2:3" ht="13.5" customHeight="1">
      <c r="B508" s="49"/>
      <c r="C508" s="50"/>
    </row>
    <row r="509" spans="2:3" ht="13.5" customHeight="1">
      <c r="B509" s="49"/>
      <c r="C509" s="50"/>
    </row>
    <row r="510" spans="2:3" ht="13.5" customHeight="1">
      <c r="B510" s="49"/>
      <c r="C510" s="50"/>
    </row>
    <row r="511" spans="2:3" ht="13.5" customHeight="1">
      <c r="B511" s="49"/>
      <c r="C511" s="50"/>
    </row>
    <row r="512" spans="2:3" ht="13.5" customHeight="1">
      <c r="B512" s="49"/>
      <c r="C512" s="50"/>
    </row>
    <row r="513" spans="2:3" ht="13.5" customHeight="1">
      <c r="B513" s="49"/>
      <c r="C513" s="50"/>
    </row>
    <row r="514" spans="2:3" ht="13.5" customHeight="1">
      <c r="B514" s="49"/>
      <c r="C514" s="50"/>
    </row>
    <row r="515" spans="2:3" ht="13.5" customHeight="1">
      <c r="B515" s="49"/>
      <c r="C515" s="50"/>
    </row>
    <row r="516" spans="2:3" ht="13.5" customHeight="1">
      <c r="B516" s="49"/>
      <c r="C516" s="50"/>
    </row>
    <row r="517" spans="2:3" ht="13.5" customHeight="1">
      <c r="B517" s="49"/>
      <c r="C517" s="50"/>
    </row>
    <row r="518" spans="2:3" ht="13.5" customHeight="1">
      <c r="B518" s="49"/>
      <c r="C518" s="50"/>
    </row>
    <row r="519" spans="2:3" ht="13.5" customHeight="1">
      <c r="B519" s="49"/>
      <c r="C519" s="50"/>
    </row>
    <row r="520" spans="2:3" ht="13.5" customHeight="1">
      <c r="B520" s="49"/>
      <c r="C520" s="50"/>
    </row>
    <row r="521" spans="2:3" ht="13.5" customHeight="1">
      <c r="B521" s="49"/>
      <c r="C521" s="50"/>
    </row>
    <row r="522" spans="2:3" ht="13.5" customHeight="1">
      <c r="B522" s="49"/>
      <c r="C522" s="50"/>
    </row>
    <row r="523" spans="2:3" ht="13.5" customHeight="1">
      <c r="B523" s="49"/>
      <c r="C523" s="50"/>
    </row>
    <row r="524" spans="2:3" ht="13.5" customHeight="1">
      <c r="B524" s="49"/>
      <c r="C524" s="50"/>
    </row>
    <row r="525" spans="2:3" ht="13.5" customHeight="1">
      <c r="B525" s="49"/>
      <c r="C525" s="50"/>
    </row>
    <row r="526" spans="2:3" ht="13.5" customHeight="1">
      <c r="B526" s="49"/>
      <c r="C526" s="50"/>
    </row>
    <row r="527" spans="2:3" ht="13.5" customHeight="1">
      <c r="B527" s="49"/>
      <c r="C527" s="50"/>
    </row>
    <row r="528" spans="2:3" ht="13.5" customHeight="1">
      <c r="B528" s="49"/>
      <c r="C528" s="50"/>
    </row>
    <row r="529" spans="2:3" ht="13.5" customHeight="1">
      <c r="B529" s="49"/>
      <c r="C529" s="50"/>
    </row>
    <row r="530" spans="2:3" ht="13.5" customHeight="1">
      <c r="B530" s="49"/>
      <c r="C530" s="50"/>
    </row>
    <row r="531" spans="2:3" ht="13.5" customHeight="1">
      <c r="B531" s="49"/>
      <c r="C531" s="50"/>
    </row>
    <row r="532" spans="2:3" ht="13.5" customHeight="1">
      <c r="B532" s="49"/>
      <c r="C532" s="50"/>
    </row>
    <row r="533" spans="2:3" ht="13.5" customHeight="1">
      <c r="B533" s="49"/>
      <c r="C533" s="50"/>
    </row>
    <row r="534" spans="2:3" ht="13.5" customHeight="1">
      <c r="B534" s="49"/>
      <c r="C534" s="50"/>
    </row>
    <row r="535" spans="2:3" ht="13.5" customHeight="1">
      <c r="B535" s="49"/>
      <c r="C535" s="50"/>
    </row>
    <row r="536" spans="2:3" ht="13.5" customHeight="1">
      <c r="B536" s="49"/>
      <c r="C536" s="50"/>
    </row>
    <row r="537" spans="2:3" ht="13.5" customHeight="1">
      <c r="B537" s="49"/>
      <c r="C537" s="50"/>
    </row>
    <row r="538" spans="2:3" ht="13.5" customHeight="1">
      <c r="B538" s="49"/>
      <c r="C538" s="50"/>
    </row>
    <row r="539" spans="2:3" ht="13.5" customHeight="1">
      <c r="B539" s="49"/>
      <c r="C539" s="50"/>
    </row>
    <row r="540" spans="2:3" ht="13.5" customHeight="1">
      <c r="B540" s="49"/>
      <c r="C540" s="50"/>
    </row>
    <row r="541" spans="2:3" ht="13.5" customHeight="1">
      <c r="B541" s="49"/>
      <c r="C541" s="50"/>
    </row>
    <row r="542" spans="2:3" ht="13.5" customHeight="1">
      <c r="B542" s="49"/>
      <c r="C542" s="50"/>
    </row>
    <row r="543" spans="2:3" ht="13.5" customHeight="1">
      <c r="B543" s="49"/>
      <c r="C543" s="50"/>
    </row>
    <row r="544" spans="2:3" ht="13.5" customHeight="1">
      <c r="B544" s="49"/>
      <c r="C544" s="50"/>
    </row>
    <row r="545" spans="2:3" ht="13.5" customHeight="1">
      <c r="B545" s="49"/>
      <c r="C545" s="50"/>
    </row>
    <row r="546" spans="2:3" ht="13.5" customHeight="1">
      <c r="B546" s="49"/>
      <c r="C546" s="50"/>
    </row>
    <row r="547" spans="2:3" ht="13.5" customHeight="1">
      <c r="B547" s="49"/>
      <c r="C547" s="50"/>
    </row>
    <row r="548" spans="2:3" ht="13.5" customHeight="1">
      <c r="B548" s="49"/>
      <c r="C548" s="50"/>
    </row>
    <row r="549" spans="2:3" ht="13.5" customHeight="1">
      <c r="B549" s="49"/>
      <c r="C549" s="50"/>
    </row>
    <row r="550" spans="2:3" ht="13.5" customHeight="1">
      <c r="B550" s="49"/>
      <c r="C550" s="50"/>
    </row>
    <row r="551" spans="2:3" ht="13.5" customHeight="1">
      <c r="B551" s="49"/>
      <c r="C551" s="50"/>
    </row>
    <row r="552" spans="2:3" ht="13.5" customHeight="1">
      <c r="B552" s="49"/>
      <c r="C552" s="50"/>
    </row>
    <row r="553" spans="2:3" ht="13.5" customHeight="1">
      <c r="B553" s="49"/>
      <c r="C553" s="50"/>
    </row>
    <row r="554" spans="2:3" ht="13.5" customHeight="1">
      <c r="B554" s="49"/>
      <c r="C554" s="50"/>
    </row>
    <row r="555" spans="2:3" ht="13.5" customHeight="1">
      <c r="B555" s="49"/>
      <c r="C555" s="50"/>
    </row>
    <row r="556" spans="2:3" ht="13.5" customHeight="1">
      <c r="B556" s="49"/>
      <c r="C556" s="50"/>
    </row>
    <row r="557" spans="2:3" ht="13.5" customHeight="1">
      <c r="B557" s="49"/>
      <c r="C557" s="50"/>
    </row>
    <row r="558" spans="2:3" ht="13.5" customHeight="1">
      <c r="B558" s="49"/>
      <c r="C558" s="50"/>
    </row>
    <row r="559" spans="2:3" ht="13.5" customHeight="1">
      <c r="B559" s="49"/>
      <c r="C559" s="50"/>
    </row>
    <row r="560" spans="2:3" ht="13.5" customHeight="1">
      <c r="B560" s="49"/>
      <c r="C560" s="50"/>
    </row>
    <row r="561" spans="2:3" ht="13.5" customHeight="1">
      <c r="B561" s="49"/>
      <c r="C561" s="50"/>
    </row>
    <row r="562" spans="2:3" ht="13.5" customHeight="1">
      <c r="B562" s="49"/>
      <c r="C562" s="50"/>
    </row>
    <row r="563" spans="2:3" ht="13.5" customHeight="1">
      <c r="B563" s="49"/>
      <c r="C563" s="50"/>
    </row>
    <row r="564" spans="2:3" ht="13.5" customHeight="1">
      <c r="B564" s="49"/>
      <c r="C564" s="50"/>
    </row>
    <row r="565" spans="2:3" ht="13.5" customHeight="1">
      <c r="B565" s="49"/>
      <c r="C565" s="50"/>
    </row>
    <row r="566" spans="2:3" ht="13.5" customHeight="1">
      <c r="B566" s="49"/>
      <c r="C566" s="50"/>
    </row>
    <row r="567" spans="2:3" ht="13.5" customHeight="1">
      <c r="B567" s="49"/>
      <c r="C567" s="50"/>
    </row>
    <row r="568" spans="2:3" ht="13.5" customHeight="1">
      <c r="B568" s="49"/>
      <c r="C568" s="50"/>
    </row>
    <row r="569" spans="2:3" ht="13.5" customHeight="1">
      <c r="B569" s="49"/>
      <c r="C569" s="50"/>
    </row>
    <row r="570" spans="2:3" ht="13.5" customHeight="1">
      <c r="B570" s="49"/>
      <c r="C570" s="50"/>
    </row>
    <row r="571" spans="2:3" ht="13.5" customHeight="1">
      <c r="B571" s="49"/>
      <c r="C571" s="50"/>
    </row>
    <row r="572" spans="2:3" ht="13.5" customHeight="1">
      <c r="B572" s="49"/>
      <c r="C572" s="50"/>
    </row>
    <row r="573" spans="2:3" ht="13.5" customHeight="1">
      <c r="B573" s="49"/>
      <c r="C573" s="50"/>
    </row>
    <row r="574" spans="2:3" ht="13.5" customHeight="1">
      <c r="B574" s="49"/>
      <c r="C574" s="50"/>
    </row>
    <row r="575" spans="2:3" ht="13.5" customHeight="1">
      <c r="B575" s="49"/>
      <c r="C575" s="50"/>
    </row>
    <row r="576" spans="2:3" ht="13.5" customHeight="1">
      <c r="B576" s="49"/>
      <c r="C576" s="50"/>
    </row>
    <row r="577" spans="2:3" ht="13.5" customHeight="1">
      <c r="B577" s="49"/>
      <c r="C577" s="50"/>
    </row>
    <row r="578" spans="2:3" ht="13.5" customHeight="1">
      <c r="B578" s="49"/>
      <c r="C578" s="50"/>
    </row>
    <row r="579" spans="2:3" ht="13.5" customHeight="1">
      <c r="B579" s="49"/>
      <c r="C579" s="50"/>
    </row>
    <row r="580" spans="2:3" ht="13.5" customHeight="1">
      <c r="B580" s="49"/>
      <c r="C580" s="50"/>
    </row>
    <row r="581" spans="2:3" ht="13.5" customHeight="1">
      <c r="B581" s="49"/>
      <c r="C581" s="50"/>
    </row>
    <row r="582" spans="2:3" ht="13.5" customHeight="1">
      <c r="B582" s="49"/>
      <c r="C582" s="50"/>
    </row>
    <row r="583" spans="2:3" ht="13.5" customHeight="1">
      <c r="B583" s="49"/>
      <c r="C583" s="50"/>
    </row>
    <row r="584" spans="2:3" ht="13.5" customHeight="1">
      <c r="B584" s="49"/>
      <c r="C584" s="50"/>
    </row>
    <row r="585" spans="2:3" ht="13.5" customHeight="1">
      <c r="B585" s="49"/>
      <c r="C585" s="50"/>
    </row>
    <row r="586" spans="2:3" ht="13.5" customHeight="1">
      <c r="B586" s="49"/>
      <c r="C586" s="50"/>
    </row>
    <row r="587" spans="2:3" ht="13.5" customHeight="1">
      <c r="B587" s="49"/>
      <c r="C587" s="50"/>
    </row>
    <row r="588" spans="2:3" ht="13.5" customHeight="1">
      <c r="B588" s="49"/>
      <c r="C588" s="50"/>
    </row>
    <row r="589" spans="2:3" ht="13.5" customHeight="1">
      <c r="B589" s="49"/>
      <c r="C589" s="50"/>
    </row>
    <row r="590" spans="2:3" ht="13.5" customHeight="1">
      <c r="B590" s="49"/>
      <c r="C590" s="50"/>
    </row>
    <row r="591" spans="2:3" ht="13.5" customHeight="1">
      <c r="B591" s="49"/>
      <c r="C591" s="50"/>
    </row>
    <row r="592" spans="2:3" ht="13.5" customHeight="1">
      <c r="B592" s="49"/>
      <c r="C592" s="50"/>
    </row>
    <row r="593" spans="2:3" ht="13.5" customHeight="1">
      <c r="B593" s="49"/>
      <c r="C593" s="50"/>
    </row>
    <row r="594" spans="2:3" ht="13.5" customHeight="1">
      <c r="B594" s="49"/>
      <c r="C594" s="50"/>
    </row>
    <row r="595" spans="2:3" ht="13.5" customHeight="1">
      <c r="B595" s="49"/>
      <c r="C595" s="50"/>
    </row>
    <row r="596" spans="2:3" ht="13.5" customHeight="1">
      <c r="B596" s="49"/>
      <c r="C596" s="50"/>
    </row>
    <row r="597" spans="2:3" ht="13.5" customHeight="1">
      <c r="B597" s="49"/>
      <c r="C597" s="50"/>
    </row>
    <row r="598" spans="2:3" ht="13.5" customHeight="1">
      <c r="B598" s="49"/>
      <c r="C598" s="50"/>
    </row>
    <row r="599" spans="2:3" ht="13.5" customHeight="1">
      <c r="B599" s="49"/>
      <c r="C599" s="50"/>
    </row>
    <row r="600" spans="2:3" ht="13.5" customHeight="1">
      <c r="B600" s="49"/>
      <c r="C600" s="50"/>
    </row>
    <row r="601" spans="2:3" ht="13.5" customHeight="1">
      <c r="B601" s="49"/>
      <c r="C601" s="50"/>
    </row>
    <row r="602" spans="2:3" ht="13.5" customHeight="1">
      <c r="B602" s="49"/>
      <c r="C602" s="50"/>
    </row>
    <row r="603" spans="2:3" ht="13.5" customHeight="1">
      <c r="B603" s="49"/>
      <c r="C603" s="50"/>
    </row>
    <row r="604" spans="2:3" ht="13.5" customHeight="1">
      <c r="B604" s="49"/>
      <c r="C604" s="50"/>
    </row>
    <row r="605" spans="2:3" ht="13.5" customHeight="1">
      <c r="B605" s="49"/>
      <c r="C605" s="50"/>
    </row>
    <row r="606" spans="2:3" ht="13.5" customHeight="1">
      <c r="B606" s="49"/>
      <c r="C606" s="50"/>
    </row>
    <row r="607" spans="2:3" ht="13.5" customHeight="1">
      <c r="B607" s="49"/>
      <c r="C607" s="50"/>
    </row>
    <row r="608" spans="2:3" ht="13.5" customHeight="1">
      <c r="B608" s="49"/>
      <c r="C608" s="50"/>
    </row>
    <row r="609" spans="2:3" ht="13.5" customHeight="1">
      <c r="B609" s="49"/>
      <c r="C609" s="50"/>
    </row>
    <row r="610" spans="2:3" ht="13.5" customHeight="1">
      <c r="B610" s="49"/>
      <c r="C610" s="50"/>
    </row>
    <row r="611" spans="2:3" ht="13.5" customHeight="1">
      <c r="B611" s="49"/>
      <c r="C611" s="50"/>
    </row>
    <row r="612" spans="2:3" ht="13.5" customHeight="1">
      <c r="B612" s="49"/>
      <c r="C612" s="50"/>
    </row>
    <row r="613" spans="2:3" ht="13.5" customHeight="1">
      <c r="B613" s="49"/>
      <c r="C613" s="50"/>
    </row>
    <row r="614" spans="2:3" ht="13.5" customHeight="1">
      <c r="B614" s="49"/>
      <c r="C614" s="50"/>
    </row>
    <row r="615" spans="2:3" ht="13.5" customHeight="1">
      <c r="B615" s="49"/>
      <c r="C615" s="50"/>
    </row>
    <row r="616" spans="2:3" ht="13.5" customHeight="1">
      <c r="B616" s="49"/>
      <c r="C616" s="50"/>
    </row>
    <row r="617" spans="2:3" ht="13.5" customHeight="1">
      <c r="B617" s="49"/>
      <c r="C617" s="50"/>
    </row>
    <row r="618" spans="2:3" ht="13.5" customHeight="1">
      <c r="B618" s="49"/>
      <c r="C618" s="50"/>
    </row>
    <row r="619" spans="2:3" ht="13.5" customHeight="1">
      <c r="B619" s="49"/>
      <c r="C619" s="50"/>
    </row>
    <row r="620" spans="2:3" ht="13.5" customHeight="1">
      <c r="B620" s="49"/>
      <c r="C620" s="50"/>
    </row>
    <row r="621" spans="2:3" ht="13.5" customHeight="1">
      <c r="B621" s="49"/>
      <c r="C621" s="50"/>
    </row>
    <row r="622" spans="2:3" ht="13.5" customHeight="1">
      <c r="B622" s="49"/>
      <c r="C622" s="50"/>
    </row>
    <row r="623" spans="2:3" ht="13.5" customHeight="1">
      <c r="B623" s="49"/>
      <c r="C623" s="50"/>
    </row>
    <row r="624" spans="2:3" ht="13.5" customHeight="1">
      <c r="B624" s="49"/>
      <c r="C624" s="50"/>
    </row>
    <row r="625" spans="2:3" ht="13.5" customHeight="1">
      <c r="B625" s="49"/>
      <c r="C625" s="50"/>
    </row>
    <row r="626" spans="2:3" ht="13.5" customHeight="1">
      <c r="B626" s="49"/>
      <c r="C626" s="50"/>
    </row>
    <row r="627" spans="2:3" ht="13.5" customHeight="1">
      <c r="B627" s="49"/>
      <c r="C627" s="50"/>
    </row>
    <row r="628" spans="2:3" ht="13.5" customHeight="1">
      <c r="B628" s="49"/>
      <c r="C628" s="50"/>
    </row>
    <row r="629" spans="2:3" ht="13.5" customHeight="1">
      <c r="B629" s="49"/>
      <c r="C629" s="50"/>
    </row>
    <row r="630" spans="2:3" ht="13.5" customHeight="1">
      <c r="B630" s="49"/>
      <c r="C630" s="50"/>
    </row>
    <row r="631" spans="2:3" ht="13.5" customHeight="1">
      <c r="B631" s="49"/>
      <c r="C631" s="50"/>
    </row>
    <row r="632" spans="2:3" ht="13.5" customHeight="1">
      <c r="B632" s="49"/>
      <c r="C632" s="50"/>
    </row>
    <row r="633" spans="2:3" ht="13.5" customHeight="1">
      <c r="B633" s="49"/>
      <c r="C633" s="50"/>
    </row>
    <row r="634" spans="2:3" ht="13.5" customHeight="1">
      <c r="B634" s="49"/>
      <c r="C634" s="50"/>
    </row>
    <row r="635" spans="2:3" ht="13.5" customHeight="1">
      <c r="B635" s="49"/>
      <c r="C635" s="50"/>
    </row>
    <row r="636" spans="2:3" ht="13.5" customHeight="1">
      <c r="B636" s="49"/>
      <c r="C636" s="50"/>
    </row>
    <row r="637" spans="2:3" ht="13.5" customHeight="1">
      <c r="B637" s="49"/>
      <c r="C637" s="50"/>
    </row>
    <row r="638" spans="2:3" ht="13.5" customHeight="1">
      <c r="B638" s="49"/>
      <c r="C638" s="50"/>
    </row>
    <row r="639" spans="2:3" ht="13.5" customHeight="1">
      <c r="B639" s="49"/>
      <c r="C639" s="50"/>
    </row>
    <row r="640" spans="2:3" ht="13.5" customHeight="1">
      <c r="B640" s="49"/>
      <c r="C640" s="50"/>
    </row>
    <row r="641" spans="2:3" ht="13.5" customHeight="1">
      <c r="B641" s="49"/>
      <c r="C641" s="50"/>
    </row>
    <row r="642" spans="2:3" ht="13.5" customHeight="1">
      <c r="B642" s="49"/>
      <c r="C642" s="50"/>
    </row>
    <row r="643" spans="2:3" ht="13.5" customHeight="1">
      <c r="B643" s="49"/>
      <c r="C643" s="50"/>
    </row>
    <row r="644" spans="2:3" ht="13.5" customHeight="1">
      <c r="B644" s="49"/>
      <c r="C644" s="50"/>
    </row>
    <row r="645" spans="2:3" ht="13.5" customHeight="1">
      <c r="B645" s="49"/>
      <c r="C645" s="50"/>
    </row>
    <row r="646" spans="2:3" ht="13.5" customHeight="1">
      <c r="B646" s="49"/>
      <c r="C646" s="50"/>
    </row>
    <row r="647" spans="2:3" ht="13.5" customHeight="1">
      <c r="B647" s="49"/>
      <c r="C647" s="50"/>
    </row>
    <row r="648" spans="2:3" ht="13.5" customHeight="1">
      <c r="B648" s="49"/>
      <c r="C648" s="50"/>
    </row>
    <row r="649" spans="2:3" ht="13.5" customHeight="1">
      <c r="B649" s="49"/>
      <c r="C649" s="50"/>
    </row>
    <row r="650" spans="2:3" ht="13.5" customHeight="1">
      <c r="B650" s="49"/>
      <c r="C650" s="50"/>
    </row>
    <row r="651" spans="2:3" ht="13.5" customHeight="1">
      <c r="B651" s="49"/>
      <c r="C651" s="50"/>
    </row>
    <row r="652" spans="2:3" ht="13.5" customHeight="1">
      <c r="B652" s="49"/>
      <c r="C652" s="50"/>
    </row>
    <row r="653" spans="2:3" ht="13.5" customHeight="1">
      <c r="B653" s="49"/>
      <c r="C653" s="50"/>
    </row>
    <row r="654" spans="2:3" ht="13.5" customHeight="1">
      <c r="B654" s="49"/>
      <c r="C654" s="50"/>
    </row>
    <row r="655" spans="2:3" ht="13.5" customHeight="1">
      <c r="B655" s="49"/>
      <c r="C655" s="50"/>
    </row>
    <row r="656" spans="2:3" ht="13.5" customHeight="1">
      <c r="B656" s="49"/>
      <c r="C656" s="50"/>
    </row>
    <row r="657" spans="2:3" ht="13.5" customHeight="1">
      <c r="B657" s="49"/>
      <c r="C657" s="50"/>
    </row>
    <row r="658" spans="2:3" ht="13.5" customHeight="1">
      <c r="B658" s="49"/>
      <c r="C658" s="50"/>
    </row>
    <row r="659" spans="2:3" ht="13.5" customHeight="1">
      <c r="B659" s="49"/>
      <c r="C659" s="50"/>
    </row>
    <row r="660" spans="2:3" ht="13.5" customHeight="1">
      <c r="B660" s="49"/>
      <c r="C660" s="50"/>
    </row>
    <row r="661" spans="2:3" ht="13.5" customHeight="1">
      <c r="B661" s="49"/>
      <c r="C661" s="50"/>
    </row>
    <row r="662" spans="2:3" ht="13.5" customHeight="1">
      <c r="B662" s="49"/>
      <c r="C662" s="50"/>
    </row>
    <row r="663" spans="2:3" ht="13.5" customHeight="1">
      <c r="B663" s="49"/>
      <c r="C663" s="50"/>
    </row>
    <row r="664" spans="2:3" ht="13.5" customHeight="1">
      <c r="B664" s="49"/>
      <c r="C664" s="50"/>
    </row>
    <row r="665" spans="2:3" ht="13.5" customHeight="1">
      <c r="B665" s="49"/>
      <c r="C665" s="50"/>
    </row>
    <row r="666" spans="2:3" ht="13.5" customHeight="1">
      <c r="B666" s="49"/>
      <c r="C666" s="50"/>
    </row>
    <row r="667" spans="2:3" ht="13.5" customHeight="1">
      <c r="B667" s="49"/>
      <c r="C667" s="50"/>
    </row>
    <row r="668" spans="2:3" ht="13.5" customHeight="1">
      <c r="B668" s="49"/>
      <c r="C668" s="50"/>
    </row>
    <row r="669" spans="2:3" ht="13.5" customHeight="1">
      <c r="B669" s="49"/>
      <c r="C669" s="50"/>
    </row>
    <row r="670" spans="2:3" ht="13.5" customHeight="1">
      <c r="B670" s="49"/>
      <c r="C670" s="50"/>
    </row>
    <row r="671" spans="2:3" ht="13.5" customHeight="1">
      <c r="B671" s="49"/>
      <c r="C671" s="50"/>
    </row>
    <row r="672" spans="2:3" ht="13.5" customHeight="1">
      <c r="B672" s="49"/>
      <c r="C672" s="50"/>
    </row>
    <row r="673" spans="2:3" ht="13.5" customHeight="1">
      <c r="B673" s="49"/>
      <c r="C673" s="50"/>
    </row>
    <row r="674" spans="2:3" ht="13.5" customHeight="1">
      <c r="B674" s="49"/>
      <c r="C674" s="50"/>
    </row>
    <row r="675" spans="2:3" ht="13.5" customHeight="1">
      <c r="B675" s="49"/>
      <c r="C675" s="50"/>
    </row>
    <row r="676" spans="2:3" ht="13.5" customHeight="1">
      <c r="B676" s="49"/>
      <c r="C676" s="50"/>
    </row>
    <row r="677" spans="2:3" ht="13.5" customHeight="1">
      <c r="B677" s="49"/>
      <c r="C677" s="50"/>
    </row>
    <row r="678" spans="2:3" ht="13.5" customHeight="1">
      <c r="B678" s="49"/>
      <c r="C678" s="50"/>
    </row>
    <row r="679" spans="2:3" ht="13.5" customHeight="1">
      <c r="B679" s="49"/>
      <c r="C679" s="50"/>
    </row>
    <row r="680" spans="2:3" ht="13.5" customHeight="1">
      <c r="B680" s="49"/>
      <c r="C680" s="50"/>
    </row>
    <row r="681" spans="2:3" ht="13.5" customHeight="1">
      <c r="B681" s="49"/>
      <c r="C681" s="50"/>
    </row>
    <row r="682" spans="2:3" ht="13.5" customHeight="1">
      <c r="B682" s="49"/>
      <c r="C682" s="50"/>
    </row>
    <row r="683" spans="2:3" ht="13.5" customHeight="1">
      <c r="B683" s="49"/>
      <c r="C683" s="50"/>
    </row>
    <row r="684" spans="2:3" ht="13.5" customHeight="1">
      <c r="B684" s="49"/>
      <c r="C684" s="50"/>
    </row>
    <row r="685" spans="2:3" ht="13.5" customHeight="1">
      <c r="B685" s="49"/>
      <c r="C685" s="50"/>
    </row>
    <row r="686" spans="2:3" ht="13.5" customHeight="1">
      <c r="B686" s="49"/>
      <c r="C686" s="50"/>
    </row>
    <row r="687" spans="2:3" ht="13.5" customHeight="1">
      <c r="B687" s="49"/>
      <c r="C687" s="50"/>
    </row>
    <row r="688" spans="2:3" ht="13.5" customHeight="1">
      <c r="B688" s="49"/>
      <c r="C688" s="50"/>
    </row>
    <row r="689" spans="2:3" ht="13.5" customHeight="1">
      <c r="B689" s="49"/>
      <c r="C689" s="50"/>
    </row>
    <row r="690" spans="2:3" ht="13.5" customHeight="1">
      <c r="B690" s="49"/>
      <c r="C690" s="50"/>
    </row>
    <row r="691" spans="2:3" ht="13.5" customHeight="1">
      <c r="B691" s="49"/>
      <c r="C691" s="50"/>
    </row>
    <row r="692" spans="2:3" ht="13.5" customHeight="1">
      <c r="B692" s="49"/>
      <c r="C692" s="50"/>
    </row>
    <row r="693" spans="2:3" ht="13.5" customHeight="1">
      <c r="B693" s="49"/>
      <c r="C693" s="50"/>
    </row>
    <row r="694" spans="2:3" ht="13.5" customHeight="1">
      <c r="B694" s="49"/>
      <c r="C694" s="50"/>
    </row>
    <row r="695" spans="2:3" ht="13.5" customHeight="1">
      <c r="B695" s="49"/>
      <c r="C695" s="50"/>
    </row>
    <row r="696" spans="2:3" ht="13.5" customHeight="1">
      <c r="B696" s="49"/>
      <c r="C696" s="50"/>
    </row>
    <row r="697" spans="2:3" ht="13.5" customHeight="1">
      <c r="B697" s="49"/>
      <c r="C697" s="50"/>
    </row>
    <row r="698" spans="2:3" ht="13.5" customHeight="1">
      <c r="B698" s="49"/>
      <c r="C698" s="50"/>
    </row>
    <row r="699" spans="2:3" ht="13.5" customHeight="1">
      <c r="B699" s="49"/>
      <c r="C699" s="50"/>
    </row>
    <row r="700" spans="2:3" ht="13.5" customHeight="1">
      <c r="B700" s="49"/>
      <c r="C700" s="50"/>
    </row>
    <row r="701" spans="2:3" ht="13.5" customHeight="1">
      <c r="B701" s="49"/>
      <c r="C701" s="50"/>
    </row>
    <row r="702" spans="2:3" ht="13.5" customHeight="1">
      <c r="B702" s="49"/>
      <c r="C702" s="50"/>
    </row>
    <row r="703" spans="2:3" ht="13.5" customHeight="1">
      <c r="B703" s="49"/>
      <c r="C703" s="50"/>
    </row>
    <row r="704" spans="2:3" ht="13.5" customHeight="1">
      <c r="B704" s="49"/>
      <c r="C704" s="50"/>
    </row>
    <row r="705" spans="2:3" ht="13.5" customHeight="1">
      <c r="B705" s="49"/>
      <c r="C705" s="50"/>
    </row>
    <row r="706" spans="2:3" ht="13.5" customHeight="1">
      <c r="B706" s="49"/>
      <c r="C706" s="50"/>
    </row>
    <row r="707" spans="2:3" ht="13.5" customHeight="1">
      <c r="B707" s="49"/>
      <c r="C707" s="50"/>
    </row>
    <row r="708" spans="2:3" ht="13.5" customHeight="1">
      <c r="B708" s="49"/>
      <c r="C708" s="50"/>
    </row>
    <row r="709" spans="2:3" ht="13.5" customHeight="1">
      <c r="B709" s="49"/>
      <c r="C709" s="50"/>
    </row>
    <row r="710" spans="2:3" ht="13.5" customHeight="1">
      <c r="B710" s="49"/>
      <c r="C710" s="50"/>
    </row>
    <row r="711" spans="2:3" ht="13.5" customHeight="1">
      <c r="B711" s="49"/>
      <c r="C711" s="50"/>
    </row>
    <row r="712" spans="2:3" ht="13.5" customHeight="1">
      <c r="B712" s="49"/>
      <c r="C712" s="50"/>
    </row>
    <row r="713" spans="2:3" ht="13.5" customHeight="1">
      <c r="B713" s="49"/>
      <c r="C713" s="50"/>
    </row>
    <row r="714" spans="2:3" ht="13.5" customHeight="1">
      <c r="B714" s="49"/>
      <c r="C714" s="50"/>
    </row>
    <row r="715" spans="2:3" ht="13.5" customHeight="1">
      <c r="B715" s="49"/>
      <c r="C715" s="50"/>
    </row>
    <row r="716" spans="2:3" ht="13.5" customHeight="1">
      <c r="B716" s="49"/>
      <c r="C716" s="50"/>
    </row>
    <row r="717" spans="2:3" ht="13.5" customHeight="1">
      <c r="B717" s="49"/>
      <c r="C717" s="50"/>
    </row>
    <row r="718" spans="2:3" ht="13.5" customHeight="1">
      <c r="B718" s="49"/>
      <c r="C718" s="50"/>
    </row>
    <row r="719" spans="2:3" ht="13.5" customHeight="1">
      <c r="B719" s="49"/>
      <c r="C719" s="50"/>
    </row>
    <row r="720" spans="2:3" ht="13.5" customHeight="1">
      <c r="B720" s="49"/>
      <c r="C720" s="50"/>
    </row>
    <row r="721" spans="2:3" ht="13.5" customHeight="1">
      <c r="B721" s="49"/>
      <c r="C721" s="50"/>
    </row>
    <row r="722" spans="2:3" ht="13.5" customHeight="1">
      <c r="B722" s="49"/>
      <c r="C722" s="50"/>
    </row>
    <row r="723" spans="2:3" ht="13.5" customHeight="1">
      <c r="B723" s="49"/>
      <c r="C723" s="50"/>
    </row>
    <row r="724" spans="2:3" ht="13.5" customHeight="1">
      <c r="B724" s="49"/>
      <c r="C724" s="50"/>
    </row>
    <row r="725" spans="2:3" ht="13.5" customHeight="1">
      <c r="B725" s="49"/>
      <c r="C725" s="50"/>
    </row>
    <row r="726" spans="2:3" ht="13.5" customHeight="1">
      <c r="B726" s="49"/>
      <c r="C726" s="50"/>
    </row>
    <row r="727" spans="2:3" ht="13.5" customHeight="1">
      <c r="B727" s="49"/>
      <c r="C727" s="50"/>
    </row>
    <row r="728" spans="2:3" ht="13.5" customHeight="1">
      <c r="B728" s="49"/>
      <c r="C728" s="50"/>
    </row>
    <row r="729" spans="2:3" ht="13.5" customHeight="1">
      <c r="B729" s="49"/>
      <c r="C729" s="50"/>
    </row>
    <row r="730" spans="2:3" ht="13.5" customHeight="1">
      <c r="B730" s="49"/>
      <c r="C730" s="50"/>
    </row>
    <row r="731" spans="2:3" ht="13.5" customHeight="1">
      <c r="B731" s="49"/>
      <c r="C731" s="50"/>
    </row>
    <row r="732" spans="2:3" ht="13.5" customHeight="1">
      <c r="B732" s="49"/>
      <c r="C732" s="50"/>
    </row>
    <row r="733" spans="2:3" ht="13.5" customHeight="1">
      <c r="B733" s="49"/>
      <c r="C733" s="50"/>
    </row>
    <row r="734" spans="2:3" ht="13.5" customHeight="1">
      <c r="B734" s="49"/>
      <c r="C734" s="50"/>
    </row>
    <row r="735" spans="2:3" ht="13.5" customHeight="1">
      <c r="B735" s="49"/>
      <c r="C735" s="50"/>
    </row>
    <row r="736" spans="2:3" ht="13.5" customHeight="1">
      <c r="B736" s="49"/>
      <c r="C736" s="50"/>
    </row>
    <row r="737" spans="2:3" ht="13.5" customHeight="1">
      <c r="B737" s="49"/>
      <c r="C737" s="50"/>
    </row>
    <row r="738" spans="2:3" ht="13.5" customHeight="1">
      <c r="B738" s="49"/>
      <c r="C738" s="50"/>
    </row>
    <row r="739" spans="2:3" ht="13.5" customHeight="1">
      <c r="B739" s="49"/>
      <c r="C739" s="50"/>
    </row>
    <row r="740" spans="2:3" ht="13.5" customHeight="1">
      <c r="B740" s="49"/>
      <c r="C740" s="50"/>
    </row>
    <row r="741" spans="2:3" ht="13.5" customHeight="1">
      <c r="B741" s="49"/>
      <c r="C741" s="50"/>
    </row>
    <row r="742" spans="2:3" ht="13.5" customHeight="1">
      <c r="B742" s="49"/>
      <c r="C742" s="50"/>
    </row>
    <row r="743" spans="2:3" ht="13.5" customHeight="1">
      <c r="B743" s="49"/>
      <c r="C743" s="50"/>
    </row>
    <row r="744" spans="2:3" ht="13.5" customHeight="1">
      <c r="B744" s="49"/>
      <c r="C744" s="50"/>
    </row>
    <row r="745" spans="2:3" ht="13.5" customHeight="1">
      <c r="B745" s="49"/>
      <c r="C745" s="50"/>
    </row>
    <row r="746" spans="2:3" ht="13.5" customHeight="1">
      <c r="B746" s="49"/>
      <c r="C746" s="50"/>
    </row>
    <row r="747" spans="2:3" ht="13.5" customHeight="1">
      <c r="B747" s="49"/>
      <c r="C747" s="50"/>
    </row>
    <row r="748" spans="2:3" ht="13.5" customHeight="1">
      <c r="B748" s="49"/>
      <c r="C748" s="50"/>
    </row>
    <row r="749" spans="2:3" ht="13.5" customHeight="1">
      <c r="B749" s="49"/>
      <c r="C749" s="50"/>
    </row>
    <row r="750" spans="2:3" ht="13.5" customHeight="1">
      <c r="B750" s="49"/>
      <c r="C750" s="50"/>
    </row>
    <row r="751" spans="2:3" ht="13.5" customHeight="1">
      <c r="B751" s="49"/>
      <c r="C751" s="50"/>
    </row>
    <row r="752" spans="2:3" ht="13.5" customHeight="1">
      <c r="B752" s="49"/>
      <c r="C752" s="50"/>
    </row>
    <row r="753" spans="2:3" ht="13.5" customHeight="1">
      <c r="B753" s="49"/>
      <c r="C753" s="50"/>
    </row>
    <row r="754" spans="2:3" ht="13.5" customHeight="1">
      <c r="B754" s="49"/>
      <c r="C754" s="50"/>
    </row>
    <row r="755" spans="2:3" ht="13.5" customHeight="1">
      <c r="B755" s="49"/>
      <c r="C755" s="50"/>
    </row>
    <row r="756" spans="2:3" ht="13.5" customHeight="1">
      <c r="B756" s="49"/>
      <c r="C756" s="50"/>
    </row>
    <row r="757" spans="2:3" ht="13.5" customHeight="1">
      <c r="B757" s="49"/>
      <c r="C757" s="50"/>
    </row>
    <row r="758" spans="2:3" ht="13.5" customHeight="1">
      <c r="B758" s="49"/>
      <c r="C758" s="50"/>
    </row>
    <row r="759" spans="2:3" ht="13.5" customHeight="1">
      <c r="B759" s="49"/>
      <c r="C759" s="50"/>
    </row>
    <row r="760" spans="2:3" ht="13.5" customHeight="1">
      <c r="B760" s="49"/>
      <c r="C760" s="50"/>
    </row>
    <row r="761" spans="2:3" ht="13.5" customHeight="1">
      <c r="B761" s="49"/>
      <c r="C761" s="50"/>
    </row>
    <row r="762" spans="2:3" ht="13.5" customHeight="1">
      <c r="B762" s="49"/>
      <c r="C762" s="50"/>
    </row>
    <row r="763" spans="2:3" ht="13.5" customHeight="1">
      <c r="B763" s="49"/>
      <c r="C763" s="50"/>
    </row>
    <row r="764" spans="2:3" ht="13.5" customHeight="1">
      <c r="B764" s="49"/>
      <c r="C764" s="50"/>
    </row>
    <row r="765" spans="2:3" ht="13.5" customHeight="1">
      <c r="B765" s="49"/>
      <c r="C765" s="50"/>
    </row>
    <row r="766" spans="2:3" ht="13.5" customHeight="1">
      <c r="B766" s="49"/>
      <c r="C766" s="50"/>
    </row>
    <row r="767" spans="2:3" ht="13.5" customHeight="1">
      <c r="B767" s="49"/>
      <c r="C767" s="50"/>
    </row>
    <row r="768" spans="2:3" ht="13.5" customHeight="1">
      <c r="B768" s="49"/>
      <c r="C768" s="50"/>
    </row>
    <row r="769" spans="2:3" ht="13.5" customHeight="1">
      <c r="B769" s="49"/>
      <c r="C769" s="50"/>
    </row>
    <row r="770" spans="2:3" ht="13.5" customHeight="1">
      <c r="B770" s="49"/>
      <c r="C770" s="50"/>
    </row>
    <row r="771" spans="2:3" ht="13.5" customHeight="1">
      <c r="B771" s="49"/>
      <c r="C771" s="50"/>
    </row>
    <row r="772" spans="2:3" ht="13.5" customHeight="1">
      <c r="B772" s="49"/>
      <c r="C772" s="50"/>
    </row>
    <row r="773" spans="2:3" ht="13.5" customHeight="1">
      <c r="B773" s="49"/>
      <c r="C773" s="50"/>
    </row>
    <row r="774" spans="2:3" ht="13.5" customHeight="1">
      <c r="B774" s="49"/>
      <c r="C774" s="50"/>
    </row>
    <row r="775" spans="2:3" ht="13.5" customHeight="1">
      <c r="B775" s="49"/>
      <c r="C775" s="50"/>
    </row>
    <row r="776" spans="2:3" ht="13.5" customHeight="1">
      <c r="B776" s="49"/>
      <c r="C776" s="50"/>
    </row>
    <row r="777" spans="2:3" ht="13.5" customHeight="1">
      <c r="B777" s="49"/>
      <c r="C777" s="50"/>
    </row>
    <row r="778" spans="2:3" ht="13.5" customHeight="1">
      <c r="B778" s="49"/>
      <c r="C778" s="50"/>
    </row>
    <row r="779" spans="2:3" ht="13.5" customHeight="1">
      <c r="B779" s="49"/>
      <c r="C779" s="50"/>
    </row>
    <row r="780" spans="2:3" ht="13.5" customHeight="1">
      <c r="B780" s="49"/>
      <c r="C780" s="50"/>
    </row>
    <row r="781" spans="2:3" ht="13.5" customHeight="1">
      <c r="B781" s="49"/>
      <c r="C781" s="50"/>
    </row>
    <row r="782" spans="2:3" ht="13.5" customHeight="1">
      <c r="B782" s="49"/>
      <c r="C782" s="50"/>
    </row>
    <row r="783" spans="2:3" ht="13.5" customHeight="1">
      <c r="B783" s="49"/>
      <c r="C783" s="50"/>
    </row>
    <row r="784" spans="2:3" ht="13.5" customHeight="1">
      <c r="B784" s="49"/>
      <c r="C784" s="50"/>
    </row>
    <row r="785" spans="2:3" ht="13.5" customHeight="1">
      <c r="B785" s="49"/>
      <c r="C785" s="50"/>
    </row>
    <row r="786" spans="2:3" ht="13.5" customHeight="1">
      <c r="B786" s="49"/>
      <c r="C786" s="50"/>
    </row>
    <row r="787" spans="2:3" ht="13.5" customHeight="1">
      <c r="B787" s="49"/>
      <c r="C787" s="50"/>
    </row>
    <row r="788" spans="2:3" ht="13.5" customHeight="1">
      <c r="B788" s="49"/>
      <c r="C788" s="50"/>
    </row>
    <row r="789" spans="2:3" ht="13.5" customHeight="1">
      <c r="B789" s="49"/>
      <c r="C789" s="50"/>
    </row>
    <row r="790" spans="2:3" ht="13.5" customHeight="1">
      <c r="B790" s="49"/>
      <c r="C790" s="50"/>
    </row>
    <row r="791" spans="2:3" ht="13.5" customHeight="1">
      <c r="B791" s="49"/>
      <c r="C791" s="50"/>
    </row>
    <row r="792" spans="2:3" ht="13.5" customHeight="1">
      <c r="B792" s="49"/>
      <c r="C792" s="50"/>
    </row>
    <row r="793" spans="2:3" ht="13.5" customHeight="1">
      <c r="B793" s="49"/>
      <c r="C793" s="50"/>
    </row>
    <row r="794" spans="2:3" ht="13.5" customHeight="1">
      <c r="B794" s="49"/>
      <c r="C794" s="50"/>
    </row>
    <row r="795" spans="2:3" ht="13.5" customHeight="1">
      <c r="B795" s="49"/>
      <c r="C795" s="50"/>
    </row>
    <row r="796" spans="2:3" ht="13.5" customHeight="1">
      <c r="B796" s="49"/>
      <c r="C796" s="50"/>
    </row>
    <row r="797" spans="2:3" ht="13.5" customHeight="1">
      <c r="B797" s="49"/>
      <c r="C797" s="50"/>
    </row>
    <row r="798" spans="2:3" ht="13.5" customHeight="1">
      <c r="B798" s="49"/>
      <c r="C798" s="50"/>
    </row>
    <row r="799" spans="2:3" ht="13.5" customHeight="1">
      <c r="B799" s="49"/>
      <c r="C799" s="50"/>
    </row>
    <row r="800" spans="2:3" ht="13.5" customHeight="1">
      <c r="B800" s="49"/>
      <c r="C800" s="50"/>
    </row>
    <row r="801" spans="2:3" ht="13.5" customHeight="1">
      <c r="B801" s="49"/>
      <c r="C801" s="50"/>
    </row>
    <row r="802" spans="2:3" ht="13.5" customHeight="1">
      <c r="B802" s="49"/>
      <c r="C802" s="50"/>
    </row>
    <row r="803" spans="2:3" ht="13.5" customHeight="1">
      <c r="B803" s="49"/>
      <c r="C803" s="50"/>
    </row>
    <row r="804" spans="2:3" ht="13.5" customHeight="1">
      <c r="B804" s="49"/>
      <c r="C804" s="50"/>
    </row>
    <row r="805" spans="2:3" ht="13.5" customHeight="1">
      <c r="B805" s="49"/>
      <c r="C805" s="50"/>
    </row>
    <row r="806" spans="2:3" ht="13.5" customHeight="1">
      <c r="B806" s="49"/>
      <c r="C806" s="50"/>
    </row>
    <row r="807" spans="2:3" ht="13.5" customHeight="1">
      <c r="B807" s="49"/>
      <c r="C807" s="50"/>
    </row>
    <row r="808" spans="2:3" ht="13.5" customHeight="1">
      <c r="B808" s="49"/>
      <c r="C808" s="50"/>
    </row>
    <row r="809" spans="2:3" ht="13.5" customHeight="1">
      <c r="B809" s="49"/>
      <c r="C809" s="50"/>
    </row>
    <row r="810" spans="2:3" ht="13.5" customHeight="1">
      <c r="B810" s="49"/>
      <c r="C810" s="50"/>
    </row>
    <row r="811" spans="2:3" ht="13.5" customHeight="1">
      <c r="B811" s="49"/>
      <c r="C811" s="50"/>
    </row>
    <row r="812" spans="2:3" ht="13.5" customHeight="1">
      <c r="B812" s="49"/>
      <c r="C812" s="50"/>
    </row>
    <row r="813" spans="2:3" ht="13.5" customHeight="1">
      <c r="B813" s="49"/>
      <c r="C813" s="50"/>
    </row>
    <row r="814" spans="2:3" ht="13.5" customHeight="1">
      <c r="B814" s="49"/>
      <c r="C814" s="50"/>
    </row>
    <row r="815" spans="2:3" ht="13.5" customHeight="1">
      <c r="B815" s="49"/>
      <c r="C815" s="50"/>
    </row>
    <row r="816" spans="2:3" ht="13.5" customHeight="1">
      <c r="B816" s="49"/>
      <c r="C816" s="50"/>
    </row>
    <row r="817" spans="2:3" ht="13.5" customHeight="1">
      <c r="B817" s="49"/>
      <c r="C817" s="50"/>
    </row>
    <row r="818" spans="2:3" ht="13.5" customHeight="1">
      <c r="B818" s="49"/>
      <c r="C818" s="50"/>
    </row>
    <row r="819" spans="2:3" ht="13.5" customHeight="1">
      <c r="B819" s="49"/>
      <c r="C819" s="50"/>
    </row>
    <row r="820" spans="2:3" ht="13.5" customHeight="1">
      <c r="B820" s="49"/>
      <c r="C820" s="50"/>
    </row>
    <row r="821" spans="2:3" ht="13.5" customHeight="1">
      <c r="B821" s="49"/>
      <c r="C821" s="50"/>
    </row>
    <row r="822" spans="2:3" ht="13.5" customHeight="1">
      <c r="B822" s="49"/>
      <c r="C822" s="50"/>
    </row>
    <row r="823" spans="2:3" ht="13.5" customHeight="1">
      <c r="B823" s="49"/>
      <c r="C823" s="50"/>
    </row>
    <row r="824" spans="2:3" ht="13.5" customHeight="1">
      <c r="B824" s="49"/>
      <c r="C824" s="50"/>
    </row>
    <row r="825" spans="2:3" ht="13.5" customHeight="1">
      <c r="B825" s="49"/>
      <c r="C825" s="50"/>
    </row>
    <row r="826" spans="2:3" ht="13.5" customHeight="1">
      <c r="B826" s="49"/>
      <c r="C826" s="50"/>
    </row>
    <row r="827" spans="2:3" ht="13.5" customHeight="1">
      <c r="B827" s="49"/>
      <c r="C827" s="50"/>
    </row>
    <row r="828" spans="2:3" ht="13.5" customHeight="1">
      <c r="B828" s="49"/>
      <c r="C828" s="50"/>
    </row>
    <row r="829" spans="2:3" ht="13.5" customHeight="1">
      <c r="B829" s="49"/>
      <c r="C829" s="50"/>
    </row>
    <row r="830" spans="2:3" ht="13.5" customHeight="1">
      <c r="B830" s="49"/>
      <c r="C830" s="50"/>
    </row>
    <row r="831" spans="2:3" ht="13.5" customHeight="1">
      <c r="B831" s="49"/>
      <c r="C831" s="50"/>
    </row>
    <row r="832" spans="2:3" ht="13.5" customHeight="1">
      <c r="B832" s="49"/>
      <c r="C832" s="50"/>
    </row>
    <row r="833" spans="2:3" ht="13.5" customHeight="1">
      <c r="B833" s="49"/>
      <c r="C833" s="50"/>
    </row>
    <row r="834" spans="2:3" ht="13.5" customHeight="1">
      <c r="B834" s="49"/>
      <c r="C834" s="50"/>
    </row>
    <row r="835" spans="2:3" ht="13.5" customHeight="1">
      <c r="B835" s="49"/>
      <c r="C835" s="50"/>
    </row>
    <row r="836" spans="2:3" ht="13.5" customHeight="1">
      <c r="B836" s="49"/>
      <c r="C836" s="50"/>
    </row>
    <row r="837" spans="2:3" ht="13.5" customHeight="1">
      <c r="B837" s="49"/>
      <c r="C837" s="50"/>
    </row>
    <row r="838" spans="2:3" ht="13.5" customHeight="1">
      <c r="B838" s="49"/>
      <c r="C838" s="50"/>
    </row>
    <row r="839" spans="2:3" ht="13.5" customHeight="1">
      <c r="B839" s="49"/>
      <c r="C839" s="50"/>
    </row>
    <row r="840" spans="2:3" ht="13.5" customHeight="1">
      <c r="B840" s="49"/>
      <c r="C840" s="50"/>
    </row>
    <row r="841" spans="2:3" ht="13.5" customHeight="1">
      <c r="B841" s="49"/>
      <c r="C841" s="50"/>
    </row>
    <row r="842" spans="2:3" ht="13.5" customHeight="1">
      <c r="B842" s="49"/>
      <c r="C842" s="50"/>
    </row>
    <row r="843" spans="2:3" ht="13.5" customHeight="1">
      <c r="B843" s="49"/>
      <c r="C843" s="50"/>
    </row>
    <row r="844" spans="2:3" ht="13.5" customHeight="1">
      <c r="B844" s="49"/>
      <c r="C844" s="50"/>
    </row>
    <row r="845" spans="2:3" ht="13.5" customHeight="1">
      <c r="B845" s="49"/>
      <c r="C845" s="50"/>
    </row>
    <row r="846" spans="2:3" ht="13.5" customHeight="1">
      <c r="B846" s="49"/>
      <c r="C846" s="50"/>
    </row>
    <row r="847" spans="2:3" ht="13.5" customHeight="1">
      <c r="B847" s="49"/>
      <c r="C847" s="50"/>
    </row>
    <row r="848" spans="2:3" ht="13.5" customHeight="1">
      <c r="B848" s="49"/>
      <c r="C848" s="50"/>
    </row>
    <row r="849" spans="2:3" ht="13.5" customHeight="1">
      <c r="B849" s="49"/>
      <c r="C849" s="50"/>
    </row>
    <row r="850" spans="2:3" ht="13.5" customHeight="1">
      <c r="B850" s="49"/>
      <c r="C850" s="50"/>
    </row>
    <row r="851" spans="2:3" ht="13.5" customHeight="1">
      <c r="B851" s="49"/>
      <c r="C851" s="50"/>
    </row>
    <row r="852" spans="2:3" ht="13.5" customHeight="1">
      <c r="B852" s="49"/>
      <c r="C852" s="50"/>
    </row>
    <row r="853" spans="2:3" ht="13.5" customHeight="1">
      <c r="B853" s="49"/>
      <c r="C853" s="50"/>
    </row>
    <row r="854" spans="2:3" ht="13.5" customHeight="1">
      <c r="B854" s="49"/>
      <c r="C854" s="50"/>
    </row>
    <row r="855" spans="2:3" ht="13.5" customHeight="1">
      <c r="B855" s="49"/>
      <c r="C855" s="50"/>
    </row>
    <row r="856" spans="2:3" ht="13.5" customHeight="1">
      <c r="B856" s="49"/>
      <c r="C856" s="50"/>
    </row>
    <row r="857" spans="2:3" ht="13.5" customHeight="1">
      <c r="B857" s="49"/>
      <c r="C857" s="50"/>
    </row>
    <row r="858" spans="2:3" ht="13.5" customHeight="1">
      <c r="B858" s="49"/>
      <c r="C858" s="50"/>
    </row>
    <row r="859" spans="2:3" ht="13.5" customHeight="1">
      <c r="B859" s="49"/>
      <c r="C859" s="50"/>
    </row>
    <row r="860" spans="2:3" ht="13.5" customHeight="1">
      <c r="B860" s="49"/>
      <c r="C860" s="50"/>
    </row>
    <row r="861" spans="2:3" ht="13.5" customHeight="1">
      <c r="B861" s="49"/>
      <c r="C861" s="50"/>
    </row>
    <row r="862" spans="2:3" ht="13.5" customHeight="1">
      <c r="B862" s="49"/>
      <c r="C862" s="50"/>
    </row>
    <row r="863" spans="2:3" ht="13.5" customHeight="1">
      <c r="B863" s="49"/>
      <c r="C863" s="50"/>
    </row>
    <row r="864" spans="2:3" ht="13.5" customHeight="1">
      <c r="B864" s="49"/>
      <c r="C864" s="50"/>
    </row>
    <row r="865" spans="2:3" ht="13.5" customHeight="1">
      <c r="B865" s="49"/>
      <c r="C865" s="50"/>
    </row>
    <row r="866" spans="2:3" ht="13.5" customHeight="1">
      <c r="B866" s="49"/>
      <c r="C866" s="50"/>
    </row>
    <row r="867" spans="2:3" ht="13.5" customHeight="1">
      <c r="B867" s="49"/>
      <c r="C867" s="50"/>
    </row>
    <row r="868" spans="2:3" ht="13.5" customHeight="1">
      <c r="B868" s="49"/>
      <c r="C868" s="50"/>
    </row>
    <row r="869" spans="2:3" ht="13.5" customHeight="1">
      <c r="B869" s="49"/>
      <c r="C869" s="50"/>
    </row>
    <row r="870" spans="2:3" ht="13.5" customHeight="1">
      <c r="B870" s="49"/>
      <c r="C870" s="50"/>
    </row>
    <row r="871" spans="2:3" ht="13.5" customHeight="1">
      <c r="B871" s="49"/>
      <c r="C871" s="50"/>
    </row>
    <row r="872" spans="2:3" ht="13.5" customHeight="1">
      <c r="B872" s="49"/>
      <c r="C872" s="50"/>
    </row>
    <row r="873" spans="2:3" ht="13.5" customHeight="1">
      <c r="B873" s="49"/>
      <c r="C873" s="50"/>
    </row>
    <row r="874" spans="2:3" ht="13.5" customHeight="1">
      <c r="B874" s="49"/>
      <c r="C874" s="50"/>
    </row>
    <row r="875" spans="2:3" ht="13.5" customHeight="1">
      <c r="B875" s="49"/>
      <c r="C875" s="50"/>
    </row>
    <row r="876" spans="2:3" ht="13.5" customHeight="1">
      <c r="B876" s="49"/>
      <c r="C876" s="50"/>
    </row>
    <row r="877" spans="2:3" ht="13.5" customHeight="1">
      <c r="B877" s="49"/>
      <c r="C877" s="50"/>
    </row>
    <row r="878" spans="2:3" ht="13.5" customHeight="1">
      <c r="B878" s="49"/>
      <c r="C878" s="50"/>
    </row>
    <row r="879" spans="2:3" ht="13.5" customHeight="1">
      <c r="B879" s="49"/>
      <c r="C879" s="50"/>
    </row>
    <row r="880" spans="2:3" ht="13.5" customHeight="1">
      <c r="B880" s="49"/>
      <c r="C880" s="50"/>
    </row>
    <row r="881" spans="2:3" ht="13.5" customHeight="1">
      <c r="B881" s="49"/>
      <c r="C881" s="50"/>
    </row>
    <row r="882" spans="2:3" ht="13.5" customHeight="1">
      <c r="B882" s="49"/>
      <c r="C882" s="50"/>
    </row>
    <row r="883" spans="2:3" ht="13.5" customHeight="1">
      <c r="B883" s="49"/>
      <c r="C883" s="50"/>
    </row>
    <row r="884" spans="2:3" ht="13.5" customHeight="1">
      <c r="B884" s="49"/>
      <c r="C884" s="50"/>
    </row>
    <row r="885" spans="2:3" ht="13.5" customHeight="1">
      <c r="B885" s="49"/>
      <c r="C885" s="50"/>
    </row>
    <row r="886" spans="2:3" ht="13.5" customHeight="1">
      <c r="B886" s="49"/>
      <c r="C886" s="50"/>
    </row>
    <row r="887" spans="2:3" ht="13.5" customHeight="1">
      <c r="B887" s="49"/>
      <c r="C887" s="50"/>
    </row>
    <row r="888" spans="2:3" ht="13.5" customHeight="1">
      <c r="B888" s="49"/>
      <c r="C888" s="50"/>
    </row>
    <row r="889" spans="2:3" ht="13.5" customHeight="1">
      <c r="B889" s="49"/>
      <c r="C889" s="50"/>
    </row>
    <row r="890" spans="2:3" ht="13.5" customHeight="1">
      <c r="B890" s="49"/>
      <c r="C890" s="50"/>
    </row>
    <row r="891" spans="2:3" ht="13.5" customHeight="1">
      <c r="B891" s="49"/>
      <c r="C891" s="50"/>
    </row>
    <row r="892" spans="2:3" ht="13.5" customHeight="1">
      <c r="B892" s="49"/>
      <c r="C892" s="50"/>
    </row>
    <row r="893" spans="2:3" ht="13.5" customHeight="1">
      <c r="B893" s="49"/>
      <c r="C893" s="50"/>
    </row>
    <row r="894" spans="2:3" ht="13.5" customHeight="1">
      <c r="B894" s="49"/>
      <c r="C894" s="50"/>
    </row>
    <row r="895" spans="2:3" ht="13.5" customHeight="1">
      <c r="B895" s="49"/>
      <c r="C895" s="50"/>
    </row>
    <row r="896" spans="2:3" ht="13.5" customHeight="1">
      <c r="B896" s="49"/>
      <c r="C896" s="50"/>
    </row>
    <row r="897" spans="2:3" ht="13.5" customHeight="1">
      <c r="B897" s="49"/>
      <c r="C897" s="50"/>
    </row>
    <row r="898" spans="2:3" ht="13.5" customHeight="1">
      <c r="B898" s="49"/>
      <c r="C898" s="50"/>
    </row>
    <row r="899" spans="2:3" ht="13.5" customHeight="1">
      <c r="B899" s="49"/>
      <c r="C899" s="50"/>
    </row>
    <row r="900" spans="2:3" ht="13.5" customHeight="1">
      <c r="B900" s="49"/>
      <c r="C900" s="50"/>
    </row>
    <row r="901" spans="2:3" ht="13.5" customHeight="1">
      <c r="B901" s="49"/>
      <c r="C901" s="50"/>
    </row>
    <row r="902" spans="2:3" ht="13.5" customHeight="1">
      <c r="B902" s="49"/>
      <c r="C902" s="50"/>
    </row>
    <row r="903" spans="2:3" ht="13.5" customHeight="1">
      <c r="B903" s="49"/>
      <c r="C903" s="50"/>
    </row>
    <row r="904" spans="2:3" ht="13.5" customHeight="1">
      <c r="B904" s="49"/>
      <c r="C904" s="50"/>
    </row>
    <row r="905" spans="2:3" ht="13.5" customHeight="1">
      <c r="B905" s="49"/>
      <c r="C905" s="50"/>
    </row>
    <row r="906" spans="2:3" ht="13.5" customHeight="1">
      <c r="B906" s="49"/>
      <c r="C906" s="50"/>
    </row>
    <row r="907" spans="2:3" ht="13.5" customHeight="1">
      <c r="B907" s="49"/>
      <c r="C907" s="50"/>
    </row>
    <row r="908" spans="2:3" ht="13.5" customHeight="1">
      <c r="B908" s="49"/>
      <c r="C908" s="50"/>
    </row>
    <row r="909" spans="2:3" ht="13.5" customHeight="1">
      <c r="B909" s="49"/>
      <c r="C909" s="50"/>
    </row>
    <row r="910" spans="2:3" ht="13.5" customHeight="1">
      <c r="B910" s="49"/>
      <c r="C910" s="50"/>
    </row>
    <row r="911" spans="2:3" ht="13.5" customHeight="1">
      <c r="B911" s="49"/>
      <c r="C911" s="50"/>
    </row>
    <row r="912" spans="2:3" ht="13.5" customHeight="1">
      <c r="B912" s="49"/>
      <c r="C912" s="50"/>
    </row>
    <row r="913" spans="2:3" ht="13.5" customHeight="1">
      <c r="B913" s="49"/>
      <c r="C913" s="50"/>
    </row>
    <row r="914" spans="2:3" ht="13.5" customHeight="1">
      <c r="B914" s="49"/>
      <c r="C914" s="50"/>
    </row>
    <row r="915" spans="2:3" ht="13.5" customHeight="1">
      <c r="B915" s="49"/>
      <c r="C915" s="50"/>
    </row>
    <row r="916" spans="2:3" ht="13.5" customHeight="1">
      <c r="B916" s="49"/>
      <c r="C916" s="50"/>
    </row>
    <row r="917" spans="2:3" ht="13.5" customHeight="1">
      <c r="B917" s="49"/>
      <c r="C917" s="50"/>
    </row>
    <row r="918" spans="2:3" ht="13.5" customHeight="1">
      <c r="B918" s="49"/>
      <c r="C918" s="50"/>
    </row>
    <row r="919" spans="2:3" ht="13.5" customHeight="1">
      <c r="B919" s="49"/>
      <c r="C919" s="50"/>
    </row>
    <row r="920" spans="2:3" ht="13.5" customHeight="1">
      <c r="B920" s="49"/>
      <c r="C920" s="50"/>
    </row>
    <row r="921" spans="2:3" ht="13.5" customHeight="1">
      <c r="B921" s="49"/>
      <c r="C921" s="50"/>
    </row>
    <row r="922" spans="2:3" ht="13.5" customHeight="1">
      <c r="B922" s="49"/>
      <c r="C922" s="50"/>
    </row>
    <row r="923" spans="2:3" ht="13.5" customHeight="1">
      <c r="B923" s="49"/>
      <c r="C923" s="50"/>
    </row>
    <row r="924" spans="2:3" ht="13.5" customHeight="1">
      <c r="B924" s="49"/>
      <c r="C924" s="50"/>
    </row>
    <row r="925" spans="2:3" ht="13.5" customHeight="1">
      <c r="B925" s="49"/>
      <c r="C925" s="50"/>
    </row>
    <row r="926" spans="2:3" ht="13.5" customHeight="1">
      <c r="B926" s="49"/>
      <c r="C926" s="50"/>
    </row>
    <row r="927" spans="2:3" ht="13.5" customHeight="1">
      <c r="B927" s="49"/>
      <c r="C927" s="50"/>
    </row>
    <row r="928" spans="2:3" ht="13.5" customHeight="1">
      <c r="B928" s="49"/>
      <c r="C928" s="50"/>
    </row>
    <row r="929" spans="2:3" ht="13.5" customHeight="1">
      <c r="B929" s="49"/>
      <c r="C929" s="50"/>
    </row>
    <row r="930" spans="2:3" ht="13.5" customHeight="1">
      <c r="B930" s="49"/>
      <c r="C930" s="50"/>
    </row>
    <row r="931" spans="2:3" ht="13.5" customHeight="1">
      <c r="B931" s="49"/>
      <c r="C931" s="50"/>
    </row>
    <row r="932" spans="2:3" ht="13.5" customHeight="1">
      <c r="B932" s="49"/>
      <c r="C932" s="50"/>
    </row>
    <row r="933" spans="2:3" ht="13.5" customHeight="1">
      <c r="B933" s="49"/>
      <c r="C933" s="50"/>
    </row>
    <row r="934" spans="2:3" ht="13.5" customHeight="1">
      <c r="B934" s="49"/>
      <c r="C934" s="50"/>
    </row>
    <row r="935" spans="2:3" ht="13.5" customHeight="1">
      <c r="B935" s="49"/>
      <c r="C935" s="50"/>
    </row>
    <row r="936" spans="2:3" ht="13.5" customHeight="1">
      <c r="B936" s="49"/>
      <c r="C936" s="50"/>
    </row>
    <row r="937" spans="2:3" ht="13.5" customHeight="1">
      <c r="B937" s="49"/>
      <c r="C937" s="50"/>
    </row>
    <row r="938" spans="2:3" ht="13.5" customHeight="1">
      <c r="B938" s="49"/>
      <c r="C938" s="50"/>
    </row>
    <row r="939" spans="2:3" ht="13.5" customHeight="1">
      <c r="B939" s="49"/>
      <c r="C939" s="50"/>
    </row>
    <row r="940" spans="2:3" ht="13.5" customHeight="1">
      <c r="B940" s="49"/>
      <c r="C940" s="50"/>
    </row>
    <row r="941" spans="2:3" ht="13.5" customHeight="1">
      <c r="B941" s="49"/>
      <c r="C941" s="50"/>
    </row>
    <row r="942" spans="2:3" ht="13.5" customHeight="1">
      <c r="B942" s="49"/>
      <c r="C942" s="50"/>
    </row>
    <row r="943" spans="2:3" ht="13.5" customHeight="1">
      <c r="B943" s="49"/>
      <c r="C943" s="50"/>
    </row>
    <row r="944" spans="2:3" ht="13.5" customHeight="1">
      <c r="B944" s="49"/>
      <c r="C944" s="50"/>
    </row>
    <row r="945" spans="2:3" ht="13.5" customHeight="1">
      <c r="B945" s="49"/>
      <c r="C945" s="50"/>
    </row>
    <row r="946" spans="2:3" ht="13.5" customHeight="1">
      <c r="B946" s="49"/>
      <c r="C946" s="50"/>
    </row>
    <row r="947" spans="2:3" ht="13.5" customHeight="1">
      <c r="B947" s="49"/>
      <c r="C947" s="50"/>
    </row>
    <row r="948" spans="2:3" ht="13.5" customHeight="1">
      <c r="B948" s="49"/>
      <c r="C948" s="50"/>
    </row>
    <row r="949" spans="2:3" ht="13.5" customHeight="1">
      <c r="B949" s="49"/>
      <c r="C949" s="50"/>
    </row>
    <row r="950" spans="2:3" ht="13.5" customHeight="1">
      <c r="B950" s="49"/>
      <c r="C950" s="50"/>
    </row>
    <row r="951" spans="2:3" ht="13.5" customHeight="1">
      <c r="B951" s="49"/>
      <c r="C951" s="50"/>
    </row>
    <row r="952" spans="2:3" ht="13.5" customHeight="1">
      <c r="B952" s="49"/>
      <c r="C952" s="50"/>
    </row>
    <row r="953" spans="2:3" ht="13.5" customHeight="1">
      <c r="B953" s="49"/>
      <c r="C953" s="50"/>
    </row>
    <row r="954" spans="2:3" ht="13.5" customHeight="1">
      <c r="B954" s="49"/>
      <c r="C954" s="50"/>
    </row>
    <row r="955" spans="2:3" ht="13.5" customHeight="1">
      <c r="B955" s="49"/>
      <c r="C955" s="50"/>
    </row>
    <row r="956" spans="2:3" ht="13.5" customHeight="1">
      <c r="B956" s="49"/>
      <c r="C956" s="50"/>
    </row>
    <row r="957" spans="2:3" ht="13.5" customHeight="1">
      <c r="B957" s="49"/>
      <c r="C957" s="50"/>
    </row>
    <row r="958" spans="2:3" ht="13.5" customHeight="1">
      <c r="B958" s="49"/>
      <c r="C958" s="50"/>
    </row>
    <row r="959" spans="2:3" ht="13.5" customHeight="1">
      <c r="B959" s="49"/>
      <c r="C959" s="50"/>
    </row>
    <row r="960" spans="2:3" ht="13.5" customHeight="1">
      <c r="B960" s="49"/>
      <c r="C960" s="50"/>
    </row>
    <row r="961" spans="2:3" ht="13.5" customHeight="1">
      <c r="B961" s="49"/>
      <c r="C961" s="50"/>
    </row>
    <row r="962" spans="2:3" ht="13.5" customHeight="1">
      <c r="B962" s="49"/>
      <c r="C962" s="50"/>
    </row>
    <row r="963" spans="2:3" ht="13.5" customHeight="1">
      <c r="B963" s="49"/>
      <c r="C963" s="50"/>
    </row>
    <row r="964" spans="2:3" ht="13.5" customHeight="1">
      <c r="B964" s="49"/>
      <c r="C964" s="50"/>
    </row>
    <row r="965" spans="2:3" ht="13.5" customHeight="1">
      <c r="B965" s="49"/>
      <c r="C965" s="50"/>
    </row>
    <row r="966" spans="2:3" ht="13.5" customHeight="1">
      <c r="B966" s="49"/>
      <c r="C966" s="50"/>
    </row>
    <row r="967" spans="2:3" ht="13.5" customHeight="1">
      <c r="B967" s="49"/>
      <c r="C967" s="50"/>
    </row>
    <row r="968" spans="2:3" ht="13.5" customHeight="1">
      <c r="B968" s="49"/>
      <c r="C968" s="50"/>
    </row>
    <row r="969" spans="2:3" ht="13.5" customHeight="1">
      <c r="B969" s="49"/>
      <c r="C969" s="50"/>
    </row>
    <row r="970" spans="2:3" ht="13.5" customHeight="1">
      <c r="B970" s="49"/>
      <c r="C970" s="50"/>
    </row>
    <row r="971" spans="2:3" ht="13.5" customHeight="1">
      <c r="B971" s="49"/>
      <c r="C971" s="50"/>
    </row>
    <row r="972" spans="2:3" ht="13.5" customHeight="1">
      <c r="B972" s="49"/>
      <c r="C972" s="50"/>
    </row>
    <row r="973" spans="2:3" ht="13.5" customHeight="1">
      <c r="B973" s="49"/>
      <c r="C973" s="50"/>
    </row>
    <row r="974" spans="2:3" ht="13.5" customHeight="1">
      <c r="B974" s="49"/>
      <c r="C974" s="50"/>
    </row>
    <row r="975" spans="2:3" ht="13.5" customHeight="1">
      <c r="B975" s="49"/>
      <c r="C975" s="50"/>
    </row>
    <row r="976" spans="2:3" ht="13.5" customHeight="1">
      <c r="B976" s="49"/>
      <c r="C976" s="50"/>
    </row>
    <row r="977" spans="2:3" ht="13.5" customHeight="1">
      <c r="B977" s="49"/>
      <c r="C977" s="50"/>
    </row>
    <row r="978" spans="2:3" ht="13.5" customHeight="1">
      <c r="B978" s="49"/>
      <c r="C978" s="50"/>
    </row>
    <row r="979" spans="2:3" ht="13.5" customHeight="1">
      <c r="B979" s="49"/>
      <c r="C979" s="50"/>
    </row>
    <row r="980" spans="2:3" ht="13.5" customHeight="1">
      <c r="B980" s="49"/>
      <c r="C980" s="50"/>
    </row>
    <row r="981" spans="2:3" ht="13.5" customHeight="1">
      <c r="B981" s="49"/>
      <c r="C981" s="50"/>
    </row>
    <row r="982" spans="2:3" ht="13.5" customHeight="1">
      <c r="B982" s="49"/>
      <c r="C982" s="50"/>
    </row>
    <row r="983" spans="2:3" ht="13.5" customHeight="1">
      <c r="B983" s="49"/>
      <c r="C983" s="50"/>
    </row>
    <row r="984" spans="2:3" ht="13.5" customHeight="1">
      <c r="B984" s="49"/>
      <c r="C984" s="50"/>
    </row>
    <row r="985" spans="2:3" ht="13.5" customHeight="1">
      <c r="B985" s="49"/>
      <c r="C985" s="50"/>
    </row>
    <row r="986" spans="2:3" ht="13.5" customHeight="1">
      <c r="B986" s="49"/>
      <c r="C986" s="50"/>
    </row>
    <row r="987" spans="2:3" ht="13.5" customHeight="1">
      <c r="B987" s="49"/>
      <c r="C987" s="50"/>
    </row>
    <row r="988" spans="2:3" ht="13.5" customHeight="1">
      <c r="B988" s="49"/>
      <c r="C988" s="50"/>
    </row>
    <row r="989" spans="2:3" ht="13.5" customHeight="1">
      <c r="B989" s="49"/>
      <c r="C989" s="50"/>
    </row>
    <row r="990" spans="2:3" ht="13.5" customHeight="1">
      <c r="B990" s="49"/>
      <c r="C990" s="50"/>
    </row>
    <row r="991" spans="2:3" ht="13.5" customHeight="1">
      <c r="B991" s="49"/>
      <c r="C991" s="50"/>
    </row>
    <row r="992" spans="2:3" ht="13.5" customHeight="1">
      <c r="B992" s="108"/>
      <c r="C992" s="108"/>
    </row>
    <row r="993" ht="13.5" customHeight="1"/>
    <row r="994" ht="13.5" customHeight="1"/>
  </sheetData>
  <mergeCells count="16">
    <mergeCell ref="J37:K37"/>
    <mergeCell ref="J38:K38"/>
    <mergeCell ref="J39:K39"/>
    <mergeCell ref="J40:K40"/>
    <mergeCell ref="B5:C5"/>
    <mergeCell ref="F5:F6"/>
    <mergeCell ref="J35:K35"/>
    <mergeCell ref="E4:E6"/>
    <mergeCell ref="G4:G6"/>
    <mergeCell ref="AA35:AB35"/>
    <mergeCell ref="J36:K36"/>
    <mergeCell ref="H2:H6"/>
    <mergeCell ref="K3:K6"/>
    <mergeCell ref="L3:U6"/>
    <mergeCell ref="I4:I6"/>
    <mergeCell ref="J4:J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K1000"/>
  <sheetViews>
    <sheetView showGridLines="0" zoomScaleNormal="100" workbookViewId="0">
      <selection activeCell="L38" sqref="L38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D965"/>
  </sheetPr>
  <dimension ref="B1:L1000"/>
  <sheetViews>
    <sheetView showGridLines="0" zoomScaleNormal="100" workbookViewId="0">
      <selection activeCell="J12" sqref="J12"/>
    </sheetView>
  </sheetViews>
  <sheetFormatPr defaultColWidth="14.42578125" defaultRowHeight="13.15"/>
  <cols>
    <col min="1" max="1" width="5.42578125" style="1" customWidth="1"/>
    <col min="2" max="2" width="9.140625" style="1" customWidth="1"/>
    <col min="3" max="3" width="37.5703125" style="1" customWidth="1"/>
    <col min="4" max="4" width="15" style="1" customWidth="1"/>
    <col min="5" max="5" width="13.28515625" style="1" customWidth="1"/>
    <col min="6" max="6" width="14" style="1" hidden="1" customWidth="1"/>
    <col min="7" max="7" width="19.85546875" style="1" hidden="1" customWidth="1"/>
    <col min="8" max="9" width="17.7109375" style="1" customWidth="1"/>
    <col min="10" max="10" width="49.28515625" style="1" customWidth="1"/>
    <col min="11" max="11" width="12.140625" style="1" customWidth="1"/>
    <col min="12" max="12" width="46.7109375" style="1" hidden="1" customWidth="1"/>
    <col min="13" max="26" width="8.7109375" style="1" customWidth="1"/>
    <col min="27" max="16384" width="14.42578125" style="1"/>
  </cols>
  <sheetData>
    <row r="1" spans="2:12" ht="13.5" customHeight="1"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</row>
    <row r="2" spans="2:12" ht="13.5" customHeight="1"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</row>
    <row r="3" spans="2:12" ht="13.5" customHeight="1"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</row>
    <row r="4" spans="2:12" ht="13.5" customHeight="1">
      <c r="B4" s="108"/>
      <c r="C4" s="108"/>
      <c r="D4" s="108"/>
      <c r="E4" s="108"/>
      <c r="F4" s="108"/>
      <c r="G4" s="108"/>
      <c r="H4" s="108"/>
      <c r="I4" s="108"/>
      <c r="J4" s="108"/>
      <c r="K4" s="108"/>
      <c r="L4" s="108"/>
    </row>
    <row r="5" spans="2:12" ht="13.5" customHeight="1">
      <c r="B5" s="2" t="s">
        <v>608</v>
      </c>
      <c r="C5" s="108"/>
      <c r="D5" s="80"/>
      <c r="E5" s="80"/>
      <c r="F5" s="80"/>
      <c r="G5" s="80"/>
      <c r="H5" s="146" t="s">
        <v>609</v>
      </c>
      <c r="I5" s="147" t="s">
        <v>610</v>
      </c>
      <c r="J5" s="80"/>
      <c r="K5" s="108"/>
      <c r="L5" s="108"/>
    </row>
    <row r="6" spans="2:12" ht="13.5" customHeight="1">
      <c r="B6" s="2"/>
      <c r="C6" s="108"/>
      <c r="D6" s="80"/>
      <c r="E6" s="81" t="s">
        <v>611</v>
      </c>
      <c r="F6" s="80"/>
      <c r="G6" s="80"/>
      <c r="H6" s="146"/>
      <c r="I6" s="146"/>
      <c r="J6" s="80"/>
      <c r="K6" s="50" t="s">
        <v>611</v>
      </c>
      <c r="L6" s="108"/>
    </row>
    <row r="7" spans="2:12" ht="13.5" customHeight="1">
      <c r="B7" s="52" t="s">
        <v>18</v>
      </c>
      <c r="C7" s="52" t="s">
        <v>19</v>
      </c>
      <c r="D7" s="52" t="s">
        <v>612</v>
      </c>
      <c r="E7" s="52" t="s">
        <v>613</v>
      </c>
      <c r="F7" s="52" t="s">
        <v>614</v>
      </c>
      <c r="G7" s="52" t="s">
        <v>615</v>
      </c>
      <c r="H7" s="52" t="s">
        <v>50</v>
      </c>
      <c r="I7" s="52" t="s">
        <v>22</v>
      </c>
      <c r="J7" s="52" t="s">
        <v>616</v>
      </c>
      <c r="K7" s="52" t="s">
        <v>617</v>
      </c>
      <c r="L7" s="22"/>
    </row>
    <row r="8" spans="2:12" ht="13.5" customHeight="1"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spans="2:12" ht="13.5" customHeight="1"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 spans="2:12" ht="13.5" customHeight="1"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</row>
    <row r="11" spans="2:12" ht="13.5" customHeight="1"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2:12" ht="13.5" customHeight="1"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</row>
    <row r="13" spans="2:12" ht="13.5" customHeight="1"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</row>
    <row r="14" spans="2:12" ht="13.5" customHeight="1"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</row>
    <row r="15" spans="2:12" ht="13.5" customHeight="1"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</row>
    <row r="16" spans="2:12" ht="13.5" customHeight="1"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</row>
    <row r="17" spans="2:12" ht="13.5" customHeight="1"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</row>
    <row r="18" spans="2:12" ht="13.5" customHeight="1"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</row>
    <row r="19" spans="2:12" ht="13.5" customHeight="1"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</row>
    <row r="20" spans="2:12" ht="13.5" customHeight="1"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</row>
    <row r="21" spans="2:12" ht="13.5" customHeight="1"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</row>
    <row r="22" spans="2:12" ht="13.5" customHeight="1"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</row>
    <row r="23" spans="2:12" ht="13.5" customHeight="1"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</row>
    <row r="24" spans="2:12" ht="13.5" customHeight="1"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</row>
    <row r="25" spans="2:12" ht="13.5" customHeight="1"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</row>
    <row r="26" spans="2:12" ht="13.5" customHeight="1"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</row>
    <row r="27" spans="2:12" ht="13.5" customHeight="1"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</row>
    <row r="28" spans="2:12" ht="13.5" customHeight="1"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</row>
    <row r="29" spans="2:12" ht="13.5" customHeight="1"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</row>
    <row r="30" spans="2:12" ht="13.5" customHeight="1"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</row>
    <row r="31" spans="2:12" ht="13.5" customHeight="1"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</row>
    <row r="32" spans="2:12" ht="13.5" customHeight="1"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</row>
    <row r="33" spans="2:12" ht="13.5" customHeight="1"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</row>
    <row r="34" spans="2:12" ht="13.5" customHeight="1"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</row>
    <row r="35" spans="2:12" ht="13.5" customHeight="1"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</row>
    <row r="36" spans="2:12" ht="13.5" customHeight="1"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</row>
    <row r="37" spans="2:12" ht="13.5" customHeight="1"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</row>
    <row r="38" spans="2:12" ht="13.5" customHeight="1"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</row>
    <row r="39" spans="2:12" ht="13.5" customHeight="1"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</row>
    <row r="40" spans="2:12" ht="13.5" customHeight="1"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</row>
    <row r="41" spans="2:12" ht="13.5" customHeight="1"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</row>
    <row r="42" spans="2:12" ht="13.5" customHeight="1"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</row>
    <row r="43" spans="2:12" ht="13.5" customHeight="1">
      <c r="B43" s="22"/>
      <c r="C43" s="22"/>
      <c r="D43" s="108"/>
      <c r="E43" s="108"/>
      <c r="F43" s="108"/>
      <c r="G43" s="108"/>
      <c r="H43" s="108"/>
      <c r="I43" s="108"/>
      <c r="J43" s="108"/>
      <c r="K43" s="108"/>
      <c r="L43" s="108"/>
    </row>
    <row r="44" spans="2:12" ht="13.5" customHeight="1">
      <c r="B44" s="22"/>
      <c r="C44" s="22"/>
      <c r="D44" s="108"/>
      <c r="E44" s="108"/>
      <c r="F44" s="108"/>
      <c r="G44" s="108"/>
      <c r="H44" s="108"/>
      <c r="I44" s="108"/>
      <c r="J44" s="108"/>
      <c r="K44" s="108"/>
      <c r="L44" s="108"/>
    </row>
    <row r="45" spans="2:12" ht="13.5" customHeight="1"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</row>
    <row r="46" spans="2:12" ht="13.5" customHeight="1"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</row>
    <row r="47" spans="2:12" ht="13.5" customHeight="1"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</row>
    <row r="48" spans="2:12" ht="13.5" customHeight="1"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</row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2">
    <mergeCell ref="H5:H6"/>
    <mergeCell ref="I5:I6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C8C8C8"/>
  </sheetPr>
  <dimension ref="B1:I1000"/>
  <sheetViews>
    <sheetView showGridLines="0" topLeftCell="C1" zoomScale="95" zoomScaleNormal="95" workbookViewId="0"/>
  </sheetViews>
  <sheetFormatPr defaultColWidth="14.42578125" defaultRowHeight="13.9"/>
  <cols>
    <col min="1" max="3" width="8.7109375" customWidth="1"/>
    <col min="4" max="4" width="13.42578125" hidden="1" customWidth="1"/>
    <col min="5" max="5" width="14" customWidth="1"/>
    <col min="6" max="9" width="54.42578125" customWidth="1"/>
    <col min="10" max="26" width="8.7109375" customWidth="1"/>
  </cols>
  <sheetData>
    <row r="1" spans="2:9" ht="13.5" customHeight="1"/>
    <row r="2" spans="2:9" ht="13.5" customHeight="1"/>
    <row r="3" spans="2:9" ht="13.5" customHeight="1">
      <c r="F3" s="148" t="s">
        <v>618</v>
      </c>
    </row>
    <row r="4" spans="2:9" ht="12.75" customHeight="1">
      <c r="F4" s="148"/>
    </row>
    <row r="5" spans="2:9" ht="13.5" customHeight="1">
      <c r="B5" s="82" t="s">
        <v>619</v>
      </c>
      <c r="C5" s="82"/>
      <c r="F5" s="148"/>
    </row>
    <row r="6" spans="2:9" ht="13.5" customHeight="1">
      <c r="B6" s="150" t="s">
        <v>620</v>
      </c>
      <c r="C6" s="150" t="s">
        <v>621</v>
      </c>
      <c r="E6" s="149" t="s">
        <v>622</v>
      </c>
      <c r="F6" s="148"/>
    </row>
    <row r="7" spans="2:9" ht="13.5" customHeight="1">
      <c r="B7" s="150"/>
      <c r="C7" s="150"/>
      <c r="E7" s="149"/>
      <c r="F7" s="149"/>
    </row>
    <row r="8" spans="2:9" ht="13.5" customHeight="1">
      <c r="B8" s="150"/>
      <c r="C8" s="150"/>
      <c r="E8" s="149"/>
      <c r="F8" s="149"/>
    </row>
    <row r="9" spans="2:9" ht="13.5" customHeight="1">
      <c r="B9" s="83" t="s">
        <v>614</v>
      </c>
      <c r="C9" s="83" t="s">
        <v>614</v>
      </c>
      <c r="D9" s="83" t="s">
        <v>611</v>
      </c>
      <c r="E9" s="83" t="s">
        <v>50</v>
      </c>
      <c r="F9" s="83" t="s">
        <v>623</v>
      </c>
      <c r="G9" s="83" t="s">
        <v>624</v>
      </c>
      <c r="H9" s="83" t="s">
        <v>625</v>
      </c>
      <c r="I9" s="83" t="s">
        <v>23</v>
      </c>
    </row>
    <row r="10" spans="2:9" ht="13.5" customHeight="1">
      <c r="B10" s="84"/>
      <c r="C10" s="84"/>
      <c r="D10" s="84"/>
      <c r="E10" s="84"/>
      <c r="F10" s="84"/>
      <c r="G10" s="84"/>
      <c r="H10" s="84"/>
      <c r="I10" s="84"/>
    </row>
    <row r="11" spans="2:9" ht="13.5" customHeight="1">
      <c r="B11" s="84"/>
      <c r="C11" s="84"/>
      <c r="D11" s="84"/>
      <c r="E11" s="84"/>
      <c r="F11" s="84"/>
      <c r="G11" s="84"/>
      <c r="H11" s="84"/>
      <c r="I11" s="84"/>
    </row>
    <row r="12" spans="2:9" ht="13.5" customHeight="1">
      <c r="B12" s="84"/>
      <c r="C12" s="84"/>
      <c r="D12" s="84"/>
      <c r="E12" s="84"/>
      <c r="F12" s="84"/>
      <c r="G12" s="84"/>
      <c r="H12" s="84"/>
      <c r="I12" s="84"/>
    </row>
    <row r="13" spans="2:9" ht="13.5" customHeight="1">
      <c r="B13" s="84"/>
      <c r="C13" s="84"/>
      <c r="D13" s="84"/>
      <c r="E13" s="84"/>
      <c r="F13" s="84"/>
      <c r="G13" s="84"/>
      <c r="H13" s="84"/>
      <c r="I13" s="84"/>
    </row>
    <row r="14" spans="2:9" ht="13.5" customHeight="1">
      <c r="B14" s="84"/>
      <c r="C14" s="84"/>
      <c r="D14" s="84"/>
      <c r="E14" s="84"/>
      <c r="F14" s="84"/>
      <c r="G14" s="84"/>
      <c r="H14" s="84"/>
      <c r="I14" s="84"/>
    </row>
    <row r="15" spans="2:9" ht="13.5" customHeight="1">
      <c r="B15" s="84"/>
      <c r="C15" s="84"/>
      <c r="D15" s="84"/>
      <c r="E15" s="84"/>
      <c r="F15" s="84"/>
      <c r="G15" s="84"/>
      <c r="H15" s="84"/>
      <c r="I15" s="84"/>
    </row>
    <row r="16" spans="2:9" ht="13.5" customHeight="1">
      <c r="B16" s="84"/>
      <c r="C16" s="84"/>
      <c r="D16" s="84"/>
      <c r="E16" s="84"/>
      <c r="F16" s="84"/>
      <c r="G16" s="84"/>
      <c r="H16" s="84"/>
      <c r="I16" s="84"/>
    </row>
    <row r="17" spans="2:9" ht="13.5" customHeight="1">
      <c r="B17" s="84"/>
      <c r="C17" s="84"/>
      <c r="D17" s="84"/>
      <c r="E17" s="84"/>
      <c r="F17" s="84"/>
      <c r="G17" s="84"/>
      <c r="H17" s="84"/>
      <c r="I17" s="84"/>
    </row>
    <row r="18" spans="2:9" ht="13.5" customHeight="1">
      <c r="B18" s="84"/>
      <c r="C18" s="84"/>
      <c r="D18" s="84"/>
      <c r="E18" s="84"/>
      <c r="F18" s="84"/>
      <c r="G18" s="84"/>
      <c r="H18" s="84"/>
      <c r="I18" s="84"/>
    </row>
    <row r="19" spans="2:9" ht="13.5" customHeight="1">
      <c r="B19" s="84"/>
      <c r="C19" s="84"/>
      <c r="D19" s="84"/>
      <c r="E19" s="84"/>
      <c r="F19" s="84"/>
      <c r="G19" s="84"/>
      <c r="H19" s="84"/>
      <c r="I19" s="84"/>
    </row>
    <row r="20" spans="2:9" ht="13.5" customHeight="1">
      <c r="B20" s="84"/>
      <c r="C20" s="84"/>
      <c r="D20" s="84"/>
      <c r="E20" s="84"/>
      <c r="F20" s="84"/>
      <c r="G20" s="84"/>
      <c r="H20" s="84"/>
      <c r="I20" s="84"/>
    </row>
    <row r="21" spans="2:9" ht="13.5" customHeight="1">
      <c r="B21" s="84"/>
      <c r="C21" s="84"/>
      <c r="D21" s="84"/>
      <c r="E21" s="84"/>
      <c r="F21" s="84"/>
      <c r="G21" s="84"/>
      <c r="H21" s="84"/>
      <c r="I21" s="84"/>
    </row>
    <row r="22" spans="2:9" ht="13.5" customHeight="1">
      <c r="B22" s="84"/>
      <c r="C22" s="84"/>
      <c r="D22" s="84"/>
      <c r="E22" s="84"/>
      <c r="F22" s="84"/>
      <c r="G22" s="84"/>
      <c r="H22" s="84"/>
      <c r="I22" s="84"/>
    </row>
    <row r="23" spans="2:9" ht="13.5" customHeight="1">
      <c r="B23" s="84"/>
      <c r="C23" s="84"/>
      <c r="D23" s="84"/>
      <c r="E23" s="84"/>
      <c r="F23" s="84"/>
      <c r="G23" s="84"/>
      <c r="H23" s="84"/>
      <c r="I23" s="84"/>
    </row>
    <row r="24" spans="2:9" ht="13.5" customHeight="1">
      <c r="B24" s="84"/>
      <c r="C24" s="84"/>
      <c r="D24" s="84"/>
      <c r="E24" s="84"/>
      <c r="F24" s="84"/>
      <c r="G24" s="84"/>
      <c r="H24" s="84"/>
      <c r="I24" s="84"/>
    </row>
    <row r="25" spans="2:9" ht="13.5" customHeight="1">
      <c r="B25" s="84"/>
      <c r="C25" s="84"/>
      <c r="D25" s="84"/>
      <c r="E25" s="84"/>
      <c r="F25" s="84"/>
      <c r="G25" s="84"/>
      <c r="H25" s="84"/>
      <c r="I25" s="84"/>
    </row>
    <row r="26" spans="2:9" ht="13.5" customHeight="1">
      <c r="B26" s="84"/>
      <c r="C26" s="84"/>
      <c r="D26" s="84"/>
      <c r="E26" s="84"/>
      <c r="F26" s="84"/>
      <c r="G26" s="84"/>
      <c r="H26" s="84"/>
      <c r="I26" s="84"/>
    </row>
    <row r="27" spans="2:9" ht="13.5" customHeight="1">
      <c r="B27" s="84"/>
      <c r="C27" s="84"/>
      <c r="D27" s="84"/>
      <c r="E27" s="84"/>
      <c r="F27" s="84"/>
      <c r="G27" s="84"/>
      <c r="H27" s="84"/>
      <c r="I27" s="84"/>
    </row>
    <row r="28" spans="2:9" ht="13.5" customHeight="1">
      <c r="B28" s="84"/>
      <c r="C28" s="84"/>
      <c r="D28" s="84"/>
      <c r="E28" s="84"/>
      <c r="F28" s="84"/>
      <c r="G28" s="84"/>
      <c r="H28" s="84"/>
      <c r="I28" s="84"/>
    </row>
    <row r="29" spans="2:9" ht="13.5" customHeight="1">
      <c r="B29" s="84"/>
      <c r="C29" s="84"/>
      <c r="D29" s="84"/>
      <c r="E29" s="84"/>
      <c r="F29" s="84"/>
      <c r="G29" s="84"/>
      <c r="H29" s="84"/>
      <c r="I29" s="84"/>
    </row>
    <row r="30" spans="2:9" ht="13.5" customHeight="1">
      <c r="B30" s="84"/>
      <c r="C30" s="84"/>
      <c r="D30" s="84"/>
      <c r="E30" s="84"/>
      <c r="F30" s="84"/>
      <c r="G30" s="84"/>
      <c r="H30" s="84"/>
      <c r="I30" s="84"/>
    </row>
    <row r="31" spans="2:9" ht="13.5" customHeight="1">
      <c r="B31" s="84"/>
      <c r="C31" s="84"/>
      <c r="D31" s="84"/>
      <c r="E31" s="84"/>
      <c r="F31" s="84"/>
      <c r="G31" s="84"/>
      <c r="H31" s="84"/>
      <c r="I31" s="84"/>
    </row>
    <row r="32" spans="2:9" ht="13.5" customHeight="1">
      <c r="B32" s="84"/>
      <c r="C32" s="84"/>
      <c r="D32" s="84"/>
      <c r="E32" s="84"/>
      <c r="F32" s="84"/>
      <c r="G32" s="84"/>
      <c r="H32" s="84"/>
      <c r="I32" s="84"/>
    </row>
    <row r="33" spans="2:9" ht="13.5" customHeight="1">
      <c r="B33" s="84"/>
      <c r="C33" s="84"/>
      <c r="D33" s="84"/>
      <c r="E33" s="84"/>
      <c r="F33" s="84"/>
      <c r="G33" s="84"/>
      <c r="H33" s="84"/>
      <c r="I33" s="84"/>
    </row>
    <row r="34" spans="2:9" ht="13.5" customHeight="1">
      <c r="B34" s="84"/>
      <c r="C34" s="84"/>
      <c r="D34" s="84"/>
      <c r="E34" s="84"/>
      <c r="F34" s="84"/>
      <c r="G34" s="84"/>
      <c r="H34" s="84"/>
      <c r="I34" s="84"/>
    </row>
    <row r="35" spans="2:9" ht="13.5" customHeight="1">
      <c r="B35" s="84"/>
      <c r="C35" s="84"/>
      <c r="D35" s="84"/>
      <c r="E35" s="84"/>
      <c r="F35" s="84"/>
      <c r="G35" s="84"/>
      <c r="H35" s="84"/>
      <c r="I35" s="84"/>
    </row>
    <row r="36" spans="2:9" ht="13.5" customHeight="1">
      <c r="B36" s="84"/>
      <c r="C36" s="84"/>
      <c r="D36" s="84"/>
      <c r="E36" s="84"/>
      <c r="F36" s="84"/>
      <c r="G36" s="84"/>
      <c r="H36" s="84"/>
      <c r="I36" s="84"/>
    </row>
    <row r="37" spans="2:9" ht="13.5" customHeight="1">
      <c r="B37" s="84"/>
      <c r="C37" s="84"/>
      <c r="D37" s="84"/>
      <c r="E37" s="84"/>
      <c r="G37" s="84"/>
    </row>
    <row r="38" spans="2:9" ht="13.5" customHeight="1">
      <c r="B38" s="84"/>
      <c r="C38" s="84"/>
      <c r="D38" s="84"/>
      <c r="E38" s="84"/>
      <c r="G38" s="84"/>
    </row>
    <row r="39" spans="2:9" ht="13.5" customHeight="1"/>
    <row r="40" spans="2:9" ht="13.5" customHeight="1"/>
    <row r="41" spans="2:9" ht="13.5" customHeight="1"/>
    <row r="42" spans="2:9" ht="13.5" customHeight="1"/>
    <row r="43" spans="2:9" ht="13.5" customHeight="1"/>
    <row r="44" spans="2:9" ht="13.5" customHeight="1"/>
    <row r="45" spans="2:9" ht="13.5" customHeight="1"/>
    <row r="46" spans="2:9" ht="13.5" customHeight="1"/>
    <row r="47" spans="2:9" ht="13.5" customHeight="1"/>
    <row r="48" spans="2:9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F3:F8"/>
    <mergeCell ref="B6:B8"/>
    <mergeCell ref="C6:C8"/>
    <mergeCell ref="E6:E8"/>
  </mergeCells>
  <pageMargins left="0.7" right="0.7" top="0.75" bottom="0.75" header="0.511811023622047" footer="0.511811023622047"/>
  <pageSetup orientation="landscape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F1000"/>
  <sheetViews>
    <sheetView showGridLines="0" zoomScaleNormal="100" workbookViewId="0"/>
  </sheetViews>
  <sheetFormatPr defaultColWidth="14.42578125" defaultRowHeight="13.9"/>
  <cols>
    <col min="1" max="1" width="4.7109375" customWidth="1"/>
    <col min="2" max="2" width="21.7109375" customWidth="1"/>
    <col min="3" max="3" width="54" customWidth="1"/>
    <col min="4" max="4" width="8.7109375" customWidth="1"/>
    <col min="5" max="5" width="34.5703125" customWidth="1"/>
    <col min="6" max="6" width="53.28515625" customWidth="1"/>
    <col min="7" max="26" width="8.7109375" customWidth="1"/>
  </cols>
  <sheetData>
    <row r="1" spans="2:6" ht="13.5" customHeight="1"/>
    <row r="2" spans="2:6" ht="13.5" customHeight="1"/>
    <row r="3" spans="2:6" ht="13.5" customHeight="1"/>
    <row r="4" spans="2:6" ht="13.5" customHeight="1"/>
    <row r="5" spans="2:6" ht="13.5" customHeight="1">
      <c r="B5" s="85" t="s">
        <v>626</v>
      </c>
    </row>
    <row r="6" spans="2:6" ht="13.5" customHeight="1"/>
    <row r="7" spans="2:6" ht="13.5" customHeight="1">
      <c r="B7" s="86" t="s">
        <v>627</v>
      </c>
      <c r="E7" s="86" t="s">
        <v>628</v>
      </c>
    </row>
    <row r="8" spans="2:6" ht="13.5" customHeight="1">
      <c r="B8" s="87" t="s">
        <v>19</v>
      </c>
      <c r="C8" s="87" t="s">
        <v>629</v>
      </c>
      <c r="E8" s="87" t="s">
        <v>19</v>
      </c>
      <c r="F8" s="87" t="s">
        <v>629</v>
      </c>
    </row>
    <row r="9" spans="2:6" ht="13.5" customHeight="1">
      <c r="B9" s="88" t="s">
        <v>630</v>
      </c>
      <c r="C9" s="89" t="s">
        <v>631</v>
      </c>
      <c r="E9" s="88"/>
      <c r="F9" s="89"/>
    </row>
    <row r="10" spans="2:6" ht="13.5" customHeight="1">
      <c r="B10" s="88"/>
      <c r="C10" s="88"/>
      <c r="E10" s="88"/>
      <c r="F10" s="88"/>
    </row>
    <row r="11" spans="2:6" ht="13.5" customHeight="1">
      <c r="B11" s="88"/>
      <c r="C11" s="88"/>
      <c r="E11" s="88"/>
      <c r="F11" s="88"/>
    </row>
    <row r="12" spans="2:6" ht="13.5" customHeight="1">
      <c r="B12" s="88"/>
      <c r="C12" s="88"/>
      <c r="E12" s="88"/>
      <c r="F12" s="88"/>
    </row>
    <row r="13" spans="2:6" ht="13.5" customHeight="1">
      <c r="B13" s="88"/>
      <c r="C13" s="88"/>
      <c r="E13" s="88"/>
      <c r="F13" s="88"/>
    </row>
    <row r="14" spans="2:6" ht="13.5" customHeight="1">
      <c r="B14" s="88"/>
      <c r="C14" s="88"/>
      <c r="E14" s="88"/>
      <c r="F14" s="88"/>
    </row>
    <row r="15" spans="2:6" ht="13.5" customHeight="1">
      <c r="B15" s="88"/>
      <c r="C15" s="88"/>
      <c r="E15" s="88"/>
      <c r="F15" s="88"/>
    </row>
    <row r="16" spans="2:6" ht="13.5" customHeight="1">
      <c r="B16" s="88"/>
      <c r="C16" s="88"/>
      <c r="E16" s="88"/>
      <c r="F16" s="88"/>
    </row>
    <row r="17" spans="2:6" ht="13.5" customHeight="1">
      <c r="B17" s="88"/>
      <c r="C17" s="88"/>
      <c r="E17" s="88"/>
      <c r="F17" s="88"/>
    </row>
    <row r="18" spans="2:6" ht="13.5" customHeight="1">
      <c r="B18" s="88"/>
      <c r="C18" s="88"/>
      <c r="E18" s="88"/>
      <c r="F18" s="88"/>
    </row>
    <row r="19" spans="2:6" ht="13.5" customHeight="1">
      <c r="B19" s="88"/>
      <c r="C19" s="88"/>
      <c r="E19" s="88"/>
      <c r="F19" s="88"/>
    </row>
    <row r="20" spans="2:6" ht="13.5" customHeight="1">
      <c r="B20" s="88"/>
      <c r="C20" s="88"/>
      <c r="E20" s="88"/>
      <c r="F20" s="88"/>
    </row>
    <row r="21" spans="2:6" ht="13.5" customHeight="1">
      <c r="B21" s="88"/>
      <c r="C21" s="88"/>
      <c r="E21" s="88"/>
      <c r="F21" s="88"/>
    </row>
    <row r="22" spans="2:6" ht="13.5" customHeight="1">
      <c r="B22" s="88"/>
      <c r="C22" s="88"/>
      <c r="E22" s="88"/>
      <c r="F22" s="88"/>
    </row>
    <row r="23" spans="2:6" ht="13.5" customHeight="1">
      <c r="B23" s="88"/>
      <c r="C23" s="88"/>
      <c r="E23" s="88"/>
      <c r="F23" s="88"/>
    </row>
    <row r="24" spans="2:6" ht="13.5" customHeight="1">
      <c r="B24" s="88"/>
      <c r="C24" s="88"/>
      <c r="E24" s="88"/>
      <c r="F24" s="88"/>
    </row>
    <row r="25" spans="2:6" ht="13.5" customHeight="1">
      <c r="B25" s="88"/>
      <c r="C25" s="88"/>
      <c r="E25" s="88"/>
      <c r="F25" s="88"/>
    </row>
    <row r="26" spans="2:6" ht="13.5" customHeight="1">
      <c r="B26" s="90"/>
      <c r="C26" s="90"/>
      <c r="E26" s="90"/>
      <c r="F26" s="90"/>
    </row>
    <row r="27" spans="2:6" ht="13.5" customHeight="1">
      <c r="B27" s="84"/>
      <c r="C27" s="84"/>
      <c r="E27" s="84"/>
      <c r="F27" s="84"/>
    </row>
    <row r="28" spans="2:6" ht="13.5" customHeight="1">
      <c r="B28" s="84"/>
      <c r="C28" s="84"/>
      <c r="E28" s="84"/>
      <c r="F28" s="84"/>
    </row>
    <row r="29" spans="2:6" ht="13.5" customHeight="1">
      <c r="B29" s="84"/>
      <c r="C29" s="84"/>
      <c r="E29" s="84"/>
      <c r="F29" s="84"/>
    </row>
    <row r="30" spans="2:6" ht="13.5" customHeight="1">
      <c r="B30" s="84"/>
      <c r="C30" s="84"/>
      <c r="E30" s="84"/>
      <c r="F30" s="84"/>
    </row>
    <row r="31" spans="2:6" ht="13.5" customHeight="1">
      <c r="B31" s="84"/>
      <c r="C31" s="84"/>
      <c r="E31" s="84"/>
      <c r="F31" s="84"/>
    </row>
    <row r="32" spans="2:6" ht="13.5" customHeight="1">
      <c r="B32" s="84"/>
      <c r="C32" s="84"/>
      <c r="E32" s="84"/>
      <c r="F32" s="84"/>
    </row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hyperlinks>
    <hyperlink ref="C9" r:id="rId1" xr:uid="{00000000-0004-0000-1000-000000000000}"/>
  </hyperlinks>
  <pageMargins left="0.7" right="0.7" top="0.75" bottom="0.75" header="0.511811023622047" footer="0.511811023622047"/>
  <pageSetup orientation="landscape" horizontalDpi="300" verticalDpi="300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M152"/>
  <sheetViews>
    <sheetView showGridLines="0" zoomScaleNormal="100" workbookViewId="0">
      <pane xSplit="1" ySplit="17" topLeftCell="B18" activePane="bottomRight" state="frozen"/>
      <selection pane="bottomRight"/>
      <selection pane="bottomLeft" activeCell="A18" sqref="A18"/>
      <selection pane="topRight" activeCell="B1" sqref="B1"/>
    </sheetView>
  </sheetViews>
  <sheetFormatPr defaultColWidth="8.7109375" defaultRowHeight="13.9"/>
  <cols>
    <col min="1" max="1" width="3" customWidth="1"/>
    <col min="2" max="2" width="10" customWidth="1"/>
    <col min="3" max="3" width="9" customWidth="1"/>
    <col min="4" max="4" width="10" customWidth="1"/>
    <col min="5" max="7" width="9" customWidth="1"/>
    <col min="8" max="8" width="10" customWidth="1"/>
    <col min="9" max="9" width="9" customWidth="1"/>
    <col min="10" max="10" width="11" customWidth="1"/>
    <col min="11" max="11" width="19" customWidth="1"/>
    <col min="12" max="12" width="72" customWidth="1"/>
    <col min="13" max="13" width="62" customWidth="1"/>
  </cols>
  <sheetData>
    <row r="2" spans="2:12" ht="15" customHeight="1">
      <c r="B2" s="91" t="s">
        <v>632</v>
      </c>
    </row>
    <row r="3" spans="2:12" ht="15" customHeight="1">
      <c r="B3" s="92" t="s">
        <v>633</v>
      </c>
    </row>
    <row r="6" spans="2:12" ht="15" customHeight="1">
      <c r="B6" s="93" t="s">
        <v>634</v>
      </c>
      <c r="I6" s="93" t="s">
        <v>635</v>
      </c>
    </row>
    <row r="7" spans="2:12" ht="39.75" customHeight="1">
      <c r="B7" s="94" t="s">
        <v>24</v>
      </c>
      <c r="C7" s="94" t="s">
        <v>636</v>
      </c>
      <c r="D7" s="94" t="s">
        <v>637</v>
      </c>
      <c r="E7" s="94" t="s">
        <v>638</v>
      </c>
      <c r="F7" s="94" t="s">
        <v>639</v>
      </c>
      <c r="G7" s="94" t="s">
        <v>640</v>
      </c>
      <c r="I7" s="151" t="s">
        <v>641</v>
      </c>
      <c r="J7" s="151"/>
      <c r="K7" s="151"/>
      <c r="L7" s="151"/>
    </row>
    <row r="8" spans="2:12" ht="15" customHeight="1">
      <c r="B8" s="95">
        <v>1</v>
      </c>
      <c r="C8" s="95">
        <f t="shared" ref="C8:C13" si="0">SUMIFS($G$18:$G$152,$H$18:$H$152,B8)</f>
        <v>196</v>
      </c>
      <c r="D8" s="95">
        <f t="shared" ref="D8:D13" si="1">SUMIFS($F$18:$F$152,$B$18:$B$152,B8)</f>
        <v>112</v>
      </c>
      <c r="E8" s="95">
        <f t="shared" ref="E8:E13" si="2">D8-C8</f>
        <v>-84</v>
      </c>
      <c r="F8" s="95">
        <f>'Sprint 1 Backlog'!G23</f>
        <v>214</v>
      </c>
      <c r="G8" s="95">
        <f t="shared" ref="G8:G13" si="3">D8-F8</f>
        <v>-102</v>
      </c>
      <c r="I8" s="151"/>
      <c r="J8" s="151"/>
      <c r="K8" s="151"/>
      <c r="L8" s="151"/>
    </row>
    <row r="9" spans="2:12" ht="15" customHeight="1">
      <c r="B9" s="95">
        <v>2</v>
      </c>
      <c r="C9" s="95">
        <f t="shared" si="0"/>
        <v>199</v>
      </c>
      <c r="D9" s="95">
        <f t="shared" si="1"/>
        <v>120</v>
      </c>
      <c r="E9" s="95">
        <f t="shared" si="2"/>
        <v>-79</v>
      </c>
      <c r="F9" s="95">
        <f>'Sprint 2 Backlog'!G31</f>
        <v>4</v>
      </c>
      <c r="G9" s="95">
        <f t="shared" si="3"/>
        <v>116</v>
      </c>
      <c r="I9" s="151" t="s">
        <v>642</v>
      </c>
      <c r="J9" s="151"/>
      <c r="K9" s="151"/>
      <c r="L9" s="151"/>
    </row>
    <row r="10" spans="2:12" ht="15" customHeight="1">
      <c r="B10" s="95">
        <v>3</v>
      </c>
      <c r="C10" s="95">
        <f t="shared" si="0"/>
        <v>179.5</v>
      </c>
      <c r="D10" s="95">
        <f t="shared" si="1"/>
        <v>120</v>
      </c>
      <c r="E10" s="95">
        <f t="shared" si="2"/>
        <v>-59.5</v>
      </c>
      <c r="F10" s="95">
        <f>'Sprint 3 Backlog'!G38</f>
        <v>235</v>
      </c>
      <c r="G10" s="95">
        <f t="shared" si="3"/>
        <v>-115</v>
      </c>
      <c r="I10" s="151"/>
      <c r="J10" s="151"/>
      <c r="K10" s="151"/>
      <c r="L10" s="151"/>
    </row>
    <row r="11" spans="2:12" ht="15" customHeight="1">
      <c r="B11" s="95">
        <v>4</v>
      </c>
      <c r="C11" s="95">
        <f t="shared" si="0"/>
        <v>150.5</v>
      </c>
      <c r="D11" s="95">
        <f t="shared" si="1"/>
        <v>122</v>
      </c>
      <c r="E11" s="95">
        <f t="shared" si="2"/>
        <v>-28.5</v>
      </c>
      <c r="F11" s="95">
        <f>'Sprint 4 Backlog'!G35</f>
        <v>236</v>
      </c>
      <c r="G11" s="95">
        <f t="shared" si="3"/>
        <v>-114</v>
      </c>
      <c r="I11" s="151" t="s">
        <v>643</v>
      </c>
      <c r="J11" s="151"/>
      <c r="K11" s="151"/>
      <c r="L11" s="151"/>
    </row>
    <row r="12" spans="2:12" ht="15" customHeight="1">
      <c r="B12" s="95">
        <v>5</v>
      </c>
      <c r="C12" s="95">
        <f t="shared" si="0"/>
        <v>186.5</v>
      </c>
      <c r="D12" s="95">
        <f t="shared" si="1"/>
        <v>125</v>
      </c>
      <c r="E12" s="95">
        <f t="shared" si="2"/>
        <v>-61.5</v>
      </c>
      <c r="F12" s="95">
        <f>'Sprint 5 Backlog'!G34</f>
        <v>238</v>
      </c>
      <c r="G12" s="95">
        <f t="shared" si="3"/>
        <v>-113</v>
      </c>
      <c r="I12" s="151"/>
      <c r="J12" s="151"/>
      <c r="K12" s="151"/>
      <c r="L12" s="151"/>
    </row>
    <row r="13" spans="2:12" ht="15" customHeight="1">
      <c r="B13" s="95">
        <v>6</v>
      </c>
      <c r="C13" s="95">
        <f t="shared" si="0"/>
        <v>177</v>
      </c>
      <c r="D13" s="95">
        <f t="shared" si="1"/>
        <v>125</v>
      </c>
      <c r="E13" s="95">
        <f t="shared" si="2"/>
        <v>-52</v>
      </c>
      <c r="F13" s="95">
        <f>'Sprint 6 Backlog'!G29</f>
        <v>250</v>
      </c>
      <c r="G13" s="95">
        <f t="shared" si="3"/>
        <v>-125</v>
      </c>
      <c r="I13" s="151" t="s">
        <v>644</v>
      </c>
      <c r="J13" s="151"/>
      <c r="K13" s="151"/>
      <c r="L13" s="151"/>
    </row>
    <row r="14" spans="2:12" ht="15" customHeight="1">
      <c r="B14" s="96" t="s">
        <v>267</v>
      </c>
      <c r="C14" s="96">
        <f>SUM(C8:C13)</f>
        <v>1088.5</v>
      </c>
      <c r="D14" s="96">
        <f>SUM(D8:D13)</f>
        <v>724</v>
      </c>
      <c r="E14" s="96">
        <f>SUM(E8:E13)</f>
        <v>-364.5</v>
      </c>
      <c r="F14" s="96">
        <f>SUM(F8:F13)</f>
        <v>1177</v>
      </c>
      <c r="G14" s="96">
        <f>SUM(G8:G13)</f>
        <v>-453</v>
      </c>
      <c r="I14" s="151"/>
      <c r="J14" s="151"/>
      <c r="K14" s="151"/>
      <c r="L14" s="151"/>
    </row>
    <row r="16" spans="2:12" ht="15" customHeight="1">
      <c r="B16" s="93" t="s">
        <v>645</v>
      </c>
    </row>
    <row r="17" spans="2:13" ht="27" customHeight="1">
      <c r="B17" s="94" t="s">
        <v>646</v>
      </c>
      <c r="C17" s="94" t="s">
        <v>647</v>
      </c>
      <c r="D17" s="94" t="s">
        <v>278</v>
      </c>
      <c r="E17" s="94" t="s">
        <v>44</v>
      </c>
      <c r="F17" s="94" t="s">
        <v>648</v>
      </c>
      <c r="G17" s="94" t="s">
        <v>649</v>
      </c>
      <c r="H17" s="94" t="s">
        <v>650</v>
      </c>
      <c r="I17" s="94" t="s">
        <v>651</v>
      </c>
      <c r="J17" s="94" t="s">
        <v>638</v>
      </c>
      <c r="K17" s="94" t="s">
        <v>50</v>
      </c>
      <c r="L17" s="94" t="s">
        <v>19</v>
      </c>
      <c r="M17" s="94" t="s">
        <v>652</v>
      </c>
    </row>
    <row r="18" spans="2:13" ht="15" customHeight="1">
      <c r="B18" s="97">
        <v>1</v>
      </c>
      <c r="C18" s="97" t="s">
        <v>299</v>
      </c>
      <c r="D18" s="97" t="s">
        <v>93</v>
      </c>
      <c r="E18" s="97">
        <f>INDEX('Product Backlog'!$I$8:$I$48,MATCH(D18,'Product Backlog'!$B$8:$B$48,0))</f>
        <v>1</v>
      </c>
      <c r="F18" s="97">
        <v>9</v>
      </c>
      <c r="G18" s="97">
        <v>14</v>
      </c>
      <c r="H18" s="97">
        <v>1</v>
      </c>
      <c r="I18" s="97" t="s">
        <v>299</v>
      </c>
      <c r="J18" s="97" t="s">
        <v>653</v>
      </c>
      <c r="K18" s="98" t="s">
        <v>301</v>
      </c>
      <c r="L18" s="99" t="s">
        <v>654</v>
      </c>
      <c r="M18" s="99"/>
    </row>
    <row r="19" spans="2:13" ht="15" customHeight="1">
      <c r="B19" s="97">
        <v>1</v>
      </c>
      <c r="C19" s="97" t="s">
        <v>303</v>
      </c>
      <c r="D19" s="97" t="s">
        <v>93</v>
      </c>
      <c r="E19" s="97">
        <f>INDEX('Product Backlog'!$I$8:$I$48,MATCH(D19,'Product Backlog'!$B$8:$B$48,0))</f>
        <v>1</v>
      </c>
      <c r="F19" s="97">
        <v>7</v>
      </c>
      <c r="G19" s="97">
        <v>10</v>
      </c>
      <c r="H19" s="97">
        <v>1</v>
      </c>
      <c r="I19" s="97" t="s">
        <v>303</v>
      </c>
      <c r="J19" s="97" t="s">
        <v>653</v>
      </c>
      <c r="K19" s="98" t="s">
        <v>301</v>
      </c>
      <c r="L19" s="99" t="s">
        <v>304</v>
      </c>
      <c r="M19" s="99"/>
    </row>
    <row r="20" spans="2:13" ht="15" customHeight="1">
      <c r="B20" s="97">
        <v>1</v>
      </c>
      <c r="C20" s="97" t="s">
        <v>306</v>
      </c>
      <c r="D20" s="97" t="s">
        <v>93</v>
      </c>
      <c r="E20" s="97">
        <f>INDEX('Product Backlog'!$I$8:$I$48,MATCH(D20,'Product Backlog'!$B$8:$B$48,0))</f>
        <v>1</v>
      </c>
      <c r="F20" s="97">
        <v>7</v>
      </c>
      <c r="G20" s="97">
        <v>10</v>
      </c>
      <c r="H20" s="97">
        <v>1</v>
      </c>
      <c r="I20" s="97" t="s">
        <v>306</v>
      </c>
      <c r="J20" s="97" t="s">
        <v>653</v>
      </c>
      <c r="K20" s="98" t="s">
        <v>655</v>
      </c>
      <c r="L20" s="99" t="s">
        <v>307</v>
      </c>
      <c r="M20" s="99"/>
    </row>
    <row r="21" spans="2:13" ht="15" customHeight="1">
      <c r="B21" s="97">
        <v>1</v>
      </c>
      <c r="C21" s="97" t="s">
        <v>308</v>
      </c>
      <c r="D21" s="97" t="s">
        <v>198</v>
      </c>
      <c r="E21" s="97">
        <f>INDEX('Product Backlog'!$I$8:$I$48,MATCH(D21,'Product Backlog'!$B$8:$B$48,0))</f>
        <v>1</v>
      </c>
      <c r="F21" s="97">
        <v>5</v>
      </c>
      <c r="G21" s="97">
        <v>7</v>
      </c>
      <c r="H21" s="97">
        <v>1</v>
      </c>
      <c r="I21" s="97" t="s">
        <v>308</v>
      </c>
      <c r="J21" s="97" t="s">
        <v>653</v>
      </c>
      <c r="K21" s="98" t="s">
        <v>656</v>
      </c>
      <c r="L21" s="99" t="s">
        <v>309</v>
      </c>
      <c r="M21" s="99"/>
    </row>
    <row r="22" spans="2:13" ht="15" customHeight="1">
      <c r="B22" s="97">
        <v>1</v>
      </c>
      <c r="C22" s="97" t="s">
        <v>310</v>
      </c>
      <c r="D22" s="97" t="s">
        <v>198</v>
      </c>
      <c r="E22" s="97">
        <f>INDEX('Product Backlog'!$I$8:$I$48,MATCH(D22,'Product Backlog'!$B$8:$B$48,0))</f>
        <v>1</v>
      </c>
      <c r="F22" s="97">
        <v>11</v>
      </c>
      <c r="G22" s="97">
        <v>17</v>
      </c>
      <c r="H22" s="97">
        <v>1</v>
      </c>
      <c r="I22" s="97" t="s">
        <v>310</v>
      </c>
      <c r="J22" s="97" t="s">
        <v>653</v>
      </c>
      <c r="K22" s="98" t="s">
        <v>656</v>
      </c>
      <c r="L22" s="99" t="s">
        <v>311</v>
      </c>
      <c r="M22" s="99"/>
    </row>
    <row r="23" spans="2:13" ht="15" customHeight="1">
      <c r="B23" s="97">
        <v>1</v>
      </c>
      <c r="C23" s="97" t="s">
        <v>312</v>
      </c>
      <c r="D23" s="97" t="s">
        <v>198</v>
      </c>
      <c r="E23" s="97">
        <f>INDEX('Product Backlog'!$I$8:$I$48,MATCH(D23,'Product Backlog'!$B$8:$B$48,0))</f>
        <v>1</v>
      </c>
      <c r="F23" s="97">
        <v>11</v>
      </c>
      <c r="G23" s="97">
        <v>17</v>
      </c>
      <c r="H23" s="97">
        <v>1</v>
      </c>
      <c r="I23" s="97" t="s">
        <v>312</v>
      </c>
      <c r="J23" s="97" t="s">
        <v>653</v>
      </c>
      <c r="K23" s="98" t="s">
        <v>656</v>
      </c>
      <c r="L23" s="99" t="s">
        <v>313</v>
      </c>
      <c r="M23" s="99"/>
    </row>
    <row r="24" spans="2:13" ht="15" customHeight="1">
      <c r="B24" s="97">
        <v>1</v>
      </c>
      <c r="C24" s="97" t="s">
        <v>315</v>
      </c>
      <c r="D24" s="97" t="s">
        <v>51</v>
      </c>
      <c r="E24" s="97">
        <f>INDEX('Product Backlog'!$I$8:$I$48,MATCH(D24,'Product Backlog'!$B$8:$B$48,0))</f>
        <v>1</v>
      </c>
      <c r="F24" s="97">
        <v>5</v>
      </c>
      <c r="G24" s="97">
        <v>7</v>
      </c>
      <c r="H24" s="97">
        <v>1</v>
      </c>
      <c r="I24" s="97" t="s">
        <v>315</v>
      </c>
      <c r="J24" s="97" t="s">
        <v>653</v>
      </c>
      <c r="K24" s="98" t="s">
        <v>657</v>
      </c>
      <c r="L24" s="99" t="s">
        <v>316</v>
      </c>
      <c r="M24" s="99"/>
    </row>
    <row r="25" spans="2:13" ht="15" customHeight="1">
      <c r="B25" s="97">
        <v>1</v>
      </c>
      <c r="C25" s="97" t="s">
        <v>317</v>
      </c>
      <c r="D25" s="97" t="s">
        <v>51</v>
      </c>
      <c r="E25" s="97">
        <f>INDEX('Product Backlog'!$I$8:$I$48,MATCH(D25,'Product Backlog'!$B$8:$B$48,0))</f>
        <v>1</v>
      </c>
      <c r="F25" s="97">
        <v>7</v>
      </c>
      <c r="G25" s="97">
        <v>10</v>
      </c>
      <c r="H25" s="97">
        <v>1</v>
      </c>
      <c r="I25" s="97" t="s">
        <v>317</v>
      </c>
      <c r="J25" s="97" t="s">
        <v>653</v>
      </c>
      <c r="K25" s="98" t="s">
        <v>658</v>
      </c>
      <c r="L25" s="99" t="s">
        <v>318</v>
      </c>
      <c r="M25" s="99"/>
    </row>
    <row r="26" spans="2:13" ht="15" customHeight="1">
      <c r="B26" s="97">
        <v>1</v>
      </c>
      <c r="C26" s="97" t="s">
        <v>320</v>
      </c>
      <c r="D26" s="97" t="s">
        <v>51</v>
      </c>
      <c r="E26" s="97">
        <f>INDEX('Product Backlog'!$I$8:$I$48,MATCH(D26,'Product Backlog'!$B$8:$B$48,0))</f>
        <v>1</v>
      </c>
      <c r="F26" s="97">
        <v>3</v>
      </c>
      <c r="G26" s="97">
        <v>5</v>
      </c>
      <c r="H26" s="97">
        <v>1</v>
      </c>
      <c r="I26" s="97" t="s">
        <v>320</v>
      </c>
      <c r="J26" s="97" t="s">
        <v>653</v>
      </c>
      <c r="K26" s="98" t="s">
        <v>658</v>
      </c>
      <c r="L26" s="99" t="s">
        <v>321</v>
      </c>
      <c r="M26" s="99"/>
    </row>
    <row r="27" spans="2:13" ht="15" customHeight="1">
      <c r="B27" s="97">
        <v>1</v>
      </c>
      <c r="C27" s="97" t="s">
        <v>322</v>
      </c>
      <c r="D27" s="97" t="s">
        <v>51</v>
      </c>
      <c r="E27" s="97">
        <f>INDEX('Product Backlog'!$I$8:$I$48,MATCH(D27,'Product Backlog'!$B$8:$B$48,0))</f>
        <v>1</v>
      </c>
      <c r="F27" s="97">
        <v>2</v>
      </c>
      <c r="G27" s="97">
        <v>3</v>
      </c>
      <c r="H27" s="97">
        <v>1</v>
      </c>
      <c r="I27" s="97" t="s">
        <v>322</v>
      </c>
      <c r="J27" s="97" t="s">
        <v>653</v>
      </c>
      <c r="K27" s="98" t="s">
        <v>658</v>
      </c>
      <c r="L27" s="99" t="s">
        <v>323</v>
      </c>
      <c r="M27" s="99"/>
    </row>
    <row r="28" spans="2:13" ht="15" customHeight="1">
      <c r="B28" s="97">
        <v>1</v>
      </c>
      <c r="C28" s="97" t="s">
        <v>324</v>
      </c>
      <c r="D28" s="97" t="s">
        <v>59</v>
      </c>
      <c r="E28" s="97">
        <f>INDEX('Product Backlog'!$I$8:$I$48,MATCH(D28,'Product Backlog'!$B$8:$B$48,0))</f>
        <v>1</v>
      </c>
      <c r="F28" s="97">
        <v>7</v>
      </c>
      <c r="G28" s="97">
        <v>10</v>
      </c>
      <c r="H28" s="97">
        <v>1</v>
      </c>
      <c r="I28" s="97" t="s">
        <v>324</v>
      </c>
      <c r="J28" s="97" t="s">
        <v>653</v>
      </c>
      <c r="K28" s="98" t="s">
        <v>659</v>
      </c>
      <c r="L28" s="99" t="s">
        <v>325</v>
      </c>
      <c r="M28" s="99"/>
    </row>
    <row r="29" spans="2:13" ht="15" customHeight="1">
      <c r="B29" s="97">
        <v>1</v>
      </c>
      <c r="C29" s="97" t="s">
        <v>326</v>
      </c>
      <c r="D29" s="97" t="s">
        <v>59</v>
      </c>
      <c r="E29" s="97">
        <f>INDEX('Product Backlog'!$I$8:$I$48,MATCH(D29,'Product Backlog'!$B$8:$B$48,0))</f>
        <v>1</v>
      </c>
      <c r="F29" s="97">
        <v>6</v>
      </c>
      <c r="G29" s="97">
        <v>9</v>
      </c>
      <c r="H29" s="97">
        <v>1</v>
      </c>
      <c r="I29" s="97" t="s">
        <v>326</v>
      </c>
      <c r="J29" s="97" t="s">
        <v>653</v>
      </c>
      <c r="K29" s="98" t="s">
        <v>659</v>
      </c>
      <c r="L29" s="99" t="s">
        <v>327</v>
      </c>
      <c r="M29" s="99"/>
    </row>
    <row r="30" spans="2:13" ht="15" customHeight="1">
      <c r="B30" s="97">
        <v>1</v>
      </c>
      <c r="C30" s="97" t="s">
        <v>328</v>
      </c>
      <c r="D30" s="97" t="s">
        <v>59</v>
      </c>
      <c r="E30" s="97">
        <f>INDEX('Product Backlog'!$I$8:$I$48,MATCH(D30,'Product Backlog'!$B$8:$B$48,0))</f>
        <v>1</v>
      </c>
      <c r="F30" s="97">
        <v>3</v>
      </c>
      <c r="G30" s="97">
        <v>5</v>
      </c>
      <c r="H30" s="97">
        <v>1</v>
      </c>
      <c r="I30" s="97" t="s">
        <v>328</v>
      </c>
      <c r="J30" s="97" t="s">
        <v>653</v>
      </c>
      <c r="K30" s="98" t="s">
        <v>659</v>
      </c>
      <c r="L30" s="99" t="s">
        <v>329</v>
      </c>
      <c r="M30" s="99"/>
    </row>
    <row r="31" spans="2:13" ht="15" customHeight="1">
      <c r="B31" s="97">
        <v>1</v>
      </c>
      <c r="C31" s="97" t="s">
        <v>330</v>
      </c>
      <c r="D31" s="97" t="s">
        <v>80</v>
      </c>
      <c r="E31" s="97">
        <f>INDEX('Product Backlog'!$I$8:$I$48,MATCH(D31,'Product Backlog'!$B$8:$B$48,0))</f>
        <v>1</v>
      </c>
      <c r="F31" s="97">
        <v>9</v>
      </c>
      <c r="G31" s="97">
        <v>14</v>
      </c>
      <c r="H31" s="97">
        <v>1</v>
      </c>
      <c r="I31" s="97" t="s">
        <v>330</v>
      </c>
      <c r="J31" s="97" t="s">
        <v>653</v>
      </c>
      <c r="K31" s="98" t="s">
        <v>660</v>
      </c>
      <c r="L31" s="99" t="s">
        <v>331</v>
      </c>
      <c r="M31" s="99"/>
    </row>
    <row r="32" spans="2:13" ht="15" customHeight="1">
      <c r="B32" s="97">
        <v>1</v>
      </c>
      <c r="C32" s="97" t="s">
        <v>661</v>
      </c>
      <c r="D32" s="97" t="s">
        <v>80</v>
      </c>
      <c r="E32" s="97">
        <f>INDEX('Product Backlog'!$I$8:$I$48,MATCH(D32,'Product Backlog'!$B$8:$B$48,0))</f>
        <v>1</v>
      </c>
      <c r="F32" s="97">
        <v>14</v>
      </c>
      <c r="G32" s="97">
        <v>21</v>
      </c>
      <c r="H32" s="97">
        <v>1</v>
      </c>
      <c r="I32" s="97" t="s">
        <v>661</v>
      </c>
      <c r="J32" s="97" t="s">
        <v>653</v>
      </c>
      <c r="K32" s="98" t="s">
        <v>660</v>
      </c>
      <c r="L32" s="99" t="s">
        <v>662</v>
      </c>
      <c r="M32" s="99"/>
    </row>
    <row r="33" spans="2:13" ht="15" customHeight="1">
      <c r="B33" s="97">
        <v>1</v>
      </c>
      <c r="C33" s="97" t="s">
        <v>663</v>
      </c>
      <c r="D33" s="97" t="s">
        <v>251</v>
      </c>
      <c r="E33" s="97">
        <f>INDEX('Product Backlog'!$I$8:$I$48,MATCH(D33,'Product Backlog'!$B$8:$B$48,0))</f>
        <v>1</v>
      </c>
      <c r="F33" s="97">
        <v>6</v>
      </c>
      <c r="G33" s="97">
        <v>10</v>
      </c>
      <c r="H33" s="97">
        <v>1</v>
      </c>
      <c r="I33" s="97" t="s">
        <v>663</v>
      </c>
      <c r="J33" s="97" t="s">
        <v>653</v>
      </c>
      <c r="K33" s="98" t="s">
        <v>301</v>
      </c>
      <c r="L33" s="99" t="s">
        <v>332</v>
      </c>
      <c r="M33" s="99"/>
    </row>
    <row r="34" spans="2:13" ht="15" customHeight="1">
      <c r="B34" s="97">
        <v>2</v>
      </c>
      <c r="C34" s="97" t="s">
        <v>341</v>
      </c>
      <c r="D34" s="97" t="s">
        <v>103</v>
      </c>
      <c r="E34" s="97">
        <f>INDEX('Product Backlog'!$I$8:$I$48,MATCH(D34,'Product Backlog'!$B$8:$B$48,0))</f>
        <v>1</v>
      </c>
      <c r="F34" s="97">
        <v>7</v>
      </c>
      <c r="G34" s="97">
        <v>10</v>
      </c>
      <c r="H34" s="97">
        <v>2</v>
      </c>
      <c r="I34" s="97" t="s">
        <v>341</v>
      </c>
      <c r="J34" s="97" t="s">
        <v>653</v>
      </c>
      <c r="K34" s="98" t="s">
        <v>664</v>
      </c>
      <c r="L34" s="99" t="s">
        <v>665</v>
      </c>
      <c r="M34" s="99"/>
    </row>
    <row r="35" spans="2:13" ht="15" customHeight="1">
      <c r="B35" s="97">
        <v>2</v>
      </c>
      <c r="C35" s="97" t="s">
        <v>344</v>
      </c>
      <c r="D35" s="97" t="s">
        <v>103</v>
      </c>
      <c r="E35" s="97">
        <f>INDEX('Product Backlog'!$I$8:$I$48,MATCH(D35,'Product Backlog'!$B$8:$B$48,0))</f>
        <v>1</v>
      </c>
      <c r="F35" s="97">
        <v>7</v>
      </c>
      <c r="G35" s="97">
        <v>10</v>
      </c>
      <c r="H35" s="97">
        <v>2</v>
      </c>
      <c r="I35" s="97" t="s">
        <v>344</v>
      </c>
      <c r="J35" s="97" t="s">
        <v>653</v>
      </c>
      <c r="K35" s="98" t="s">
        <v>658</v>
      </c>
      <c r="L35" s="99" t="s">
        <v>345</v>
      </c>
      <c r="M35" s="99"/>
    </row>
    <row r="36" spans="2:13" ht="15" customHeight="1">
      <c r="B36" s="97">
        <v>2</v>
      </c>
      <c r="C36" s="97" t="s">
        <v>346</v>
      </c>
      <c r="D36" s="97" t="s">
        <v>103</v>
      </c>
      <c r="E36" s="97">
        <f>INDEX('Product Backlog'!$I$8:$I$48,MATCH(D36,'Product Backlog'!$B$8:$B$48,0))</f>
        <v>1</v>
      </c>
      <c r="F36" s="97">
        <v>4</v>
      </c>
      <c r="G36" s="97">
        <v>6</v>
      </c>
      <c r="H36" s="97">
        <v>2</v>
      </c>
      <c r="I36" s="97" t="s">
        <v>346</v>
      </c>
      <c r="J36" s="97" t="s">
        <v>653</v>
      </c>
      <c r="K36" s="98" t="s">
        <v>658</v>
      </c>
      <c r="L36" s="99" t="s">
        <v>347</v>
      </c>
      <c r="M36" s="99"/>
    </row>
    <row r="37" spans="2:13" ht="15" customHeight="1">
      <c r="B37" s="97">
        <v>2</v>
      </c>
      <c r="C37" s="97" t="s">
        <v>349</v>
      </c>
      <c r="D37" s="97" t="s">
        <v>109</v>
      </c>
      <c r="E37" s="97">
        <f>INDEX('Product Backlog'!$I$8:$I$48,MATCH(D37,'Product Backlog'!$B$8:$B$48,0))</f>
        <v>1</v>
      </c>
      <c r="F37" s="97">
        <v>5</v>
      </c>
      <c r="G37" s="97">
        <v>7</v>
      </c>
      <c r="H37" s="97">
        <v>2</v>
      </c>
      <c r="I37" s="97" t="s">
        <v>349</v>
      </c>
      <c r="J37" s="97" t="s">
        <v>653</v>
      </c>
      <c r="K37" s="98" t="s">
        <v>666</v>
      </c>
      <c r="L37" s="99" t="s">
        <v>350</v>
      </c>
      <c r="M37" s="99"/>
    </row>
    <row r="38" spans="2:13" ht="15" customHeight="1">
      <c r="B38" s="97">
        <v>2</v>
      </c>
      <c r="C38" s="97" t="s">
        <v>351</v>
      </c>
      <c r="D38" s="97" t="s">
        <v>109</v>
      </c>
      <c r="E38" s="97">
        <f>INDEX('Product Backlog'!$I$8:$I$48,MATCH(D38,'Product Backlog'!$B$8:$B$48,0))</f>
        <v>1</v>
      </c>
      <c r="F38" s="97">
        <v>5</v>
      </c>
      <c r="G38" s="97">
        <v>7</v>
      </c>
      <c r="H38" s="97">
        <v>2</v>
      </c>
      <c r="I38" s="97" t="s">
        <v>351</v>
      </c>
      <c r="J38" s="97" t="s">
        <v>653</v>
      </c>
      <c r="K38" s="98" t="s">
        <v>658</v>
      </c>
      <c r="L38" s="99" t="s">
        <v>667</v>
      </c>
      <c r="M38" s="99"/>
    </row>
    <row r="39" spans="2:13" ht="15" customHeight="1">
      <c r="B39" s="97">
        <v>2</v>
      </c>
      <c r="C39" s="97" t="s">
        <v>354</v>
      </c>
      <c r="D39" s="97" t="s">
        <v>109</v>
      </c>
      <c r="E39" s="97">
        <f>INDEX('Product Backlog'!$I$8:$I$48,MATCH(D39,'Product Backlog'!$B$8:$B$48,0))</f>
        <v>1</v>
      </c>
      <c r="F39" s="97">
        <v>5</v>
      </c>
      <c r="G39" s="97">
        <v>7</v>
      </c>
      <c r="H39" s="97">
        <v>2</v>
      </c>
      <c r="I39" s="97" t="s">
        <v>354</v>
      </c>
      <c r="J39" s="97" t="s">
        <v>653</v>
      </c>
      <c r="K39" s="98" t="s">
        <v>668</v>
      </c>
      <c r="L39" s="99" t="s">
        <v>355</v>
      </c>
      <c r="M39" s="99"/>
    </row>
    <row r="40" spans="2:13" ht="15" customHeight="1">
      <c r="B40" s="97">
        <v>2</v>
      </c>
      <c r="C40" s="97" t="s">
        <v>356</v>
      </c>
      <c r="D40" s="97" t="s">
        <v>114</v>
      </c>
      <c r="E40" s="97">
        <f>INDEX('Product Backlog'!$I$8:$I$48,MATCH(D40,'Product Backlog'!$B$8:$B$48,0))</f>
        <v>1</v>
      </c>
      <c r="F40" s="97">
        <v>11</v>
      </c>
      <c r="G40" s="97">
        <v>17</v>
      </c>
      <c r="H40" s="97">
        <v>2</v>
      </c>
      <c r="I40" s="97" t="s">
        <v>356</v>
      </c>
      <c r="J40" s="97" t="s">
        <v>653</v>
      </c>
      <c r="K40" s="98" t="s">
        <v>658</v>
      </c>
      <c r="L40" s="99" t="s">
        <v>669</v>
      </c>
      <c r="M40" s="99"/>
    </row>
    <row r="41" spans="2:13" ht="15" customHeight="1">
      <c r="B41" s="97">
        <v>2</v>
      </c>
      <c r="C41" s="97" t="s">
        <v>359</v>
      </c>
      <c r="D41" s="97" t="s">
        <v>114</v>
      </c>
      <c r="E41" s="97">
        <f>INDEX('Product Backlog'!$I$8:$I$48,MATCH(D41,'Product Backlog'!$B$8:$B$48,0))</f>
        <v>1</v>
      </c>
      <c r="F41" s="97">
        <v>7</v>
      </c>
      <c r="G41" s="97">
        <v>10</v>
      </c>
      <c r="H41" s="97">
        <v>2</v>
      </c>
      <c r="I41" s="97" t="s">
        <v>359</v>
      </c>
      <c r="J41" s="97" t="s">
        <v>653</v>
      </c>
      <c r="K41" s="98" t="s">
        <v>670</v>
      </c>
      <c r="L41" s="99" t="s">
        <v>360</v>
      </c>
      <c r="M41" s="99"/>
    </row>
    <row r="42" spans="2:13" ht="15" customHeight="1">
      <c r="B42" s="97">
        <v>2</v>
      </c>
      <c r="C42" s="97" t="s">
        <v>361</v>
      </c>
      <c r="D42" s="97" t="s">
        <v>114</v>
      </c>
      <c r="E42" s="97">
        <f>INDEX('Product Backlog'!$I$8:$I$48,MATCH(D42,'Product Backlog'!$B$8:$B$48,0))</f>
        <v>1</v>
      </c>
      <c r="F42" s="97">
        <v>6</v>
      </c>
      <c r="G42" s="97">
        <v>9</v>
      </c>
      <c r="H42" s="97">
        <v>2</v>
      </c>
      <c r="I42" s="97" t="s">
        <v>361</v>
      </c>
      <c r="J42" s="97" t="s">
        <v>653</v>
      </c>
      <c r="K42" s="98" t="s">
        <v>659</v>
      </c>
      <c r="L42" s="99" t="s">
        <v>671</v>
      </c>
      <c r="M42" s="99"/>
    </row>
    <row r="43" spans="2:13" ht="15" customHeight="1">
      <c r="B43" s="97">
        <v>2</v>
      </c>
      <c r="C43" s="97" t="s">
        <v>363</v>
      </c>
      <c r="D43" s="97" t="s">
        <v>119</v>
      </c>
      <c r="E43" s="97">
        <f>INDEX('Product Backlog'!$I$8:$I$48,MATCH(D43,'Product Backlog'!$B$8:$B$48,0))</f>
        <v>1</v>
      </c>
      <c r="F43" s="97">
        <v>5</v>
      </c>
      <c r="G43" s="97">
        <v>8</v>
      </c>
      <c r="H43" s="97">
        <v>2</v>
      </c>
      <c r="I43" s="97" t="s">
        <v>363</v>
      </c>
      <c r="J43" s="97" t="s">
        <v>653</v>
      </c>
      <c r="K43" s="98" t="s">
        <v>664</v>
      </c>
      <c r="L43" s="99" t="s">
        <v>364</v>
      </c>
      <c r="M43" s="99"/>
    </row>
    <row r="44" spans="2:13" ht="15" customHeight="1">
      <c r="B44" s="97">
        <v>2</v>
      </c>
      <c r="C44" s="97" t="s">
        <v>366</v>
      </c>
      <c r="D44" s="97" t="s">
        <v>119</v>
      </c>
      <c r="E44" s="97">
        <f>INDEX('Product Backlog'!$I$8:$I$48,MATCH(D44,'Product Backlog'!$B$8:$B$48,0))</f>
        <v>1</v>
      </c>
      <c r="F44" s="97">
        <v>5</v>
      </c>
      <c r="G44" s="97">
        <v>8</v>
      </c>
      <c r="H44" s="97">
        <v>2</v>
      </c>
      <c r="I44" s="97" t="s">
        <v>366</v>
      </c>
      <c r="J44" s="97" t="s">
        <v>653</v>
      </c>
      <c r="K44" s="98" t="s">
        <v>658</v>
      </c>
      <c r="L44" s="99" t="s">
        <v>672</v>
      </c>
      <c r="M44" s="99"/>
    </row>
    <row r="45" spans="2:13" ht="15" customHeight="1">
      <c r="B45" s="97">
        <v>2</v>
      </c>
      <c r="C45" s="97" t="s">
        <v>368</v>
      </c>
      <c r="D45" s="97" t="s">
        <v>119</v>
      </c>
      <c r="E45" s="97">
        <f>INDEX('Product Backlog'!$I$8:$I$48,MATCH(D45,'Product Backlog'!$B$8:$B$48,0))</f>
        <v>1</v>
      </c>
      <c r="F45" s="97">
        <v>2</v>
      </c>
      <c r="G45" s="97">
        <v>3</v>
      </c>
      <c r="H45" s="97">
        <v>2</v>
      </c>
      <c r="I45" s="97" t="s">
        <v>368</v>
      </c>
      <c r="J45" s="97" t="s">
        <v>653</v>
      </c>
      <c r="K45" s="98" t="s">
        <v>673</v>
      </c>
      <c r="L45" s="99" t="s">
        <v>369</v>
      </c>
      <c r="M45" s="99"/>
    </row>
    <row r="46" spans="2:13" ht="15" customHeight="1">
      <c r="B46" s="97">
        <v>2</v>
      </c>
      <c r="C46" s="97" t="s">
        <v>370</v>
      </c>
      <c r="D46" s="97" t="s">
        <v>69</v>
      </c>
      <c r="E46" s="97">
        <f>INDEX('Product Backlog'!$I$8:$I$48,MATCH(D46,'Product Backlog'!$B$8:$B$48,0))</f>
        <v>1</v>
      </c>
      <c r="F46" s="97">
        <v>5</v>
      </c>
      <c r="G46" s="97">
        <v>8</v>
      </c>
      <c r="H46" s="97">
        <v>2</v>
      </c>
      <c r="I46" s="97" t="s">
        <v>376</v>
      </c>
      <c r="J46" s="97" t="s">
        <v>653</v>
      </c>
      <c r="K46" s="98" t="s">
        <v>674</v>
      </c>
      <c r="L46" s="99" t="s">
        <v>371</v>
      </c>
      <c r="M46" s="99"/>
    </row>
    <row r="47" spans="2:13" ht="15" customHeight="1">
      <c r="B47" s="97">
        <v>2</v>
      </c>
      <c r="C47" s="97" t="s">
        <v>372</v>
      </c>
      <c r="D47" s="97" t="s">
        <v>69</v>
      </c>
      <c r="E47" s="97">
        <f>INDEX('Product Backlog'!$I$8:$I$48,MATCH(D47,'Product Backlog'!$B$8:$B$48,0))</f>
        <v>1</v>
      </c>
      <c r="F47" s="97">
        <v>7</v>
      </c>
      <c r="G47" s="97">
        <v>10</v>
      </c>
      <c r="H47" s="97">
        <v>2</v>
      </c>
      <c r="I47" s="97" t="s">
        <v>378</v>
      </c>
      <c r="J47" s="97" t="s">
        <v>653</v>
      </c>
      <c r="K47" s="98" t="s">
        <v>657</v>
      </c>
      <c r="L47" s="99" t="s">
        <v>373</v>
      </c>
      <c r="M47" s="99"/>
    </row>
    <row r="48" spans="2:13" ht="15" customHeight="1">
      <c r="B48" s="97">
        <v>2</v>
      </c>
      <c r="C48" s="97" t="s">
        <v>374</v>
      </c>
      <c r="D48" s="97" t="s">
        <v>69</v>
      </c>
      <c r="E48" s="97">
        <f>INDEX('Product Backlog'!$I$8:$I$48,MATCH(D48,'Product Backlog'!$B$8:$B$48,0))</f>
        <v>1</v>
      </c>
      <c r="F48" s="97">
        <v>2</v>
      </c>
      <c r="G48" s="97">
        <v>3</v>
      </c>
      <c r="H48" s="97">
        <v>2</v>
      </c>
      <c r="I48" s="97" t="s">
        <v>380</v>
      </c>
      <c r="J48" s="97" t="s">
        <v>653</v>
      </c>
      <c r="K48" s="98" t="s">
        <v>675</v>
      </c>
      <c r="L48" s="99" t="s">
        <v>375</v>
      </c>
      <c r="M48" s="99"/>
    </row>
    <row r="49" spans="2:13" ht="15" customHeight="1">
      <c r="B49" s="97">
        <v>2</v>
      </c>
      <c r="C49" s="97" t="s">
        <v>376</v>
      </c>
      <c r="D49" s="97" t="s">
        <v>75</v>
      </c>
      <c r="E49" s="97">
        <f>INDEX('Product Backlog'!$I$8:$I$48,MATCH(D49,'Product Backlog'!$B$8:$B$48,0))</f>
        <v>1</v>
      </c>
      <c r="F49" s="97">
        <v>5</v>
      </c>
      <c r="G49" s="97">
        <v>8</v>
      </c>
      <c r="H49" s="97">
        <v>2</v>
      </c>
      <c r="I49" s="97" t="s">
        <v>382</v>
      </c>
      <c r="J49" s="97" t="s">
        <v>653</v>
      </c>
      <c r="K49" s="98" t="s">
        <v>675</v>
      </c>
      <c r="L49" s="99" t="s">
        <v>377</v>
      </c>
      <c r="M49" s="99"/>
    </row>
    <row r="50" spans="2:13" ht="15" customHeight="1">
      <c r="B50" s="97">
        <v>2</v>
      </c>
      <c r="C50" s="97" t="s">
        <v>378</v>
      </c>
      <c r="D50" s="97" t="s">
        <v>75</v>
      </c>
      <c r="E50" s="97">
        <f>INDEX('Product Backlog'!$I$8:$I$48,MATCH(D50,'Product Backlog'!$B$8:$B$48,0))</f>
        <v>1</v>
      </c>
      <c r="F50" s="97">
        <v>7</v>
      </c>
      <c r="G50" s="97">
        <v>10</v>
      </c>
      <c r="H50" s="97">
        <v>2</v>
      </c>
      <c r="I50" s="97" t="s">
        <v>384</v>
      </c>
      <c r="J50" s="97" t="s">
        <v>653</v>
      </c>
      <c r="K50" s="98" t="s">
        <v>675</v>
      </c>
      <c r="L50" s="99" t="s">
        <v>379</v>
      </c>
      <c r="M50" s="99"/>
    </row>
    <row r="51" spans="2:13" ht="15" customHeight="1">
      <c r="B51" s="97">
        <v>2</v>
      </c>
      <c r="C51" s="97" t="s">
        <v>380</v>
      </c>
      <c r="D51" s="97" t="s">
        <v>75</v>
      </c>
      <c r="E51" s="97">
        <f>INDEX('Product Backlog'!$I$8:$I$48,MATCH(D51,'Product Backlog'!$B$8:$B$48,0))</f>
        <v>1</v>
      </c>
      <c r="F51" s="97">
        <v>2</v>
      </c>
      <c r="G51" s="97">
        <v>3</v>
      </c>
      <c r="H51" s="97">
        <v>2</v>
      </c>
      <c r="I51" s="97" t="s">
        <v>386</v>
      </c>
      <c r="J51" s="97" t="s">
        <v>653</v>
      </c>
      <c r="K51" s="98" t="s">
        <v>675</v>
      </c>
      <c r="L51" s="99" t="s">
        <v>381</v>
      </c>
      <c r="M51" s="99"/>
    </row>
    <row r="52" spans="2:13" ht="15" customHeight="1">
      <c r="B52" s="97">
        <v>2</v>
      </c>
      <c r="C52" s="97" t="s">
        <v>382</v>
      </c>
      <c r="D52" s="97" t="s">
        <v>98</v>
      </c>
      <c r="E52" s="97">
        <f>INDEX('Product Backlog'!$I$8:$I$48,MATCH(D52,'Product Backlog'!$B$8:$B$48,0))</f>
        <v>1</v>
      </c>
      <c r="F52" s="97">
        <v>6</v>
      </c>
      <c r="G52" s="97">
        <v>10</v>
      </c>
      <c r="H52" s="97">
        <v>2</v>
      </c>
      <c r="I52" s="97" t="s">
        <v>388</v>
      </c>
      <c r="J52" s="97" t="s">
        <v>653</v>
      </c>
      <c r="K52" s="98" t="s">
        <v>674</v>
      </c>
      <c r="L52" s="99" t="s">
        <v>676</v>
      </c>
      <c r="M52" s="99"/>
    </row>
    <row r="53" spans="2:13" ht="15" customHeight="1">
      <c r="B53" s="97">
        <v>2</v>
      </c>
      <c r="C53" s="97" t="s">
        <v>384</v>
      </c>
      <c r="D53" s="97" t="s">
        <v>98</v>
      </c>
      <c r="E53" s="97">
        <f>INDEX('Product Backlog'!$I$8:$I$48,MATCH(D53,'Product Backlog'!$B$8:$B$48,0))</f>
        <v>1</v>
      </c>
      <c r="F53" s="97">
        <v>6</v>
      </c>
      <c r="G53" s="97">
        <v>10</v>
      </c>
      <c r="H53" s="97">
        <v>2</v>
      </c>
      <c r="I53" s="97" t="s">
        <v>390</v>
      </c>
      <c r="J53" s="97" t="s">
        <v>653</v>
      </c>
      <c r="K53" s="98" t="s">
        <v>674</v>
      </c>
      <c r="L53" s="99" t="s">
        <v>677</v>
      </c>
      <c r="M53" s="99"/>
    </row>
    <row r="54" spans="2:13" ht="15" customHeight="1">
      <c r="B54" s="97">
        <v>2</v>
      </c>
      <c r="C54" s="97" t="s">
        <v>386</v>
      </c>
      <c r="D54" s="97" t="s">
        <v>80</v>
      </c>
      <c r="E54" s="97">
        <f>INDEX('Product Backlog'!$I$8:$I$48,MATCH(D54,'Product Backlog'!$B$8:$B$48,0))</f>
        <v>1</v>
      </c>
      <c r="F54" s="97">
        <v>6</v>
      </c>
      <c r="G54" s="97">
        <v>10</v>
      </c>
      <c r="H54" s="97">
        <v>2</v>
      </c>
      <c r="I54" s="97" t="s">
        <v>392</v>
      </c>
      <c r="J54" s="97" t="s">
        <v>653</v>
      </c>
      <c r="K54" s="98" t="s">
        <v>668</v>
      </c>
      <c r="L54" s="99" t="s">
        <v>385</v>
      </c>
      <c r="M54" s="99"/>
    </row>
    <row r="55" spans="2:13" ht="15" customHeight="1">
      <c r="B55" s="97">
        <v>2</v>
      </c>
      <c r="C55" s="97" t="s">
        <v>388</v>
      </c>
      <c r="D55" s="97" t="s">
        <v>80</v>
      </c>
      <c r="E55" s="97">
        <f>INDEX('Product Backlog'!$I$8:$I$48,MATCH(D55,'Product Backlog'!$B$8:$B$48,0))</f>
        <v>1</v>
      </c>
      <c r="F55" s="97">
        <v>5</v>
      </c>
      <c r="G55" s="97">
        <v>7</v>
      </c>
      <c r="H55" s="97">
        <v>2</v>
      </c>
      <c r="I55" s="97" t="s">
        <v>394</v>
      </c>
      <c r="J55" s="97" t="s">
        <v>653</v>
      </c>
      <c r="K55" s="98" t="s">
        <v>319</v>
      </c>
      <c r="L55" s="99" t="s">
        <v>389</v>
      </c>
      <c r="M55" s="99"/>
    </row>
    <row r="56" spans="2:13" ht="15" customHeight="1">
      <c r="B56" s="97">
        <v>3</v>
      </c>
      <c r="C56" s="97" t="s">
        <v>397</v>
      </c>
      <c r="D56" s="97" t="s">
        <v>124</v>
      </c>
      <c r="E56" s="97">
        <f>INDEX('Product Backlog'!$I$8:$I$48,MATCH(D56,'Product Backlog'!$B$8:$B$48,0))</f>
        <v>1</v>
      </c>
      <c r="F56" s="97">
        <v>5</v>
      </c>
      <c r="G56" s="97">
        <v>7.5</v>
      </c>
      <c r="H56" s="97">
        <v>3</v>
      </c>
      <c r="I56" s="97" t="s">
        <v>397</v>
      </c>
      <c r="J56" s="97" t="s">
        <v>653</v>
      </c>
      <c r="K56" s="98" t="s">
        <v>678</v>
      </c>
      <c r="L56" s="99" t="s">
        <v>398</v>
      </c>
      <c r="M56" s="99"/>
    </row>
    <row r="57" spans="2:13" ht="15" customHeight="1">
      <c r="B57" s="97">
        <v>3</v>
      </c>
      <c r="C57" s="97" t="s">
        <v>401</v>
      </c>
      <c r="D57" s="97" t="s">
        <v>124</v>
      </c>
      <c r="E57" s="97">
        <f>INDEX('Product Backlog'!$I$8:$I$48,MATCH(D57,'Product Backlog'!$B$8:$B$48,0))</f>
        <v>1</v>
      </c>
      <c r="F57" s="97">
        <v>5</v>
      </c>
      <c r="G57" s="97">
        <v>7.5</v>
      </c>
      <c r="H57" s="97">
        <v>3</v>
      </c>
      <c r="I57" s="97" t="s">
        <v>401</v>
      </c>
      <c r="J57" s="97" t="s">
        <v>653</v>
      </c>
      <c r="K57" s="98" t="s">
        <v>658</v>
      </c>
      <c r="L57" s="99" t="s">
        <v>402</v>
      </c>
      <c r="M57" s="99"/>
    </row>
    <row r="58" spans="2:13" ht="15" customHeight="1">
      <c r="B58" s="97">
        <v>3</v>
      </c>
      <c r="C58" s="97" t="s">
        <v>403</v>
      </c>
      <c r="D58" s="97" t="s">
        <v>124</v>
      </c>
      <c r="E58" s="97">
        <f>INDEX('Product Backlog'!$I$8:$I$48,MATCH(D58,'Product Backlog'!$B$8:$B$48,0))</f>
        <v>1</v>
      </c>
      <c r="F58" s="97">
        <v>2</v>
      </c>
      <c r="G58" s="97">
        <v>3</v>
      </c>
      <c r="H58" s="97">
        <v>3</v>
      </c>
      <c r="I58" s="97" t="s">
        <v>403</v>
      </c>
      <c r="J58" s="97" t="s">
        <v>653</v>
      </c>
      <c r="K58" s="98" t="s">
        <v>664</v>
      </c>
      <c r="L58" s="99" t="s">
        <v>404</v>
      </c>
      <c r="M58" s="99"/>
    </row>
    <row r="59" spans="2:13" ht="15" customHeight="1">
      <c r="B59" s="100">
        <v>3</v>
      </c>
      <c r="C59" s="100" t="s">
        <v>405</v>
      </c>
      <c r="D59" s="100" t="s">
        <v>169</v>
      </c>
      <c r="E59" s="100">
        <f>INDEX('Product Backlog'!$I$8:$I$48,MATCH(D59,'Product Backlog'!$B$8:$B$48,0))</f>
        <v>1</v>
      </c>
      <c r="F59" s="100">
        <v>5</v>
      </c>
      <c r="G59" s="100">
        <v>7.5</v>
      </c>
      <c r="H59" s="100">
        <v>4</v>
      </c>
      <c r="I59" s="100" t="s">
        <v>461</v>
      </c>
      <c r="J59" s="100" t="s">
        <v>679</v>
      </c>
      <c r="K59" s="101" t="s">
        <v>664</v>
      </c>
      <c r="L59" s="102" t="s">
        <v>406</v>
      </c>
      <c r="M59" s="102" t="s">
        <v>680</v>
      </c>
    </row>
    <row r="60" spans="2:13" ht="15" customHeight="1">
      <c r="B60" s="100">
        <v>3</v>
      </c>
      <c r="C60" s="100" t="s">
        <v>408</v>
      </c>
      <c r="D60" s="100" t="s">
        <v>169</v>
      </c>
      <c r="E60" s="100">
        <f>INDEX('Product Backlog'!$I$8:$I$48,MATCH(D60,'Product Backlog'!$B$8:$B$48,0))</f>
        <v>1</v>
      </c>
      <c r="F60" s="100">
        <v>5</v>
      </c>
      <c r="G60" s="100">
        <v>7.5</v>
      </c>
      <c r="H60" s="100">
        <v>4</v>
      </c>
      <c r="I60" s="100" t="s">
        <v>454</v>
      </c>
      <c r="J60" s="100" t="s">
        <v>679</v>
      </c>
      <c r="K60" s="101" t="s">
        <v>658</v>
      </c>
      <c r="L60" s="102" t="s">
        <v>409</v>
      </c>
      <c r="M60" s="102" t="s">
        <v>680</v>
      </c>
    </row>
    <row r="61" spans="2:13" ht="15" customHeight="1">
      <c r="B61" s="100">
        <v>3</v>
      </c>
      <c r="C61" s="100" t="s">
        <v>410</v>
      </c>
      <c r="D61" s="100" t="s">
        <v>169</v>
      </c>
      <c r="E61" s="100">
        <f>INDEX('Product Backlog'!$I$8:$I$48,MATCH(D61,'Product Backlog'!$B$8:$B$48,0))</f>
        <v>1</v>
      </c>
      <c r="F61" s="100">
        <v>2</v>
      </c>
      <c r="G61" s="100">
        <v>3</v>
      </c>
      <c r="H61" s="100">
        <v>4</v>
      </c>
      <c r="I61" s="100" t="s">
        <v>464</v>
      </c>
      <c r="J61" s="100" t="s">
        <v>679</v>
      </c>
      <c r="K61" s="101" t="s">
        <v>314</v>
      </c>
      <c r="L61" s="102" t="s">
        <v>411</v>
      </c>
      <c r="M61" s="102" t="s">
        <v>680</v>
      </c>
    </row>
    <row r="62" spans="2:13" ht="15" customHeight="1">
      <c r="B62" s="100">
        <v>3</v>
      </c>
      <c r="C62" s="100" t="s">
        <v>412</v>
      </c>
      <c r="D62" s="100" t="s">
        <v>64</v>
      </c>
      <c r="E62" s="100">
        <f>INDEX('Product Backlog'!$I$8:$I$48,MATCH(D62,'Product Backlog'!$B$8:$B$48,0))</f>
        <v>1</v>
      </c>
      <c r="F62" s="100">
        <v>5</v>
      </c>
      <c r="G62" s="100">
        <v>8</v>
      </c>
      <c r="H62" s="100">
        <v>2</v>
      </c>
      <c r="I62" s="100" t="s">
        <v>370</v>
      </c>
      <c r="J62" s="100" t="s">
        <v>679</v>
      </c>
      <c r="K62" s="101" t="s">
        <v>305</v>
      </c>
      <c r="L62" s="102" t="s">
        <v>413</v>
      </c>
      <c r="M62" s="102" t="s">
        <v>681</v>
      </c>
    </row>
    <row r="63" spans="2:13" ht="15" customHeight="1">
      <c r="B63" s="100">
        <v>3</v>
      </c>
      <c r="C63" s="100" t="s">
        <v>414</v>
      </c>
      <c r="D63" s="100" t="s">
        <v>64</v>
      </c>
      <c r="E63" s="100">
        <f>INDEX('Product Backlog'!$I$8:$I$48,MATCH(D63,'Product Backlog'!$B$8:$B$48,0))</f>
        <v>1</v>
      </c>
      <c r="F63" s="100">
        <v>5</v>
      </c>
      <c r="G63" s="100">
        <v>7</v>
      </c>
      <c r="H63" s="100">
        <v>2</v>
      </c>
      <c r="I63" s="100" t="s">
        <v>372</v>
      </c>
      <c r="J63" s="100" t="s">
        <v>679</v>
      </c>
      <c r="K63" s="101" t="s">
        <v>657</v>
      </c>
      <c r="L63" s="102" t="s">
        <v>415</v>
      </c>
      <c r="M63" s="102" t="s">
        <v>681</v>
      </c>
    </row>
    <row r="64" spans="2:13" ht="15" customHeight="1">
      <c r="B64" s="100">
        <v>3</v>
      </c>
      <c r="C64" s="100" t="s">
        <v>416</v>
      </c>
      <c r="D64" s="100" t="s">
        <v>64</v>
      </c>
      <c r="E64" s="100">
        <f>INDEX('Product Backlog'!$I$8:$I$48,MATCH(D64,'Product Backlog'!$B$8:$B$48,0))</f>
        <v>1</v>
      </c>
      <c r="F64" s="100">
        <v>2</v>
      </c>
      <c r="G64" s="100">
        <v>3</v>
      </c>
      <c r="H64" s="100">
        <v>2</v>
      </c>
      <c r="I64" s="100" t="s">
        <v>374</v>
      </c>
      <c r="J64" s="100" t="s">
        <v>679</v>
      </c>
      <c r="K64" s="101" t="s">
        <v>305</v>
      </c>
      <c r="L64" s="102" t="s">
        <v>417</v>
      </c>
      <c r="M64" s="102" t="s">
        <v>681</v>
      </c>
    </row>
    <row r="65" spans="2:13" ht="15" customHeight="1">
      <c r="B65" s="97">
        <v>3</v>
      </c>
      <c r="C65" s="97" t="s">
        <v>418</v>
      </c>
      <c r="D65" s="97" t="s">
        <v>129</v>
      </c>
      <c r="E65" s="97">
        <f>INDEX('Product Backlog'!$I$8:$I$48,MATCH(D65,'Product Backlog'!$B$8:$B$48,0))</f>
        <v>2</v>
      </c>
      <c r="F65" s="97">
        <v>5</v>
      </c>
      <c r="G65" s="97">
        <v>7.5</v>
      </c>
      <c r="H65" s="97">
        <v>3</v>
      </c>
      <c r="I65" s="97" t="s">
        <v>405</v>
      </c>
      <c r="J65" s="97" t="s">
        <v>653</v>
      </c>
      <c r="K65" s="98" t="s">
        <v>666</v>
      </c>
      <c r="L65" s="99" t="s">
        <v>419</v>
      </c>
      <c r="M65" s="99" t="s">
        <v>682</v>
      </c>
    </row>
    <row r="66" spans="2:13" ht="15" customHeight="1">
      <c r="B66" s="97">
        <v>3</v>
      </c>
      <c r="C66" s="97" t="s">
        <v>420</v>
      </c>
      <c r="D66" s="97" t="s">
        <v>129</v>
      </c>
      <c r="E66" s="97">
        <f>INDEX('Product Backlog'!$I$8:$I$48,MATCH(D66,'Product Backlog'!$B$8:$B$48,0))</f>
        <v>2</v>
      </c>
      <c r="F66" s="97">
        <v>5</v>
      </c>
      <c r="G66" s="97">
        <v>7.5</v>
      </c>
      <c r="H66" s="97">
        <v>3</v>
      </c>
      <c r="I66" s="97" t="s">
        <v>408</v>
      </c>
      <c r="J66" s="97" t="s">
        <v>653</v>
      </c>
      <c r="K66" s="98" t="s">
        <v>658</v>
      </c>
      <c r="L66" s="99" t="s">
        <v>421</v>
      </c>
      <c r="M66" s="99" t="s">
        <v>682</v>
      </c>
    </row>
    <row r="67" spans="2:13" ht="15" customHeight="1">
      <c r="B67" s="97">
        <v>3</v>
      </c>
      <c r="C67" s="97" t="s">
        <v>422</v>
      </c>
      <c r="D67" s="97" t="s">
        <v>129</v>
      </c>
      <c r="E67" s="97">
        <f>INDEX('Product Backlog'!$I$8:$I$48,MATCH(D67,'Product Backlog'!$B$8:$B$48,0))</f>
        <v>2</v>
      </c>
      <c r="F67" s="97">
        <v>4</v>
      </c>
      <c r="G67" s="97">
        <v>6.5</v>
      </c>
      <c r="H67" s="97">
        <v>3</v>
      </c>
      <c r="I67" s="97" t="s">
        <v>410</v>
      </c>
      <c r="J67" s="97" t="s">
        <v>653</v>
      </c>
      <c r="K67" s="98" t="s">
        <v>659</v>
      </c>
      <c r="L67" s="99" t="s">
        <v>683</v>
      </c>
      <c r="M67" s="99" t="s">
        <v>682</v>
      </c>
    </row>
    <row r="68" spans="2:13" ht="15" customHeight="1">
      <c r="B68" s="97">
        <v>3</v>
      </c>
      <c r="C68" s="97" t="s">
        <v>424</v>
      </c>
      <c r="D68" s="97" t="s">
        <v>149</v>
      </c>
      <c r="E68" s="97">
        <f>INDEX('Product Backlog'!$I$8:$I$48,MATCH(D68,'Product Backlog'!$B$8:$B$48,0))</f>
        <v>2</v>
      </c>
      <c r="F68" s="97">
        <v>5</v>
      </c>
      <c r="G68" s="97">
        <v>7.5</v>
      </c>
      <c r="H68" s="97">
        <v>3</v>
      </c>
      <c r="I68" s="97" t="s">
        <v>426</v>
      </c>
      <c r="J68" s="97" t="s">
        <v>653</v>
      </c>
      <c r="K68" s="98" t="s">
        <v>666</v>
      </c>
      <c r="L68" s="99" t="s">
        <v>425</v>
      </c>
      <c r="M68" s="99" t="s">
        <v>682</v>
      </c>
    </row>
    <row r="69" spans="2:13" ht="15" customHeight="1">
      <c r="B69" s="97">
        <v>3</v>
      </c>
      <c r="C69" s="97" t="s">
        <v>426</v>
      </c>
      <c r="D69" s="97" t="s">
        <v>149</v>
      </c>
      <c r="E69" s="97">
        <f>INDEX('Product Backlog'!$I$8:$I$48,MATCH(D69,'Product Backlog'!$B$8:$B$48,0))</f>
        <v>2</v>
      </c>
      <c r="F69" s="97">
        <v>5</v>
      </c>
      <c r="G69" s="97">
        <v>7.5</v>
      </c>
      <c r="H69" s="97">
        <v>3</v>
      </c>
      <c r="I69" s="97" t="s">
        <v>428</v>
      </c>
      <c r="J69" s="97" t="s">
        <v>653</v>
      </c>
      <c r="K69" s="98" t="s">
        <v>658</v>
      </c>
      <c r="L69" s="99" t="s">
        <v>427</v>
      </c>
      <c r="M69" s="99" t="s">
        <v>682</v>
      </c>
    </row>
    <row r="70" spans="2:13" ht="15" customHeight="1">
      <c r="B70" s="97">
        <v>3</v>
      </c>
      <c r="C70" s="97" t="s">
        <v>428</v>
      </c>
      <c r="D70" s="97" t="s">
        <v>149</v>
      </c>
      <c r="E70" s="97">
        <f>INDEX('Product Backlog'!$I$8:$I$48,MATCH(D70,'Product Backlog'!$B$8:$B$48,0))</f>
        <v>2</v>
      </c>
      <c r="F70" s="97">
        <v>2</v>
      </c>
      <c r="G70" s="97">
        <v>3</v>
      </c>
      <c r="H70" s="97">
        <v>3</v>
      </c>
      <c r="I70" s="97" t="s">
        <v>430</v>
      </c>
      <c r="J70" s="97" t="s">
        <v>653</v>
      </c>
      <c r="K70" s="98" t="s">
        <v>407</v>
      </c>
      <c r="L70" s="99" t="s">
        <v>429</v>
      </c>
      <c r="M70" s="99" t="s">
        <v>682</v>
      </c>
    </row>
    <row r="71" spans="2:13" ht="15" customHeight="1">
      <c r="B71" s="97">
        <v>3</v>
      </c>
      <c r="C71" s="97" t="s">
        <v>430</v>
      </c>
      <c r="D71" s="97" t="s">
        <v>134</v>
      </c>
      <c r="E71" s="97">
        <f>INDEX('Product Backlog'!$I$8:$I$48,MATCH(D71,'Product Backlog'!$B$8:$B$48,0))</f>
        <v>1</v>
      </c>
      <c r="F71" s="97">
        <v>4</v>
      </c>
      <c r="G71" s="97">
        <v>5</v>
      </c>
      <c r="H71" s="97">
        <v>3</v>
      </c>
      <c r="I71" s="97" t="s">
        <v>412</v>
      </c>
      <c r="J71" s="97" t="s">
        <v>653</v>
      </c>
      <c r="K71" s="98" t="s">
        <v>664</v>
      </c>
      <c r="L71" s="99" t="s">
        <v>431</v>
      </c>
      <c r="M71" s="99"/>
    </row>
    <row r="72" spans="2:13" ht="15" customHeight="1">
      <c r="B72" s="97">
        <v>3</v>
      </c>
      <c r="C72" s="97" t="s">
        <v>432</v>
      </c>
      <c r="D72" s="97" t="s">
        <v>134</v>
      </c>
      <c r="E72" s="97">
        <f>INDEX('Product Backlog'!$I$8:$I$48,MATCH(D72,'Product Backlog'!$B$8:$B$48,0))</f>
        <v>1</v>
      </c>
      <c r="F72" s="97">
        <v>4</v>
      </c>
      <c r="G72" s="97">
        <v>5</v>
      </c>
      <c r="H72" s="97">
        <v>3</v>
      </c>
      <c r="I72" s="97" t="s">
        <v>414</v>
      </c>
      <c r="J72" s="97" t="s">
        <v>653</v>
      </c>
      <c r="K72" s="98" t="s">
        <v>684</v>
      </c>
      <c r="L72" s="99" t="s">
        <v>433</v>
      </c>
      <c r="M72" s="99"/>
    </row>
    <row r="73" spans="2:13" ht="15" customHeight="1">
      <c r="B73" s="97">
        <v>3</v>
      </c>
      <c r="C73" s="97" t="s">
        <v>434</v>
      </c>
      <c r="D73" s="97" t="s">
        <v>134</v>
      </c>
      <c r="E73" s="97">
        <f>INDEX('Product Backlog'!$I$8:$I$48,MATCH(D73,'Product Backlog'!$B$8:$B$48,0))</f>
        <v>1</v>
      </c>
      <c r="F73" s="97">
        <v>2</v>
      </c>
      <c r="G73" s="97">
        <v>3</v>
      </c>
      <c r="H73" s="97">
        <v>3</v>
      </c>
      <c r="I73" s="97" t="s">
        <v>416</v>
      </c>
      <c r="J73" s="97" t="s">
        <v>653</v>
      </c>
      <c r="K73" s="98" t="s">
        <v>678</v>
      </c>
      <c r="L73" s="99" t="s">
        <v>435</v>
      </c>
      <c r="M73" s="99"/>
    </row>
    <row r="74" spans="2:13" ht="15" customHeight="1">
      <c r="B74" s="97">
        <v>3</v>
      </c>
      <c r="C74" s="97" t="s">
        <v>436</v>
      </c>
      <c r="D74" s="97" t="s">
        <v>155</v>
      </c>
      <c r="E74" s="97">
        <f>INDEX('Product Backlog'!$I$8:$I$48,MATCH(D74,'Product Backlog'!$B$8:$B$48,0))</f>
        <v>1</v>
      </c>
      <c r="F74" s="97">
        <v>9</v>
      </c>
      <c r="G74" s="97">
        <v>14</v>
      </c>
      <c r="H74" s="97">
        <v>3</v>
      </c>
      <c r="I74" s="97" t="s">
        <v>432</v>
      </c>
      <c r="J74" s="97" t="s">
        <v>653</v>
      </c>
      <c r="K74" s="98" t="s">
        <v>678</v>
      </c>
      <c r="L74" s="99" t="s">
        <v>685</v>
      </c>
      <c r="M74" s="99"/>
    </row>
    <row r="75" spans="2:13" ht="15" customHeight="1">
      <c r="B75" s="97">
        <v>3</v>
      </c>
      <c r="C75" s="97" t="s">
        <v>438</v>
      </c>
      <c r="D75" s="97" t="s">
        <v>155</v>
      </c>
      <c r="E75" s="97">
        <f>INDEX('Product Backlog'!$I$8:$I$48,MATCH(D75,'Product Backlog'!$B$8:$B$48,0))</f>
        <v>1</v>
      </c>
      <c r="F75" s="97">
        <v>7</v>
      </c>
      <c r="G75" s="97">
        <v>10.5</v>
      </c>
      <c r="H75" s="97">
        <v>3</v>
      </c>
      <c r="I75" s="97" t="s">
        <v>434</v>
      </c>
      <c r="J75" s="97" t="s">
        <v>653</v>
      </c>
      <c r="K75" s="98" t="s">
        <v>664</v>
      </c>
      <c r="L75" s="99" t="s">
        <v>686</v>
      </c>
      <c r="M75" s="99"/>
    </row>
    <row r="76" spans="2:13" ht="15" customHeight="1">
      <c r="B76" s="97">
        <v>3</v>
      </c>
      <c r="C76" s="97" t="s">
        <v>440</v>
      </c>
      <c r="D76" s="97" t="s">
        <v>155</v>
      </c>
      <c r="E76" s="97">
        <f>INDEX('Product Backlog'!$I$8:$I$48,MATCH(D76,'Product Backlog'!$B$8:$B$48,0))</f>
        <v>1</v>
      </c>
      <c r="F76" s="97">
        <v>5</v>
      </c>
      <c r="G76" s="97">
        <v>7</v>
      </c>
      <c r="H76" s="97">
        <v>3</v>
      </c>
      <c r="I76" s="97" t="s">
        <v>436</v>
      </c>
      <c r="J76" s="97" t="s">
        <v>653</v>
      </c>
      <c r="K76" s="98" t="s">
        <v>658</v>
      </c>
      <c r="L76" s="99" t="s">
        <v>687</v>
      </c>
      <c r="M76" s="99"/>
    </row>
    <row r="77" spans="2:13" ht="15" customHeight="1">
      <c r="B77" s="97">
        <v>3</v>
      </c>
      <c r="C77" s="97" t="s">
        <v>442</v>
      </c>
      <c r="D77" s="97" t="s">
        <v>155</v>
      </c>
      <c r="E77" s="97">
        <f>INDEX('Product Backlog'!$I$8:$I$48,MATCH(D77,'Product Backlog'!$B$8:$B$48,0))</f>
        <v>1</v>
      </c>
      <c r="F77" s="97">
        <v>5</v>
      </c>
      <c r="G77" s="97">
        <v>7</v>
      </c>
      <c r="H77" s="97">
        <v>3</v>
      </c>
      <c r="I77" s="97" t="s">
        <v>438</v>
      </c>
      <c r="J77" s="97" t="s">
        <v>653</v>
      </c>
      <c r="K77" s="98" t="s">
        <v>678</v>
      </c>
      <c r="L77" s="99" t="s">
        <v>688</v>
      </c>
      <c r="M77" s="99"/>
    </row>
    <row r="78" spans="2:13" ht="15" customHeight="1">
      <c r="B78" s="97">
        <v>3</v>
      </c>
      <c r="C78" s="97" t="s">
        <v>444</v>
      </c>
      <c r="D78" s="97" t="s">
        <v>160</v>
      </c>
      <c r="E78" s="97">
        <f>INDEX('Product Backlog'!$I$8:$I$48,MATCH(D78,'Product Backlog'!$B$8:$B$48,0))</f>
        <v>1</v>
      </c>
      <c r="F78" s="97">
        <v>5</v>
      </c>
      <c r="G78" s="97">
        <v>7.5</v>
      </c>
      <c r="H78" s="97">
        <v>3</v>
      </c>
      <c r="I78" s="97" t="s">
        <v>440</v>
      </c>
      <c r="J78" s="97" t="s">
        <v>653</v>
      </c>
      <c r="K78" s="98" t="s">
        <v>666</v>
      </c>
      <c r="L78" s="99" t="s">
        <v>445</v>
      </c>
      <c r="M78" s="99"/>
    </row>
    <row r="79" spans="2:13" ht="15" customHeight="1">
      <c r="B79" s="97">
        <v>3</v>
      </c>
      <c r="C79" s="97" t="s">
        <v>446</v>
      </c>
      <c r="D79" s="97" t="s">
        <v>160</v>
      </c>
      <c r="E79" s="97">
        <f>INDEX('Product Backlog'!$I$8:$I$48,MATCH(D79,'Product Backlog'!$B$8:$B$48,0))</f>
        <v>1</v>
      </c>
      <c r="F79" s="97">
        <v>3</v>
      </c>
      <c r="G79" s="97">
        <v>5</v>
      </c>
      <c r="H79" s="97">
        <v>3</v>
      </c>
      <c r="I79" s="97" t="s">
        <v>442</v>
      </c>
      <c r="J79" s="97" t="s">
        <v>653</v>
      </c>
      <c r="K79" s="98" t="s">
        <v>658</v>
      </c>
      <c r="L79" s="99" t="s">
        <v>447</v>
      </c>
      <c r="M79" s="99"/>
    </row>
    <row r="80" spans="2:13" ht="15" customHeight="1">
      <c r="B80" s="97">
        <v>3</v>
      </c>
      <c r="C80" s="97" t="s">
        <v>448</v>
      </c>
      <c r="D80" s="97" t="s">
        <v>160</v>
      </c>
      <c r="E80" s="97">
        <f>INDEX('Product Backlog'!$I$8:$I$48,MATCH(D80,'Product Backlog'!$B$8:$B$48,0))</f>
        <v>1</v>
      </c>
      <c r="F80" s="97">
        <v>2</v>
      </c>
      <c r="G80" s="97">
        <v>3</v>
      </c>
      <c r="H80" s="97">
        <v>3</v>
      </c>
      <c r="I80" s="97" t="s">
        <v>444</v>
      </c>
      <c r="J80" s="97" t="s">
        <v>653</v>
      </c>
      <c r="K80" s="98" t="s">
        <v>407</v>
      </c>
      <c r="L80" s="99" t="s">
        <v>449</v>
      </c>
      <c r="M80" s="99"/>
    </row>
    <row r="81" spans="2:13" ht="15" customHeight="1">
      <c r="B81" s="97">
        <v>3</v>
      </c>
      <c r="C81" s="97" t="s">
        <v>450</v>
      </c>
      <c r="D81" s="97" t="s">
        <v>139</v>
      </c>
      <c r="E81" s="97">
        <f>INDEX('Product Backlog'!$I$8:$I$48,MATCH(D81,'Product Backlog'!$B$8:$B$48,0))</f>
        <v>2</v>
      </c>
      <c r="F81" s="97">
        <v>3</v>
      </c>
      <c r="G81" s="97">
        <v>5</v>
      </c>
      <c r="H81" s="97">
        <v>3</v>
      </c>
      <c r="I81" s="97" t="s">
        <v>418</v>
      </c>
      <c r="J81" s="97" t="s">
        <v>653</v>
      </c>
      <c r="K81" s="98" t="s">
        <v>305</v>
      </c>
      <c r="L81" s="99" t="s">
        <v>451</v>
      </c>
      <c r="M81" s="99"/>
    </row>
    <row r="82" spans="2:13" ht="15" customHeight="1">
      <c r="B82" s="97">
        <v>3</v>
      </c>
      <c r="C82" s="97" t="s">
        <v>452</v>
      </c>
      <c r="D82" s="97" t="s">
        <v>139</v>
      </c>
      <c r="E82" s="97">
        <f>INDEX('Product Backlog'!$I$8:$I$48,MATCH(D82,'Product Backlog'!$B$8:$B$48,0))</f>
        <v>2</v>
      </c>
      <c r="F82" s="97">
        <v>3</v>
      </c>
      <c r="G82" s="97">
        <v>5</v>
      </c>
      <c r="H82" s="97">
        <v>3</v>
      </c>
      <c r="I82" s="97" t="s">
        <v>420</v>
      </c>
      <c r="J82" s="97" t="s">
        <v>653</v>
      </c>
      <c r="K82" s="98" t="s">
        <v>399</v>
      </c>
      <c r="L82" s="99" t="s">
        <v>453</v>
      </c>
      <c r="M82" s="99"/>
    </row>
    <row r="83" spans="2:13" ht="15" customHeight="1">
      <c r="B83" s="97">
        <v>3</v>
      </c>
      <c r="C83" s="97" t="s">
        <v>689</v>
      </c>
      <c r="D83" s="97" t="s">
        <v>144</v>
      </c>
      <c r="E83" s="97">
        <f>INDEX('Product Backlog'!$I$8:$I$48,MATCH(D83,'Product Backlog'!$B$8:$B$48,0))</f>
        <v>2</v>
      </c>
      <c r="F83" s="97">
        <v>3</v>
      </c>
      <c r="G83" s="97">
        <v>5</v>
      </c>
      <c r="H83" s="97">
        <v>3</v>
      </c>
      <c r="I83" s="97" t="s">
        <v>422</v>
      </c>
      <c r="J83" s="97" t="s">
        <v>653</v>
      </c>
      <c r="K83" s="98" t="s">
        <v>407</v>
      </c>
      <c r="L83" s="99" t="s">
        <v>690</v>
      </c>
      <c r="M83" s="99"/>
    </row>
    <row r="84" spans="2:13" ht="15" customHeight="1">
      <c r="B84" s="97">
        <v>3</v>
      </c>
      <c r="C84" s="97" t="s">
        <v>456</v>
      </c>
      <c r="D84" s="97" t="s">
        <v>144</v>
      </c>
      <c r="E84" s="97">
        <f>INDEX('Product Backlog'!$I$8:$I$48,MATCH(D84,'Product Backlog'!$B$8:$B$48,0))</f>
        <v>2</v>
      </c>
      <c r="F84" s="97">
        <v>3</v>
      </c>
      <c r="G84" s="97">
        <v>5</v>
      </c>
      <c r="H84" s="97">
        <v>3</v>
      </c>
      <c r="I84" s="97" t="s">
        <v>424</v>
      </c>
      <c r="J84" s="97" t="s">
        <v>653</v>
      </c>
      <c r="K84" s="98" t="s">
        <v>305</v>
      </c>
      <c r="L84" s="99" t="s">
        <v>457</v>
      </c>
      <c r="M84" s="99"/>
    </row>
    <row r="85" spans="2:13" ht="15" customHeight="1">
      <c r="B85" s="97">
        <v>4</v>
      </c>
      <c r="C85" s="97" t="s">
        <v>461</v>
      </c>
      <c r="D85" s="97" t="s">
        <v>174</v>
      </c>
      <c r="E85" s="97">
        <f>INDEX('Product Backlog'!$I$8:$I$48,MATCH(D85,'Product Backlog'!$B$8:$B$48,0))</f>
        <v>1</v>
      </c>
      <c r="F85" s="97">
        <v>9</v>
      </c>
      <c r="G85" s="97">
        <v>14</v>
      </c>
      <c r="H85" s="97">
        <v>4</v>
      </c>
      <c r="I85" s="97" t="s">
        <v>466</v>
      </c>
      <c r="J85" s="97" t="s">
        <v>653</v>
      </c>
      <c r="K85" s="98" t="s">
        <v>664</v>
      </c>
      <c r="L85" s="99" t="s">
        <v>691</v>
      </c>
      <c r="M85" s="99"/>
    </row>
    <row r="86" spans="2:13" ht="15" customHeight="1">
      <c r="B86" s="97">
        <v>4</v>
      </c>
      <c r="C86" s="97" t="s">
        <v>454</v>
      </c>
      <c r="D86" s="97" t="s">
        <v>174</v>
      </c>
      <c r="E86" s="97">
        <f>INDEX('Product Backlog'!$I$8:$I$48,MATCH(D86,'Product Backlog'!$B$8:$B$48,0))</f>
        <v>1</v>
      </c>
      <c r="F86" s="97">
        <v>7</v>
      </c>
      <c r="G86" s="97">
        <v>10.5</v>
      </c>
      <c r="H86" s="97">
        <v>4</v>
      </c>
      <c r="I86" s="97" t="s">
        <v>468</v>
      </c>
      <c r="J86" s="97" t="s">
        <v>653</v>
      </c>
      <c r="K86" s="98" t="s">
        <v>658</v>
      </c>
      <c r="L86" s="99" t="s">
        <v>455</v>
      </c>
      <c r="M86" s="99"/>
    </row>
    <row r="87" spans="2:13" ht="23.25" customHeight="1">
      <c r="B87" s="97">
        <v>4</v>
      </c>
      <c r="C87" s="97" t="s">
        <v>464</v>
      </c>
      <c r="D87" s="97" t="s">
        <v>174</v>
      </c>
      <c r="E87" s="97">
        <f>INDEX('Product Backlog'!$I$8:$I$48,MATCH(D87,'Product Backlog'!$B$8:$B$48,0))</f>
        <v>1</v>
      </c>
      <c r="F87" s="97">
        <v>5</v>
      </c>
      <c r="G87" s="97">
        <v>7</v>
      </c>
      <c r="H87" s="97">
        <v>4</v>
      </c>
      <c r="I87" s="97" t="s">
        <v>470</v>
      </c>
      <c r="J87" s="97" t="s">
        <v>653</v>
      </c>
      <c r="K87" s="98" t="s">
        <v>678</v>
      </c>
      <c r="L87" s="99" t="s">
        <v>465</v>
      </c>
      <c r="M87" s="99"/>
    </row>
    <row r="88" spans="2:13" ht="15" customHeight="1">
      <c r="B88" s="97">
        <v>4</v>
      </c>
      <c r="C88" s="97" t="s">
        <v>466</v>
      </c>
      <c r="D88" s="97" t="s">
        <v>179</v>
      </c>
      <c r="E88" s="97">
        <f>INDEX('Product Backlog'!$I$8:$I$48,MATCH(D88,'Product Backlog'!$B$8:$B$48,0))</f>
        <v>1</v>
      </c>
      <c r="F88" s="97">
        <v>7</v>
      </c>
      <c r="G88" s="97">
        <v>10.5</v>
      </c>
      <c r="H88" s="97">
        <v>4</v>
      </c>
      <c r="I88" s="97" t="s">
        <v>473</v>
      </c>
      <c r="J88" s="97" t="s">
        <v>653</v>
      </c>
      <c r="K88" s="98" t="s">
        <v>666</v>
      </c>
      <c r="L88" s="99" t="s">
        <v>692</v>
      </c>
      <c r="M88" s="99"/>
    </row>
    <row r="89" spans="2:13" ht="15" customHeight="1">
      <c r="B89" s="97">
        <v>4</v>
      </c>
      <c r="C89" s="97" t="s">
        <v>468</v>
      </c>
      <c r="D89" s="97" t="s">
        <v>179</v>
      </c>
      <c r="E89" s="97">
        <f>INDEX('Product Backlog'!$I$8:$I$48,MATCH(D89,'Product Backlog'!$B$8:$B$48,0))</f>
        <v>1</v>
      </c>
      <c r="F89" s="97">
        <v>5</v>
      </c>
      <c r="G89" s="97">
        <v>7</v>
      </c>
      <c r="H89" s="97">
        <v>4</v>
      </c>
      <c r="I89" s="97" t="s">
        <v>476</v>
      </c>
      <c r="J89" s="97" t="s">
        <v>653</v>
      </c>
      <c r="K89" s="98" t="s">
        <v>658</v>
      </c>
      <c r="L89" s="99" t="s">
        <v>471</v>
      </c>
      <c r="M89" s="99"/>
    </row>
    <row r="90" spans="2:13" ht="15" customHeight="1">
      <c r="B90" s="97">
        <v>4</v>
      </c>
      <c r="C90" s="97" t="s">
        <v>470</v>
      </c>
      <c r="D90" s="97" t="s">
        <v>179</v>
      </c>
      <c r="E90" s="97">
        <f>INDEX('Product Backlog'!$I$8:$I$48,MATCH(D90,'Product Backlog'!$B$8:$B$48,0))</f>
        <v>1</v>
      </c>
      <c r="F90" s="97">
        <v>5</v>
      </c>
      <c r="G90" s="97">
        <v>7</v>
      </c>
      <c r="H90" s="97">
        <v>4</v>
      </c>
      <c r="I90" s="97" t="s">
        <v>478</v>
      </c>
      <c r="J90" s="97" t="s">
        <v>653</v>
      </c>
      <c r="K90" s="98" t="s">
        <v>659</v>
      </c>
      <c r="L90" s="99" t="s">
        <v>474</v>
      </c>
      <c r="M90" s="99"/>
    </row>
    <row r="91" spans="2:13" ht="15" customHeight="1">
      <c r="B91" s="100">
        <v>4</v>
      </c>
      <c r="C91" s="100" t="s">
        <v>473</v>
      </c>
      <c r="D91" s="100" t="s">
        <v>209</v>
      </c>
      <c r="E91" s="100">
        <f>INDEX('Product Backlog'!$I$8:$I$48,MATCH(D91,'Product Backlog'!$B$8:$B$48,0))</f>
        <v>1</v>
      </c>
      <c r="F91" s="100">
        <v>9</v>
      </c>
      <c r="G91" s="100">
        <v>14</v>
      </c>
      <c r="H91" s="100">
        <v>5</v>
      </c>
      <c r="I91" s="100" t="s">
        <v>514</v>
      </c>
      <c r="J91" s="100" t="s">
        <v>679</v>
      </c>
      <c r="K91" s="101" t="s">
        <v>658</v>
      </c>
      <c r="L91" s="102" t="s">
        <v>693</v>
      </c>
      <c r="M91" s="102" t="s">
        <v>694</v>
      </c>
    </row>
    <row r="92" spans="2:13" ht="15" customHeight="1">
      <c r="B92" s="100">
        <v>4</v>
      </c>
      <c r="C92" s="100" t="s">
        <v>476</v>
      </c>
      <c r="D92" s="100" t="s">
        <v>209</v>
      </c>
      <c r="E92" s="100">
        <f>INDEX('Product Backlog'!$I$8:$I$48,MATCH(D92,'Product Backlog'!$B$8:$B$48,0))</f>
        <v>1</v>
      </c>
      <c r="F92" s="100">
        <v>12</v>
      </c>
      <c r="G92" s="100">
        <v>17.5</v>
      </c>
      <c r="H92" s="100">
        <v>5</v>
      </c>
      <c r="I92" s="100" t="s">
        <v>516</v>
      </c>
      <c r="J92" s="100" t="s">
        <v>679</v>
      </c>
      <c r="K92" s="101" t="s">
        <v>668</v>
      </c>
      <c r="L92" s="102" t="s">
        <v>695</v>
      </c>
      <c r="M92" s="102" t="s">
        <v>694</v>
      </c>
    </row>
    <row r="93" spans="2:13" ht="15" customHeight="1">
      <c r="B93" s="100">
        <v>4</v>
      </c>
      <c r="C93" s="100" t="s">
        <v>478</v>
      </c>
      <c r="D93" s="100" t="s">
        <v>209</v>
      </c>
      <c r="E93" s="100">
        <f>INDEX('Product Backlog'!$I$8:$I$48,MATCH(D93,'Product Backlog'!$B$8:$B$48,0))</f>
        <v>1</v>
      </c>
      <c r="F93" s="100">
        <v>14</v>
      </c>
      <c r="G93" s="100">
        <v>21</v>
      </c>
      <c r="H93" s="100">
        <v>5</v>
      </c>
      <c r="I93" s="100" t="s">
        <v>518</v>
      </c>
      <c r="J93" s="100" t="s">
        <v>679</v>
      </c>
      <c r="K93" s="101" t="s">
        <v>664</v>
      </c>
      <c r="L93" s="102" t="s">
        <v>696</v>
      </c>
      <c r="M93" s="102" t="s">
        <v>694</v>
      </c>
    </row>
    <row r="94" spans="2:13" ht="15" customHeight="1">
      <c r="B94" s="100">
        <v>4</v>
      </c>
      <c r="C94" s="100" t="s">
        <v>480</v>
      </c>
      <c r="D94" s="100" t="s">
        <v>209</v>
      </c>
      <c r="E94" s="100">
        <f>INDEX('Product Backlog'!$I$8:$I$48,MATCH(D94,'Product Backlog'!$B$8:$B$48,0))</f>
        <v>1</v>
      </c>
      <c r="F94" s="100">
        <v>9</v>
      </c>
      <c r="G94" s="100">
        <v>14</v>
      </c>
      <c r="H94" s="100">
        <v>5</v>
      </c>
      <c r="I94" s="100" t="s">
        <v>520</v>
      </c>
      <c r="J94" s="100" t="s">
        <v>679</v>
      </c>
      <c r="K94" s="101" t="s">
        <v>658</v>
      </c>
      <c r="L94" s="102" t="s">
        <v>697</v>
      </c>
      <c r="M94" s="102" t="s">
        <v>694</v>
      </c>
    </row>
    <row r="95" spans="2:13" ht="15" customHeight="1">
      <c r="B95" s="100">
        <v>4</v>
      </c>
      <c r="C95" s="100" t="s">
        <v>482</v>
      </c>
      <c r="D95" s="100" t="s">
        <v>209</v>
      </c>
      <c r="E95" s="100">
        <f>INDEX('Product Backlog'!$I$8:$I$48,MATCH(D95,'Product Backlog'!$B$8:$B$48,0))</f>
        <v>1</v>
      </c>
      <c r="F95" s="100">
        <v>5</v>
      </c>
      <c r="G95" s="100">
        <v>7</v>
      </c>
      <c r="H95" s="100">
        <v>5</v>
      </c>
      <c r="I95" s="100" t="s">
        <v>522</v>
      </c>
      <c r="J95" s="100" t="s">
        <v>679</v>
      </c>
      <c r="K95" s="101" t="s">
        <v>305</v>
      </c>
      <c r="L95" s="102" t="s">
        <v>698</v>
      </c>
      <c r="M95" s="102" t="s">
        <v>694</v>
      </c>
    </row>
    <row r="96" spans="2:13" ht="15" customHeight="1">
      <c r="B96" s="100">
        <v>4</v>
      </c>
      <c r="C96" s="100" t="s">
        <v>484</v>
      </c>
      <c r="D96" s="100" t="s">
        <v>209</v>
      </c>
      <c r="E96" s="100">
        <f>INDEX('Product Backlog'!$I$8:$I$48,MATCH(D96,'Product Backlog'!$B$8:$B$48,0))</f>
        <v>1</v>
      </c>
      <c r="F96" s="100">
        <v>3</v>
      </c>
      <c r="G96" s="100">
        <v>5</v>
      </c>
      <c r="H96" s="100">
        <v>5</v>
      </c>
      <c r="I96" s="100" t="s">
        <v>524</v>
      </c>
      <c r="J96" s="100" t="s">
        <v>679</v>
      </c>
      <c r="K96" s="101" t="s">
        <v>314</v>
      </c>
      <c r="L96" s="102" t="s">
        <v>495</v>
      </c>
      <c r="M96" s="102" t="s">
        <v>694</v>
      </c>
    </row>
    <row r="97" spans="2:13" ht="23.25" customHeight="1">
      <c r="B97" s="100">
        <v>4</v>
      </c>
      <c r="C97" s="100" t="s">
        <v>486</v>
      </c>
      <c r="D97" s="100" t="s">
        <v>86</v>
      </c>
      <c r="E97" s="100">
        <f>INDEX('Product Backlog'!$I$8:$I$48,MATCH(D97,'Product Backlog'!$B$8:$B$48,0))</f>
        <v>1</v>
      </c>
      <c r="F97" s="100">
        <v>3</v>
      </c>
      <c r="G97" s="100" t="s">
        <v>699</v>
      </c>
      <c r="H97" s="100" t="s">
        <v>699</v>
      </c>
      <c r="I97" s="100" t="s">
        <v>699</v>
      </c>
      <c r="J97" s="100" t="s">
        <v>700</v>
      </c>
      <c r="K97" s="101" t="s">
        <v>668</v>
      </c>
      <c r="L97" s="102" t="s">
        <v>497</v>
      </c>
      <c r="M97" s="102" t="s">
        <v>701</v>
      </c>
    </row>
    <row r="98" spans="2:13" ht="23.25" customHeight="1">
      <c r="B98" s="100">
        <v>4</v>
      </c>
      <c r="C98" s="100" t="s">
        <v>488</v>
      </c>
      <c r="D98" s="100" t="s">
        <v>86</v>
      </c>
      <c r="E98" s="100">
        <f>INDEX('Product Backlog'!$I$8:$I$48,MATCH(D98,'Product Backlog'!$B$8:$B$48,0))</f>
        <v>1</v>
      </c>
      <c r="F98" s="100">
        <v>2</v>
      </c>
      <c r="G98" s="100" t="s">
        <v>699</v>
      </c>
      <c r="H98" s="100" t="s">
        <v>699</v>
      </c>
      <c r="I98" s="100" t="s">
        <v>699</v>
      </c>
      <c r="J98" s="100" t="s">
        <v>700</v>
      </c>
      <c r="K98" s="101" t="s">
        <v>407</v>
      </c>
      <c r="L98" s="102" t="s">
        <v>499</v>
      </c>
      <c r="M98" s="102" t="s">
        <v>701</v>
      </c>
    </row>
    <row r="99" spans="2:13" ht="23.25" customHeight="1">
      <c r="B99" s="100">
        <v>4</v>
      </c>
      <c r="C99" s="100" t="s">
        <v>490</v>
      </c>
      <c r="D99" s="100" t="s">
        <v>86</v>
      </c>
      <c r="E99" s="100">
        <f>INDEX('Product Backlog'!$I$8:$I$48,MATCH(D99,'Product Backlog'!$B$8:$B$48,0))</f>
        <v>1</v>
      </c>
      <c r="F99" s="100">
        <v>5</v>
      </c>
      <c r="G99" s="100" t="s">
        <v>699</v>
      </c>
      <c r="H99" s="100" t="s">
        <v>699</v>
      </c>
      <c r="I99" s="100" t="s">
        <v>699</v>
      </c>
      <c r="J99" s="100" t="s">
        <v>700</v>
      </c>
      <c r="K99" s="101" t="s">
        <v>675</v>
      </c>
      <c r="L99" s="102" t="s">
        <v>702</v>
      </c>
      <c r="M99" s="102" t="s">
        <v>701</v>
      </c>
    </row>
    <row r="100" spans="2:13" ht="23.25" customHeight="1">
      <c r="B100" s="100">
        <v>4</v>
      </c>
      <c r="C100" s="100" t="s">
        <v>492</v>
      </c>
      <c r="D100" s="100" t="s">
        <v>86</v>
      </c>
      <c r="E100" s="100">
        <f>INDEX('Product Backlog'!$I$8:$I$48,MATCH(D100,'Product Backlog'!$B$8:$B$48,0))</f>
        <v>1</v>
      </c>
      <c r="F100" s="100">
        <v>2</v>
      </c>
      <c r="G100" s="100" t="s">
        <v>699</v>
      </c>
      <c r="H100" s="100" t="s">
        <v>699</v>
      </c>
      <c r="I100" s="100" t="s">
        <v>699</v>
      </c>
      <c r="J100" s="100" t="s">
        <v>700</v>
      </c>
      <c r="K100" s="101" t="s">
        <v>659</v>
      </c>
      <c r="L100" s="102" t="s">
        <v>503</v>
      </c>
      <c r="M100" s="102" t="s">
        <v>701</v>
      </c>
    </row>
    <row r="101" spans="2:13" ht="23.25" customHeight="1">
      <c r="B101" s="100">
        <v>4</v>
      </c>
      <c r="C101" s="100" t="s">
        <v>494</v>
      </c>
      <c r="D101" s="100" t="s">
        <v>86</v>
      </c>
      <c r="E101" s="100">
        <f>INDEX('Product Backlog'!$I$8:$I$48,MATCH(D101,'Product Backlog'!$B$8:$B$48,0))</f>
        <v>1</v>
      </c>
      <c r="F101" s="100">
        <v>3</v>
      </c>
      <c r="G101" s="100" t="s">
        <v>699</v>
      </c>
      <c r="H101" s="100" t="s">
        <v>699</v>
      </c>
      <c r="I101" s="100" t="s">
        <v>699</v>
      </c>
      <c r="J101" s="100" t="s">
        <v>700</v>
      </c>
      <c r="K101" s="101" t="s">
        <v>658</v>
      </c>
      <c r="L101" s="102" t="s">
        <v>505</v>
      </c>
      <c r="M101" s="102" t="s">
        <v>701</v>
      </c>
    </row>
    <row r="102" spans="2:13" ht="15" customHeight="1">
      <c r="B102" s="97">
        <v>4</v>
      </c>
      <c r="C102" s="97" t="s">
        <v>496</v>
      </c>
      <c r="D102" s="97" t="s">
        <v>204</v>
      </c>
      <c r="E102" s="97">
        <f>INDEX('Product Backlog'!$I$8:$I$48,MATCH(D102,'Product Backlog'!$B$8:$B$48,0))</f>
        <v>1</v>
      </c>
      <c r="F102" s="97">
        <v>7</v>
      </c>
      <c r="G102" s="97">
        <v>10</v>
      </c>
      <c r="H102" s="97">
        <v>4</v>
      </c>
      <c r="I102" s="97" t="s">
        <v>498</v>
      </c>
      <c r="J102" s="97" t="s">
        <v>653</v>
      </c>
      <c r="K102" s="98" t="s">
        <v>703</v>
      </c>
      <c r="L102" s="99" t="s">
        <v>507</v>
      </c>
      <c r="M102" s="99"/>
    </row>
    <row r="103" spans="2:13" ht="15" customHeight="1">
      <c r="B103" s="97">
        <v>4</v>
      </c>
      <c r="C103" s="97" t="s">
        <v>498</v>
      </c>
      <c r="D103" s="97" t="s">
        <v>204</v>
      </c>
      <c r="E103" s="97">
        <f>INDEX('Product Backlog'!$I$8:$I$48,MATCH(D103,'Product Backlog'!$B$8:$B$48,0))</f>
        <v>1</v>
      </c>
      <c r="F103" s="97">
        <v>7</v>
      </c>
      <c r="G103" s="97">
        <v>10</v>
      </c>
      <c r="H103" s="97">
        <v>4</v>
      </c>
      <c r="I103" s="97" t="s">
        <v>500</v>
      </c>
      <c r="J103" s="97" t="s">
        <v>653</v>
      </c>
      <c r="K103" s="98" t="s">
        <v>704</v>
      </c>
      <c r="L103" s="99" t="s">
        <v>509</v>
      </c>
      <c r="M103" s="99"/>
    </row>
    <row r="104" spans="2:13" ht="15" customHeight="1">
      <c r="B104" s="97">
        <v>4</v>
      </c>
      <c r="C104" s="97" t="s">
        <v>500</v>
      </c>
      <c r="D104" s="97" t="s">
        <v>204</v>
      </c>
      <c r="E104" s="97">
        <f>INDEX('Product Backlog'!$I$8:$I$48,MATCH(D104,'Product Backlog'!$B$8:$B$48,0))</f>
        <v>1</v>
      </c>
      <c r="F104" s="97">
        <v>3</v>
      </c>
      <c r="G104" s="97">
        <v>5</v>
      </c>
      <c r="H104" s="97">
        <v>4</v>
      </c>
      <c r="I104" s="97" t="s">
        <v>502</v>
      </c>
      <c r="J104" s="97" t="s">
        <v>653</v>
      </c>
      <c r="K104" s="98" t="s">
        <v>705</v>
      </c>
      <c r="L104" s="99" t="s">
        <v>511</v>
      </c>
      <c r="M104" s="99"/>
    </row>
    <row r="105" spans="2:13" ht="15" customHeight="1">
      <c r="B105" s="97">
        <v>5</v>
      </c>
      <c r="C105" s="97" t="s">
        <v>514</v>
      </c>
      <c r="D105" s="97" t="s">
        <v>215</v>
      </c>
      <c r="E105" s="97">
        <f>INDEX('Product Backlog'!$I$8:$I$48,MATCH(D105,'Product Backlog'!$B$8:$B$48,0))</f>
        <v>1</v>
      </c>
      <c r="F105" s="97">
        <v>5</v>
      </c>
      <c r="G105" s="97">
        <v>7.5</v>
      </c>
      <c r="H105" s="97">
        <v>5</v>
      </c>
      <c r="I105" s="97" t="s">
        <v>526</v>
      </c>
      <c r="J105" s="97" t="s">
        <v>653</v>
      </c>
      <c r="K105" s="98" t="s">
        <v>658</v>
      </c>
      <c r="L105" s="99" t="s">
        <v>515</v>
      </c>
      <c r="M105" s="99" t="s">
        <v>706</v>
      </c>
    </row>
    <row r="106" spans="2:13" ht="15" customHeight="1">
      <c r="B106" s="97">
        <v>5</v>
      </c>
      <c r="C106" s="97" t="s">
        <v>516</v>
      </c>
      <c r="D106" s="97" t="s">
        <v>215</v>
      </c>
      <c r="E106" s="97">
        <f>INDEX('Product Backlog'!$I$8:$I$48,MATCH(D106,'Product Backlog'!$B$8:$B$48,0))</f>
        <v>1</v>
      </c>
      <c r="F106" s="97">
        <v>4</v>
      </c>
      <c r="G106" s="97">
        <v>6.5</v>
      </c>
      <c r="H106" s="97">
        <v>5</v>
      </c>
      <c r="I106" s="97" t="s">
        <v>528</v>
      </c>
      <c r="J106" s="97" t="s">
        <v>653</v>
      </c>
      <c r="K106" s="98" t="s">
        <v>678</v>
      </c>
      <c r="L106" s="99" t="s">
        <v>517</v>
      </c>
      <c r="M106" s="99" t="s">
        <v>706</v>
      </c>
    </row>
    <row r="107" spans="2:13" ht="15" customHeight="1">
      <c r="B107" s="97">
        <v>5</v>
      </c>
      <c r="C107" s="97" t="s">
        <v>518</v>
      </c>
      <c r="D107" s="97" t="s">
        <v>226</v>
      </c>
      <c r="E107" s="97">
        <f>INDEX('Product Backlog'!$I$8:$I$48,MATCH(D107,'Product Backlog'!$B$8:$B$48,0))</f>
        <v>1</v>
      </c>
      <c r="F107" s="97">
        <v>5</v>
      </c>
      <c r="G107" s="97">
        <v>7.5</v>
      </c>
      <c r="H107" s="97">
        <v>5</v>
      </c>
      <c r="I107" s="97" t="s">
        <v>537</v>
      </c>
      <c r="J107" s="97" t="s">
        <v>653</v>
      </c>
      <c r="K107" s="98" t="s">
        <v>664</v>
      </c>
      <c r="L107" s="99" t="s">
        <v>519</v>
      </c>
      <c r="M107" s="99"/>
    </row>
    <row r="108" spans="2:13" ht="15" customHeight="1">
      <c r="B108" s="97">
        <v>5</v>
      </c>
      <c r="C108" s="97" t="s">
        <v>520</v>
      </c>
      <c r="D108" s="97" t="s">
        <v>226</v>
      </c>
      <c r="E108" s="97">
        <f>INDEX('Product Backlog'!$I$8:$I$48,MATCH(D108,'Product Backlog'!$B$8:$B$48,0))</f>
        <v>1</v>
      </c>
      <c r="F108" s="97">
        <v>5</v>
      </c>
      <c r="G108" s="97">
        <v>7.5</v>
      </c>
      <c r="H108" s="97">
        <v>5</v>
      </c>
      <c r="I108" s="97" t="s">
        <v>539</v>
      </c>
      <c r="J108" s="97" t="s">
        <v>653</v>
      </c>
      <c r="K108" s="98" t="s">
        <v>705</v>
      </c>
      <c r="L108" s="99" t="s">
        <v>521</v>
      </c>
      <c r="M108" s="99"/>
    </row>
    <row r="109" spans="2:13" ht="15" customHeight="1">
      <c r="B109" s="97">
        <v>5</v>
      </c>
      <c r="C109" s="97" t="s">
        <v>522</v>
      </c>
      <c r="D109" s="97" t="s">
        <v>226</v>
      </c>
      <c r="E109" s="97">
        <f>INDEX('Product Backlog'!$I$8:$I$48,MATCH(D109,'Product Backlog'!$B$8:$B$48,0))</f>
        <v>1</v>
      </c>
      <c r="F109" s="97">
        <v>4</v>
      </c>
      <c r="G109" s="97">
        <v>6.5</v>
      </c>
      <c r="H109" s="97">
        <v>5</v>
      </c>
      <c r="I109" s="97" t="s">
        <v>541</v>
      </c>
      <c r="J109" s="97" t="s">
        <v>653</v>
      </c>
      <c r="K109" s="98" t="s">
        <v>678</v>
      </c>
      <c r="L109" s="99" t="s">
        <v>523</v>
      </c>
      <c r="M109" s="99"/>
    </row>
    <row r="110" spans="2:13" ht="15" customHeight="1">
      <c r="B110" s="97">
        <v>5</v>
      </c>
      <c r="C110" s="97" t="s">
        <v>524</v>
      </c>
      <c r="D110" s="97" t="s">
        <v>231</v>
      </c>
      <c r="E110" s="97">
        <f>INDEX('Product Backlog'!$I$8:$I$48,MATCH(D110,'Product Backlog'!$B$8:$B$48,0))</f>
        <v>1</v>
      </c>
      <c r="F110" s="97">
        <v>5</v>
      </c>
      <c r="G110" s="97">
        <v>7.5</v>
      </c>
      <c r="H110" s="97">
        <v>5</v>
      </c>
      <c r="I110" s="97" t="s">
        <v>543</v>
      </c>
      <c r="J110" s="97" t="s">
        <v>653</v>
      </c>
      <c r="K110" s="98" t="s">
        <v>666</v>
      </c>
      <c r="L110" s="99" t="s">
        <v>525</v>
      </c>
      <c r="M110" s="99"/>
    </row>
    <row r="111" spans="2:13" ht="15" customHeight="1">
      <c r="B111" s="97">
        <v>5</v>
      </c>
      <c r="C111" s="97" t="s">
        <v>526</v>
      </c>
      <c r="D111" s="97" t="s">
        <v>231</v>
      </c>
      <c r="E111" s="97">
        <f>INDEX('Product Backlog'!$I$8:$I$48,MATCH(D111,'Product Backlog'!$B$8:$B$48,0))</f>
        <v>1</v>
      </c>
      <c r="F111" s="97">
        <v>7</v>
      </c>
      <c r="G111" s="97">
        <v>10</v>
      </c>
      <c r="H111" s="97">
        <v>5</v>
      </c>
      <c r="I111" s="97" t="s">
        <v>545</v>
      </c>
      <c r="J111" s="97" t="s">
        <v>653</v>
      </c>
      <c r="K111" s="98" t="s">
        <v>301</v>
      </c>
      <c r="L111" s="99" t="s">
        <v>527</v>
      </c>
      <c r="M111" s="99"/>
    </row>
    <row r="112" spans="2:13" ht="15" customHeight="1">
      <c r="B112" s="97">
        <v>5</v>
      </c>
      <c r="C112" s="97" t="s">
        <v>528</v>
      </c>
      <c r="D112" s="97" t="s">
        <v>231</v>
      </c>
      <c r="E112" s="97">
        <f>INDEX('Product Backlog'!$I$8:$I$48,MATCH(D112,'Product Backlog'!$B$8:$B$48,0))</f>
        <v>1</v>
      </c>
      <c r="F112" s="97">
        <v>3</v>
      </c>
      <c r="G112" s="97">
        <v>5</v>
      </c>
      <c r="H112" s="97">
        <v>5</v>
      </c>
      <c r="I112" s="97" t="s">
        <v>547</v>
      </c>
      <c r="J112" s="97" t="s">
        <v>653</v>
      </c>
      <c r="K112" s="98" t="s">
        <v>407</v>
      </c>
      <c r="L112" s="99" t="s">
        <v>529</v>
      </c>
      <c r="M112" s="99"/>
    </row>
    <row r="113" spans="2:13" ht="23.25" customHeight="1">
      <c r="B113" s="100">
        <v>5</v>
      </c>
      <c r="C113" s="100" t="s">
        <v>530</v>
      </c>
      <c r="D113" s="100" t="s">
        <v>241</v>
      </c>
      <c r="E113" s="100">
        <f>INDEX('Product Backlog'!$I$8:$I$48,MATCH(D113,'Product Backlog'!$B$8:$B$48,0))</f>
        <v>1</v>
      </c>
      <c r="F113" s="100">
        <v>12</v>
      </c>
      <c r="G113" s="100">
        <v>17.5</v>
      </c>
      <c r="H113" s="100">
        <v>6</v>
      </c>
      <c r="I113" s="100" t="s">
        <v>563</v>
      </c>
      <c r="J113" s="100" t="s">
        <v>679</v>
      </c>
      <c r="K113" s="101" t="s">
        <v>664</v>
      </c>
      <c r="L113" s="102" t="s">
        <v>513</v>
      </c>
      <c r="M113" s="102" t="s">
        <v>707</v>
      </c>
    </row>
    <row r="114" spans="2:13" ht="23.25" customHeight="1">
      <c r="B114" s="100">
        <v>5</v>
      </c>
      <c r="C114" s="100" t="s">
        <v>531</v>
      </c>
      <c r="D114" s="100" t="s">
        <v>241</v>
      </c>
      <c r="E114" s="100">
        <f>INDEX('Product Backlog'!$I$8:$I$48,MATCH(D114,'Product Backlog'!$B$8:$B$48,0))</f>
        <v>1</v>
      </c>
      <c r="F114" s="100">
        <v>5</v>
      </c>
      <c r="G114" s="100">
        <v>7</v>
      </c>
      <c r="H114" s="100">
        <v>6</v>
      </c>
      <c r="I114" s="100" t="s">
        <v>565</v>
      </c>
      <c r="J114" s="100" t="s">
        <v>679</v>
      </c>
      <c r="K114" s="101" t="s">
        <v>314</v>
      </c>
      <c r="L114" s="102" t="s">
        <v>532</v>
      </c>
      <c r="M114" s="102" t="s">
        <v>707</v>
      </c>
    </row>
    <row r="115" spans="2:13" ht="23.25" customHeight="1">
      <c r="B115" s="100">
        <v>5</v>
      </c>
      <c r="C115" s="100" t="s">
        <v>533</v>
      </c>
      <c r="D115" s="100" t="s">
        <v>241</v>
      </c>
      <c r="E115" s="100">
        <f>INDEX('Product Backlog'!$I$8:$I$48,MATCH(D115,'Product Backlog'!$B$8:$B$48,0))</f>
        <v>1</v>
      </c>
      <c r="F115" s="100">
        <v>9</v>
      </c>
      <c r="G115" s="100">
        <v>14</v>
      </c>
      <c r="H115" s="100">
        <v>6</v>
      </c>
      <c r="I115" s="100" t="s">
        <v>567</v>
      </c>
      <c r="J115" s="100" t="s">
        <v>679</v>
      </c>
      <c r="K115" s="101" t="s">
        <v>658</v>
      </c>
      <c r="L115" s="102" t="s">
        <v>534</v>
      </c>
      <c r="M115" s="102" t="s">
        <v>707</v>
      </c>
    </row>
    <row r="116" spans="2:13" ht="23.25" customHeight="1">
      <c r="B116" s="100">
        <v>5</v>
      </c>
      <c r="C116" s="100" t="s">
        <v>535</v>
      </c>
      <c r="D116" s="100" t="s">
        <v>241</v>
      </c>
      <c r="E116" s="100">
        <f>INDEX('Product Backlog'!$I$8:$I$48,MATCH(D116,'Product Backlog'!$B$8:$B$48,0))</f>
        <v>1</v>
      </c>
      <c r="F116" s="100">
        <v>3</v>
      </c>
      <c r="G116" s="100">
        <v>5</v>
      </c>
      <c r="H116" s="100">
        <v>6</v>
      </c>
      <c r="I116" s="100" t="s">
        <v>569</v>
      </c>
      <c r="J116" s="100" t="s">
        <v>679</v>
      </c>
      <c r="K116" s="101" t="s">
        <v>407</v>
      </c>
      <c r="L116" s="102" t="s">
        <v>536</v>
      </c>
      <c r="M116" s="102" t="s">
        <v>707</v>
      </c>
    </row>
    <row r="117" spans="2:13" ht="15" customHeight="1">
      <c r="B117" s="100">
        <v>5</v>
      </c>
      <c r="C117" s="100" t="s">
        <v>537</v>
      </c>
      <c r="D117" s="100" t="s">
        <v>164</v>
      </c>
      <c r="E117" s="100">
        <f>INDEX('Product Backlog'!$I$8:$I$48,MATCH(D117,'Product Backlog'!$B$8:$B$48,0))</f>
        <v>2</v>
      </c>
      <c r="F117" s="100">
        <v>5</v>
      </c>
      <c r="G117" s="100">
        <v>7</v>
      </c>
      <c r="H117" s="100">
        <v>3</v>
      </c>
      <c r="I117" s="100" t="s">
        <v>446</v>
      </c>
      <c r="J117" s="100" t="s">
        <v>679</v>
      </c>
      <c r="K117" s="101" t="s">
        <v>314</v>
      </c>
      <c r="L117" s="102" t="s">
        <v>538</v>
      </c>
      <c r="M117" s="102" t="s">
        <v>708</v>
      </c>
    </row>
    <row r="118" spans="2:13" ht="15" customHeight="1">
      <c r="B118" s="100">
        <v>5</v>
      </c>
      <c r="C118" s="100" t="s">
        <v>539</v>
      </c>
      <c r="D118" s="100" t="s">
        <v>164</v>
      </c>
      <c r="E118" s="100">
        <f>INDEX('Product Backlog'!$I$8:$I$48,MATCH(D118,'Product Backlog'!$B$8:$B$48,0))</f>
        <v>2</v>
      </c>
      <c r="F118" s="100">
        <v>12</v>
      </c>
      <c r="G118" s="100">
        <v>17.5</v>
      </c>
      <c r="H118" s="100">
        <v>3</v>
      </c>
      <c r="I118" s="100" t="s">
        <v>448</v>
      </c>
      <c r="J118" s="100" t="s">
        <v>679</v>
      </c>
      <c r="K118" s="101" t="s">
        <v>658</v>
      </c>
      <c r="L118" s="102" t="s">
        <v>540</v>
      </c>
      <c r="M118" s="102" t="s">
        <v>708</v>
      </c>
    </row>
    <row r="119" spans="2:13" ht="15" customHeight="1">
      <c r="B119" s="100">
        <v>5</v>
      </c>
      <c r="C119" s="100" t="s">
        <v>541</v>
      </c>
      <c r="D119" s="100" t="s">
        <v>164</v>
      </c>
      <c r="E119" s="100">
        <f>INDEX('Product Backlog'!$I$8:$I$48,MATCH(D119,'Product Backlog'!$B$8:$B$48,0))</f>
        <v>2</v>
      </c>
      <c r="F119" s="100">
        <v>5</v>
      </c>
      <c r="G119" s="100">
        <v>7</v>
      </c>
      <c r="H119" s="100">
        <v>3</v>
      </c>
      <c r="I119" s="100" t="s">
        <v>450</v>
      </c>
      <c r="J119" s="100" t="s">
        <v>679</v>
      </c>
      <c r="K119" s="101" t="s">
        <v>668</v>
      </c>
      <c r="L119" s="102" t="s">
        <v>542</v>
      </c>
      <c r="M119" s="102" t="s">
        <v>708</v>
      </c>
    </row>
    <row r="120" spans="2:13" ht="15" customHeight="1">
      <c r="B120" s="100">
        <v>5</v>
      </c>
      <c r="C120" s="100" t="s">
        <v>543</v>
      </c>
      <c r="D120" s="100" t="s">
        <v>164</v>
      </c>
      <c r="E120" s="100">
        <f>INDEX('Product Backlog'!$I$8:$I$48,MATCH(D120,'Product Backlog'!$B$8:$B$48,0))</f>
        <v>2</v>
      </c>
      <c r="F120" s="100">
        <v>2</v>
      </c>
      <c r="G120" s="100">
        <v>3.5</v>
      </c>
      <c r="H120" s="100">
        <v>3</v>
      </c>
      <c r="I120" s="100" t="s">
        <v>452</v>
      </c>
      <c r="J120" s="100" t="s">
        <v>679</v>
      </c>
      <c r="K120" s="101" t="s">
        <v>301</v>
      </c>
      <c r="L120" s="102" t="s">
        <v>544</v>
      </c>
      <c r="M120" s="102" t="s">
        <v>708</v>
      </c>
    </row>
    <row r="121" spans="2:13" ht="15" customHeight="1">
      <c r="B121" s="100">
        <v>5</v>
      </c>
      <c r="C121" s="100" t="s">
        <v>545</v>
      </c>
      <c r="D121" s="100" t="s">
        <v>184</v>
      </c>
      <c r="E121" s="100">
        <f>INDEX('Product Backlog'!$I$8:$I$48,MATCH(D121,'Product Backlog'!$B$8:$B$48,0))</f>
        <v>2</v>
      </c>
      <c r="F121" s="100">
        <v>3</v>
      </c>
      <c r="G121" s="100">
        <v>5</v>
      </c>
      <c r="H121" s="100">
        <v>4</v>
      </c>
      <c r="I121" s="100" t="s">
        <v>480</v>
      </c>
      <c r="J121" s="100" t="s">
        <v>679</v>
      </c>
      <c r="K121" s="101" t="s">
        <v>305</v>
      </c>
      <c r="L121" s="102" t="s">
        <v>546</v>
      </c>
      <c r="M121" s="102" t="s">
        <v>709</v>
      </c>
    </row>
    <row r="122" spans="2:13" ht="15" customHeight="1">
      <c r="B122" s="100">
        <v>5</v>
      </c>
      <c r="C122" s="100" t="s">
        <v>547</v>
      </c>
      <c r="D122" s="100" t="s">
        <v>184</v>
      </c>
      <c r="E122" s="100">
        <f>INDEX('Product Backlog'!$I$8:$I$48,MATCH(D122,'Product Backlog'!$B$8:$B$48,0))</f>
        <v>2</v>
      </c>
      <c r="F122" s="100">
        <v>3</v>
      </c>
      <c r="G122" s="100">
        <v>5</v>
      </c>
      <c r="H122" s="100">
        <v>4</v>
      </c>
      <c r="I122" s="100" t="s">
        <v>482</v>
      </c>
      <c r="J122" s="100" t="s">
        <v>679</v>
      </c>
      <c r="K122" s="101" t="s">
        <v>399</v>
      </c>
      <c r="L122" s="102" t="s">
        <v>548</v>
      </c>
      <c r="M122" s="102" t="s">
        <v>709</v>
      </c>
    </row>
    <row r="123" spans="2:13" ht="15" customHeight="1">
      <c r="B123" s="100">
        <v>5</v>
      </c>
      <c r="C123" s="100" t="s">
        <v>549</v>
      </c>
      <c r="D123" s="100" t="s">
        <v>184</v>
      </c>
      <c r="E123" s="100">
        <f>INDEX('Product Backlog'!$I$8:$I$48,MATCH(D123,'Product Backlog'!$B$8:$B$48,0))</f>
        <v>2</v>
      </c>
      <c r="F123" s="100">
        <v>2</v>
      </c>
      <c r="G123" s="100">
        <v>3</v>
      </c>
      <c r="H123" s="100">
        <v>4</v>
      </c>
      <c r="I123" s="100" t="s">
        <v>484</v>
      </c>
      <c r="J123" s="100" t="s">
        <v>679</v>
      </c>
      <c r="K123" s="101" t="s">
        <v>407</v>
      </c>
      <c r="L123" s="102" t="s">
        <v>550</v>
      </c>
      <c r="M123" s="102" t="s">
        <v>709</v>
      </c>
    </row>
    <row r="124" spans="2:13" ht="15" customHeight="1">
      <c r="B124" s="100">
        <v>5</v>
      </c>
      <c r="C124" s="100" t="s">
        <v>551</v>
      </c>
      <c r="D124" s="100" t="s">
        <v>189</v>
      </c>
      <c r="E124" s="100">
        <f>INDEX('Product Backlog'!$I$8:$I$48,MATCH(D124,'Product Backlog'!$B$8:$B$48,0))</f>
        <v>2</v>
      </c>
      <c r="F124" s="100">
        <v>5</v>
      </c>
      <c r="G124" s="100">
        <v>7</v>
      </c>
      <c r="H124" s="100">
        <v>4</v>
      </c>
      <c r="I124" s="100" t="s">
        <v>486</v>
      </c>
      <c r="J124" s="100" t="s">
        <v>679</v>
      </c>
      <c r="K124" s="101" t="s">
        <v>305</v>
      </c>
      <c r="L124" s="102" t="s">
        <v>552</v>
      </c>
      <c r="M124" s="102" t="s">
        <v>709</v>
      </c>
    </row>
    <row r="125" spans="2:13" ht="15" customHeight="1">
      <c r="B125" s="100">
        <v>5</v>
      </c>
      <c r="C125" s="100" t="s">
        <v>553</v>
      </c>
      <c r="D125" s="100" t="s">
        <v>189</v>
      </c>
      <c r="E125" s="100">
        <f>INDEX('Product Backlog'!$I$8:$I$48,MATCH(D125,'Product Backlog'!$B$8:$B$48,0))</f>
        <v>2</v>
      </c>
      <c r="F125" s="100">
        <v>7</v>
      </c>
      <c r="G125" s="100">
        <v>10.5</v>
      </c>
      <c r="H125" s="100">
        <v>4</v>
      </c>
      <c r="I125" s="100" t="s">
        <v>488</v>
      </c>
      <c r="J125" s="100" t="s">
        <v>679</v>
      </c>
      <c r="K125" s="101" t="s">
        <v>684</v>
      </c>
      <c r="L125" s="102" t="s">
        <v>554</v>
      </c>
      <c r="M125" s="102" t="s">
        <v>709</v>
      </c>
    </row>
    <row r="126" spans="2:13" ht="15" customHeight="1">
      <c r="B126" s="100">
        <v>5</v>
      </c>
      <c r="C126" s="100" t="s">
        <v>555</v>
      </c>
      <c r="D126" s="100" t="s">
        <v>189</v>
      </c>
      <c r="E126" s="100">
        <f>INDEX('Product Backlog'!$I$8:$I$48,MATCH(D126,'Product Backlog'!$B$8:$B$48,0))</f>
        <v>2</v>
      </c>
      <c r="F126" s="100">
        <v>2</v>
      </c>
      <c r="G126" s="100">
        <v>3.5</v>
      </c>
      <c r="H126" s="100">
        <v>4</v>
      </c>
      <c r="I126" s="100" t="s">
        <v>490</v>
      </c>
      <c r="J126" s="100" t="s">
        <v>679</v>
      </c>
      <c r="K126" s="101" t="s">
        <v>314</v>
      </c>
      <c r="L126" s="102" t="s">
        <v>556</v>
      </c>
      <c r="M126" s="102" t="s">
        <v>709</v>
      </c>
    </row>
    <row r="127" spans="2:13" ht="15" customHeight="1">
      <c r="B127" s="100">
        <v>5</v>
      </c>
      <c r="C127" s="100" t="s">
        <v>557</v>
      </c>
      <c r="D127" s="100" t="s">
        <v>194</v>
      </c>
      <c r="E127" s="100">
        <f>INDEX('Product Backlog'!$I$8:$I$48,MATCH(D127,'Product Backlog'!$B$8:$B$48,0))</f>
        <v>2</v>
      </c>
      <c r="F127" s="100">
        <v>5</v>
      </c>
      <c r="G127" s="100">
        <v>7</v>
      </c>
      <c r="H127" s="100">
        <v>4</v>
      </c>
      <c r="I127" s="100" t="s">
        <v>492</v>
      </c>
      <c r="J127" s="100" t="s">
        <v>679</v>
      </c>
      <c r="K127" s="101" t="s">
        <v>407</v>
      </c>
      <c r="L127" s="102" t="s">
        <v>558</v>
      </c>
      <c r="M127" s="102" t="s">
        <v>709</v>
      </c>
    </row>
    <row r="128" spans="2:13" ht="15" customHeight="1">
      <c r="B128" s="100">
        <v>5</v>
      </c>
      <c r="C128" s="100" t="s">
        <v>559</v>
      </c>
      <c r="D128" s="100" t="s">
        <v>194</v>
      </c>
      <c r="E128" s="100">
        <f>INDEX('Product Backlog'!$I$8:$I$48,MATCH(D128,'Product Backlog'!$B$8:$B$48,0))</f>
        <v>2</v>
      </c>
      <c r="F128" s="100">
        <v>5</v>
      </c>
      <c r="G128" s="100">
        <v>7</v>
      </c>
      <c r="H128" s="100">
        <v>4</v>
      </c>
      <c r="I128" s="100" t="s">
        <v>494</v>
      </c>
      <c r="J128" s="100" t="s">
        <v>679</v>
      </c>
      <c r="K128" s="101" t="s">
        <v>703</v>
      </c>
      <c r="L128" s="102" t="s">
        <v>560</v>
      </c>
      <c r="M128" s="102" t="s">
        <v>709</v>
      </c>
    </row>
    <row r="129" spans="2:13" ht="15" customHeight="1">
      <c r="B129" s="100">
        <v>5</v>
      </c>
      <c r="C129" s="100" t="s">
        <v>561</v>
      </c>
      <c r="D129" s="100" t="s">
        <v>194</v>
      </c>
      <c r="E129" s="100">
        <f>INDEX('Product Backlog'!$I$8:$I$48,MATCH(D129,'Product Backlog'!$B$8:$B$48,0))</f>
        <v>2</v>
      </c>
      <c r="F129" s="100">
        <v>2</v>
      </c>
      <c r="G129" s="100">
        <v>3.5</v>
      </c>
      <c r="H129" s="100">
        <v>4</v>
      </c>
      <c r="I129" s="100" t="s">
        <v>496</v>
      </c>
      <c r="J129" s="100" t="s">
        <v>679</v>
      </c>
      <c r="K129" s="101" t="s">
        <v>305</v>
      </c>
      <c r="L129" s="102" t="s">
        <v>562</v>
      </c>
      <c r="M129" s="102" t="s">
        <v>709</v>
      </c>
    </row>
    <row r="130" spans="2:13" ht="23.25" customHeight="1">
      <c r="B130" s="97">
        <v>6</v>
      </c>
      <c r="C130" s="97" t="s">
        <v>563</v>
      </c>
      <c r="D130" s="97" t="s">
        <v>251</v>
      </c>
      <c r="E130" s="97">
        <f>INDEX('Product Backlog'!$I$8:$I$48,MATCH(D130,'Product Backlog'!$B$8:$B$48,0))</f>
        <v>1</v>
      </c>
      <c r="F130" s="97">
        <v>9</v>
      </c>
      <c r="G130" s="97">
        <v>14</v>
      </c>
      <c r="H130" s="97">
        <v>6</v>
      </c>
      <c r="I130" s="97" t="s">
        <v>577</v>
      </c>
      <c r="J130" s="97" t="s">
        <v>653</v>
      </c>
      <c r="K130" s="98" t="s">
        <v>301</v>
      </c>
      <c r="L130" s="99" t="s">
        <v>564</v>
      </c>
      <c r="M130" s="99"/>
    </row>
    <row r="131" spans="2:13" ht="15" customHeight="1">
      <c r="B131" s="97">
        <v>6</v>
      </c>
      <c r="C131" s="97" t="s">
        <v>565</v>
      </c>
      <c r="D131" s="97" t="s">
        <v>251</v>
      </c>
      <c r="E131" s="97">
        <f>INDEX('Product Backlog'!$I$8:$I$48,MATCH(D131,'Product Backlog'!$B$8:$B$48,0))</f>
        <v>1</v>
      </c>
      <c r="F131" s="97">
        <v>5</v>
      </c>
      <c r="G131" s="97">
        <v>7</v>
      </c>
      <c r="H131" s="97">
        <v>6</v>
      </c>
      <c r="I131" s="97" t="s">
        <v>579</v>
      </c>
      <c r="J131" s="97" t="s">
        <v>653</v>
      </c>
      <c r="K131" s="98" t="s">
        <v>314</v>
      </c>
      <c r="L131" s="99" t="s">
        <v>566</v>
      </c>
      <c r="M131" s="99"/>
    </row>
    <row r="132" spans="2:13" ht="15" customHeight="1">
      <c r="B132" s="97">
        <v>6</v>
      </c>
      <c r="C132" s="97" t="s">
        <v>567</v>
      </c>
      <c r="D132" s="97" t="s">
        <v>251</v>
      </c>
      <c r="E132" s="97">
        <f>INDEX('Product Backlog'!$I$8:$I$48,MATCH(D132,'Product Backlog'!$B$8:$B$48,0))</f>
        <v>1</v>
      </c>
      <c r="F132" s="97">
        <v>5</v>
      </c>
      <c r="G132" s="97">
        <v>7</v>
      </c>
      <c r="H132" s="97">
        <v>6</v>
      </c>
      <c r="I132" s="97" t="s">
        <v>581</v>
      </c>
      <c r="J132" s="97" t="s">
        <v>653</v>
      </c>
      <c r="K132" s="98" t="s">
        <v>301</v>
      </c>
      <c r="L132" s="99" t="s">
        <v>568</v>
      </c>
      <c r="M132" s="99"/>
    </row>
    <row r="133" spans="2:13" ht="15" customHeight="1">
      <c r="B133" s="100">
        <v>6</v>
      </c>
      <c r="C133" s="100" t="s">
        <v>569</v>
      </c>
      <c r="D133" s="100" t="s">
        <v>220</v>
      </c>
      <c r="E133" s="100">
        <f>INDEX('Product Backlog'!$I$8:$I$48,MATCH(D133,'Product Backlog'!$B$8:$B$48,0))</f>
        <v>2</v>
      </c>
      <c r="F133" s="100">
        <v>4</v>
      </c>
      <c r="G133" s="100">
        <v>6</v>
      </c>
      <c r="H133" s="100">
        <v>5</v>
      </c>
      <c r="I133" s="100" t="s">
        <v>530</v>
      </c>
      <c r="J133" s="100" t="s">
        <v>679</v>
      </c>
      <c r="K133" s="101" t="s">
        <v>399</v>
      </c>
      <c r="L133" s="102" t="s">
        <v>570</v>
      </c>
      <c r="M133" s="102" t="s">
        <v>710</v>
      </c>
    </row>
    <row r="134" spans="2:13" ht="15" customHeight="1">
      <c r="B134" s="100">
        <v>6</v>
      </c>
      <c r="C134" s="100" t="s">
        <v>571</v>
      </c>
      <c r="D134" s="100" t="s">
        <v>220</v>
      </c>
      <c r="E134" s="100">
        <f>INDEX('Product Backlog'!$I$8:$I$48,MATCH(D134,'Product Backlog'!$B$8:$B$48,0))</f>
        <v>2</v>
      </c>
      <c r="F134" s="100">
        <v>10</v>
      </c>
      <c r="G134" s="100">
        <v>15</v>
      </c>
      <c r="H134" s="100">
        <v>5</v>
      </c>
      <c r="I134" s="100" t="s">
        <v>531</v>
      </c>
      <c r="J134" s="100" t="s">
        <v>679</v>
      </c>
      <c r="K134" s="101" t="s">
        <v>658</v>
      </c>
      <c r="L134" s="102" t="s">
        <v>572</v>
      </c>
      <c r="M134" s="102" t="s">
        <v>710</v>
      </c>
    </row>
    <row r="135" spans="2:13" ht="15" customHeight="1">
      <c r="B135" s="100">
        <v>6</v>
      </c>
      <c r="C135" s="100" t="s">
        <v>573</v>
      </c>
      <c r="D135" s="100" t="s">
        <v>220</v>
      </c>
      <c r="E135" s="100">
        <f>INDEX('Product Backlog'!$I$8:$I$48,MATCH(D135,'Product Backlog'!$B$8:$B$48,0))</f>
        <v>2</v>
      </c>
      <c r="F135" s="100">
        <v>4</v>
      </c>
      <c r="G135" s="100">
        <v>6</v>
      </c>
      <c r="H135" s="100">
        <v>5</v>
      </c>
      <c r="I135" s="100" t="s">
        <v>533</v>
      </c>
      <c r="J135" s="100" t="s">
        <v>679</v>
      </c>
      <c r="K135" s="101" t="s">
        <v>319</v>
      </c>
      <c r="L135" s="102" t="s">
        <v>574</v>
      </c>
      <c r="M135" s="102" t="s">
        <v>710</v>
      </c>
    </row>
    <row r="136" spans="2:13" ht="15" customHeight="1">
      <c r="B136" s="100">
        <v>6</v>
      </c>
      <c r="C136" s="100" t="s">
        <v>575</v>
      </c>
      <c r="D136" s="100" t="s">
        <v>220</v>
      </c>
      <c r="E136" s="100">
        <f>INDEX('Product Backlog'!$I$8:$I$48,MATCH(D136,'Product Backlog'!$B$8:$B$48,0))</f>
        <v>2</v>
      </c>
      <c r="F136" s="100">
        <v>3</v>
      </c>
      <c r="G136" s="100">
        <v>5</v>
      </c>
      <c r="H136" s="100">
        <v>5</v>
      </c>
      <c r="I136" s="100" t="s">
        <v>535</v>
      </c>
      <c r="J136" s="100" t="s">
        <v>679</v>
      </c>
      <c r="K136" s="101" t="s">
        <v>314</v>
      </c>
      <c r="L136" s="102" t="s">
        <v>576</v>
      </c>
      <c r="M136" s="102" t="s">
        <v>710</v>
      </c>
    </row>
    <row r="137" spans="2:13" ht="15" customHeight="1">
      <c r="B137" s="100">
        <v>6</v>
      </c>
      <c r="C137" s="100" t="s">
        <v>577</v>
      </c>
      <c r="D137" s="100" t="s">
        <v>236</v>
      </c>
      <c r="E137" s="100">
        <f>INDEX('Product Backlog'!$I$8:$I$48,MATCH(D137,'Product Backlog'!$B$8:$B$48,0))</f>
        <v>2</v>
      </c>
      <c r="F137" s="100">
        <v>5</v>
      </c>
      <c r="G137" s="100">
        <v>7.5</v>
      </c>
      <c r="H137" s="100">
        <v>5</v>
      </c>
      <c r="I137" s="100" t="s">
        <v>549</v>
      </c>
      <c r="J137" s="100" t="s">
        <v>679</v>
      </c>
      <c r="K137" s="101" t="s">
        <v>664</v>
      </c>
      <c r="L137" s="102" t="s">
        <v>578</v>
      </c>
      <c r="M137" s="102" t="s">
        <v>710</v>
      </c>
    </row>
    <row r="138" spans="2:13" ht="15" customHeight="1">
      <c r="B138" s="100">
        <v>6</v>
      </c>
      <c r="C138" s="100" t="s">
        <v>579</v>
      </c>
      <c r="D138" s="100" t="s">
        <v>236</v>
      </c>
      <c r="E138" s="100">
        <f>INDEX('Product Backlog'!$I$8:$I$48,MATCH(D138,'Product Backlog'!$B$8:$B$48,0))</f>
        <v>2</v>
      </c>
      <c r="F138" s="100">
        <v>5</v>
      </c>
      <c r="G138" s="100">
        <v>7.5</v>
      </c>
      <c r="H138" s="100">
        <v>5</v>
      </c>
      <c r="I138" s="100" t="s">
        <v>551</v>
      </c>
      <c r="J138" s="100" t="s">
        <v>679</v>
      </c>
      <c r="K138" s="101" t="s">
        <v>705</v>
      </c>
      <c r="L138" s="102" t="s">
        <v>580</v>
      </c>
      <c r="M138" s="102" t="s">
        <v>710</v>
      </c>
    </row>
    <row r="139" spans="2:13" ht="15" customHeight="1">
      <c r="B139" s="100">
        <v>6</v>
      </c>
      <c r="C139" s="100" t="s">
        <v>581</v>
      </c>
      <c r="D139" s="100" t="s">
        <v>236</v>
      </c>
      <c r="E139" s="100">
        <f>INDEX('Product Backlog'!$I$8:$I$48,MATCH(D139,'Product Backlog'!$B$8:$B$48,0))</f>
        <v>2</v>
      </c>
      <c r="F139" s="100">
        <v>2</v>
      </c>
      <c r="G139" s="100">
        <v>3</v>
      </c>
      <c r="H139" s="100">
        <v>5</v>
      </c>
      <c r="I139" s="100" t="s">
        <v>553</v>
      </c>
      <c r="J139" s="100" t="s">
        <v>679</v>
      </c>
      <c r="K139" s="101" t="s">
        <v>407</v>
      </c>
      <c r="L139" s="102" t="s">
        <v>582</v>
      </c>
      <c r="M139" s="102" t="s">
        <v>710</v>
      </c>
    </row>
    <row r="140" spans="2:13" ht="15" customHeight="1">
      <c r="B140" s="97">
        <v>6</v>
      </c>
      <c r="C140" s="97" t="s">
        <v>583</v>
      </c>
      <c r="D140" s="97" t="s">
        <v>246</v>
      </c>
      <c r="E140" s="97">
        <f>INDEX('Product Backlog'!$I$8:$I$48,MATCH(D140,'Product Backlog'!$B$8:$B$48,0))</f>
        <v>2</v>
      </c>
      <c r="F140" s="97">
        <v>3</v>
      </c>
      <c r="G140" s="97">
        <v>4</v>
      </c>
      <c r="H140" s="97">
        <v>6</v>
      </c>
      <c r="I140" s="97" t="s">
        <v>571</v>
      </c>
      <c r="J140" s="97" t="s">
        <v>653</v>
      </c>
      <c r="K140" s="98" t="s">
        <v>657</v>
      </c>
      <c r="L140" s="99" t="s">
        <v>584</v>
      </c>
      <c r="M140" s="99" t="s">
        <v>711</v>
      </c>
    </row>
    <row r="141" spans="2:13" ht="15" customHeight="1">
      <c r="B141" s="97">
        <v>6</v>
      </c>
      <c r="C141" s="97" t="s">
        <v>585</v>
      </c>
      <c r="D141" s="97" t="s">
        <v>246</v>
      </c>
      <c r="E141" s="97">
        <f>INDEX('Product Backlog'!$I$8:$I$48,MATCH(D141,'Product Backlog'!$B$8:$B$48,0))</f>
        <v>2</v>
      </c>
      <c r="F141" s="97">
        <v>3</v>
      </c>
      <c r="G141" s="97">
        <v>4</v>
      </c>
      <c r="H141" s="97">
        <v>6</v>
      </c>
      <c r="I141" s="97" t="s">
        <v>573</v>
      </c>
      <c r="J141" s="97" t="s">
        <v>653</v>
      </c>
      <c r="K141" s="98" t="s">
        <v>319</v>
      </c>
      <c r="L141" s="99" t="s">
        <v>586</v>
      </c>
      <c r="M141" s="99" t="s">
        <v>711</v>
      </c>
    </row>
    <row r="142" spans="2:13" ht="15" customHeight="1">
      <c r="B142" s="97">
        <v>6</v>
      </c>
      <c r="C142" s="97" t="s">
        <v>587</v>
      </c>
      <c r="D142" s="97" t="s">
        <v>246</v>
      </c>
      <c r="E142" s="97">
        <f>INDEX('Product Backlog'!$I$8:$I$48,MATCH(D142,'Product Backlog'!$B$8:$B$48,0))</f>
        <v>2</v>
      </c>
      <c r="F142" s="97">
        <v>2</v>
      </c>
      <c r="G142" s="97">
        <v>3</v>
      </c>
      <c r="H142" s="97">
        <v>6</v>
      </c>
      <c r="I142" s="97" t="s">
        <v>575</v>
      </c>
      <c r="J142" s="97" t="s">
        <v>653</v>
      </c>
      <c r="K142" s="98" t="s">
        <v>399</v>
      </c>
      <c r="L142" s="99" t="s">
        <v>588</v>
      </c>
      <c r="M142" s="99" t="s">
        <v>711</v>
      </c>
    </row>
    <row r="143" spans="2:13" ht="15" customHeight="1">
      <c r="B143" s="97">
        <v>6</v>
      </c>
      <c r="C143" s="97" t="s">
        <v>589</v>
      </c>
      <c r="D143" s="97" t="s">
        <v>257</v>
      </c>
      <c r="E143" s="97">
        <f>INDEX('Product Backlog'!$I$8:$I$48,MATCH(D143,'Product Backlog'!$B$8:$B$48,0))</f>
        <v>1</v>
      </c>
      <c r="F143" s="97">
        <v>9</v>
      </c>
      <c r="G143" s="97">
        <v>14</v>
      </c>
      <c r="H143" s="97">
        <v>6</v>
      </c>
      <c r="I143" s="97" t="s">
        <v>583</v>
      </c>
      <c r="J143" s="97" t="s">
        <v>653</v>
      </c>
      <c r="K143" s="98" t="s">
        <v>666</v>
      </c>
      <c r="L143" s="99" t="s">
        <v>590</v>
      </c>
      <c r="M143" s="99"/>
    </row>
    <row r="144" spans="2:13" ht="15" customHeight="1">
      <c r="B144" s="97">
        <v>6</v>
      </c>
      <c r="C144" s="97" t="s">
        <v>591</v>
      </c>
      <c r="D144" s="97" t="s">
        <v>257</v>
      </c>
      <c r="E144" s="97">
        <f>INDEX('Product Backlog'!$I$8:$I$48,MATCH(D144,'Product Backlog'!$B$8:$B$48,0))</f>
        <v>1</v>
      </c>
      <c r="F144" s="97">
        <v>7</v>
      </c>
      <c r="G144" s="97">
        <v>10.5</v>
      </c>
      <c r="H144" s="97">
        <v>6</v>
      </c>
      <c r="I144" s="97" t="s">
        <v>585</v>
      </c>
      <c r="J144" s="97" t="s">
        <v>653</v>
      </c>
      <c r="K144" s="98" t="s">
        <v>664</v>
      </c>
      <c r="L144" s="99" t="s">
        <v>592</v>
      </c>
      <c r="M144" s="99"/>
    </row>
    <row r="145" spans="2:13" ht="15" customHeight="1">
      <c r="B145" s="97">
        <v>6</v>
      </c>
      <c r="C145" s="97" t="s">
        <v>593</v>
      </c>
      <c r="D145" s="97" t="s">
        <v>262</v>
      </c>
      <c r="E145" s="97">
        <f>INDEX('Product Backlog'!$I$8:$I$48,MATCH(D145,'Product Backlog'!$B$8:$B$48,0))</f>
        <v>1</v>
      </c>
      <c r="F145" s="97">
        <v>14</v>
      </c>
      <c r="G145" s="97">
        <v>21</v>
      </c>
      <c r="H145" s="97">
        <v>6</v>
      </c>
      <c r="I145" s="97" t="s">
        <v>587</v>
      </c>
      <c r="J145" s="97" t="s">
        <v>653</v>
      </c>
      <c r="K145" s="98" t="s">
        <v>658</v>
      </c>
      <c r="L145" s="99" t="s">
        <v>594</v>
      </c>
      <c r="M145" s="99" t="s">
        <v>712</v>
      </c>
    </row>
    <row r="146" spans="2:13" ht="15" customHeight="1">
      <c r="B146" s="97">
        <v>6</v>
      </c>
      <c r="C146" s="97" t="s">
        <v>595</v>
      </c>
      <c r="D146" s="97" t="s">
        <v>262</v>
      </c>
      <c r="E146" s="97">
        <f>INDEX('Product Backlog'!$I$8:$I$48,MATCH(D146,'Product Backlog'!$B$8:$B$48,0))</f>
        <v>1</v>
      </c>
      <c r="F146" s="97">
        <v>18</v>
      </c>
      <c r="G146" s="97">
        <v>28</v>
      </c>
      <c r="H146" s="97">
        <v>6</v>
      </c>
      <c r="I146" s="97" t="s">
        <v>589</v>
      </c>
      <c r="J146" s="97" t="s">
        <v>653</v>
      </c>
      <c r="K146" s="98" t="s">
        <v>713</v>
      </c>
      <c r="L146" s="99" t="s">
        <v>596</v>
      </c>
      <c r="M146" s="99"/>
    </row>
    <row r="147" spans="2:13" ht="15" customHeight="1">
      <c r="B147" s="97">
        <v>6</v>
      </c>
      <c r="C147" s="97" t="s">
        <v>597</v>
      </c>
      <c r="D147" s="97" t="s">
        <v>262</v>
      </c>
      <c r="E147" s="97">
        <f>INDEX('Product Backlog'!$I$8:$I$48,MATCH(D147,'Product Backlog'!$B$8:$B$48,0))</f>
        <v>1</v>
      </c>
      <c r="F147" s="97">
        <v>9</v>
      </c>
      <c r="G147" s="97">
        <v>14</v>
      </c>
      <c r="H147" s="97">
        <v>6</v>
      </c>
      <c r="I147" s="97" t="s">
        <v>591</v>
      </c>
      <c r="J147" s="97" t="s">
        <v>653</v>
      </c>
      <c r="K147" s="98" t="s">
        <v>714</v>
      </c>
      <c r="L147" s="99" t="s">
        <v>598</v>
      </c>
      <c r="M147" s="99"/>
    </row>
    <row r="148" spans="2:13" ht="15" customHeight="1">
      <c r="B148" s="97">
        <v>6</v>
      </c>
      <c r="C148" s="97" t="s">
        <v>599</v>
      </c>
      <c r="D148" s="97" t="s">
        <v>262</v>
      </c>
      <c r="E148" s="97">
        <f>INDEX('Product Backlog'!$I$8:$I$48,MATCH(D148,'Product Backlog'!$B$8:$B$48,0))</f>
        <v>1</v>
      </c>
      <c r="F148" s="97">
        <v>5</v>
      </c>
      <c r="G148" s="97">
        <v>7</v>
      </c>
      <c r="H148" s="97">
        <v>6</v>
      </c>
      <c r="I148" s="97" t="s">
        <v>593</v>
      </c>
      <c r="J148" s="97" t="s">
        <v>653</v>
      </c>
      <c r="K148" s="98" t="s">
        <v>659</v>
      </c>
      <c r="L148" s="99" t="s">
        <v>600</v>
      </c>
      <c r="M148" s="99"/>
    </row>
    <row r="149" spans="2:13" ht="23.25" customHeight="1">
      <c r="B149" s="100">
        <v>6</v>
      </c>
      <c r="C149" s="100" t="s">
        <v>601</v>
      </c>
      <c r="D149" s="100" t="s">
        <v>86</v>
      </c>
      <c r="E149" s="100">
        <f>INDEX('Product Backlog'!$I$8:$I$48,MATCH(D149,'Product Backlog'!$B$8:$B$48,0))</f>
        <v>1</v>
      </c>
      <c r="F149" s="100">
        <v>3</v>
      </c>
      <c r="G149" s="100" t="s">
        <v>699</v>
      </c>
      <c r="H149" s="100" t="s">
        <v>699</v>
      </c>
      <c r="I149" s="100" t="s">
        <v>699</v>
      </c>
      <c r="J149" s="100" t="s">
        <v>700</v>
      </c>
      <c r="K149" s="101" t="s">
        <v>668</v>
      </c>
      <c r="L149" s="102" t="s">
        <v>602</v>
      </c>
      <c r="M149" s="102" t="s">
        <v>701</v>
      </c>
    </row>
    <row r="150" spans="2:13" ht="23.25" customHeight="1">
      <c r="B150" s="103" t="s">
        <v>699</v>
      </c>
      <c r="C150" s="103" t="s">
        <v>699</v>
      </c>
      <c r="D150" s="103" t="s">
        <v>86</v>
      </c>
      <c r="E150" s="103">
        <f>INDEX('Product Backlog'!$I$8:$I$48,MATCH(D150,'Product Backlog'!$B$8:$B$48,0))</f>
        <v>1</v>
      </c>
      <c r="F150" s="103" t="s">
        <v>699</v>
      </c>
      <c r="G150" s="103">
        <v>10</v>
      </c>
      <c r="H150" s="103">
        <v>1</v>
      </c>
      <c r="I150" s="103" t="s">
        <v>715</v>
      </c>
      <c r="J150" s="103" t="s">
        <v>458</v>
      </c>
      <c r="K150" s="104" t="s">
        <v>399</v>
      </c>
      <c r="L150" s="105" t="s">
        <v>716</v>
      </c>
      <c r="M150" s="105" t="s">
        <v>717</v>
      </c>
    </row>
    <row r="151" spans="2:13" ht="23.25" customHeight="1">
      <c r="B151" s="103" t="s">
        <v>699</v>
      </c>
      <c r="C151" s="103" t="s">
        <v>699</v>
      </c>
      <c r="D151" s="103" t="s">
        <v>86</v>
      </c>
      <c r="E151" s="103">
        <f>INDEX('Product Backlog'!$I$8:$I$48,MATCH(D151,'Product Backlog'!$B$8:$B$48,0))</f>
        <v>1</v>
      </c>
      <c r="F151" s="103" t="s">
        <v>699</v>
      </c>
      <c r="G151" s="103">
        <v>10</v>
      </c>
      <c r="H151" s="103">
        <v>1</v>
      </c>
      <c r="I151" s="103" t="s">
        <v>718</v>
      </c>
      <c r="J151" s="103" t="s">
        <v>458</v>
      </c>
      <c r="K151" s="104" t="s">
        <v>319</v>
      </c>
      <c r="L151" s="105" t="s">
        <v>719</v>
      </c>
      <c r="M151" s="105" t="s">
        <v>717</v>
      </c>
    </row>
    <row r="152" spans="2:13" ht="23.25" customHeight="1">
      <c r="B152" s="103" t="s">
        <v>699</v>
      </c>
      <c r="C152" s="103" t="s">
        <v>699</v>
      </c>
      <c r="D152" s="103" t="s">
        <v>86</v>
      </c>
      <c r="E152" s="103">
        <f>INDEX('Product Backlog'!$I$8:$I$48,MATCH(D152,'Product Backlog'!$B$8:$B$48,0))</f>
        <v>1</v>
      </c>
      <c r="F152" s="103" t="s">
        <v>699</v>
      </c>
      <c r="G152" s="103">
        <v>7</v>
      </c>
      <c r="H152" s="103">
        <v>1</v>
      </c>
      <c r="I152" s="103" t="s">
        <v>720</v>
      </c>
      <c r="J152" s="103" t="s">
        <v>458</v>
      </c>
      <c r="K152" s="104" t="s">
        <v>407</v>
      </c>
      <c r="L152" s="105" t="s">
        <v>721</v>
      </c>
      <c r="M152" s="105" t="s">
        <v>717</v>
      </c>
    </row>
  </sheetData>
  <mergeCells count="4">
    <mergeCell ref="I7:L8"/>
    <mergeCell ref="I9:L10"/>
    <mergeCell ref="I11:L12"/>
    <mergeCell ref="I13:L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Prashanth Krishnamurthy</dc:creator>
  <cp:keywords/>
  <dc:description/>
  <cp:lastModifiedBy/>
  <cp:revision>12</cp:revision>
  <dcterms:created xsi:type="dcterms:W3CDTF">2018-12-26T04:30:06Z</dcterms:created>
  <dcterms:modified xsi:type="dcterms:W3CDTF">2026-10-26T07:47:17Z</dcterms:modified>
  <cp:category/>
  <cp:contentStatus/>
</cp:coreProperties>
</file>