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DrugTime\"/>
    </mc:Choice>
  </mc:AlternateContent>
  <xr:revisionPtr revIDLastSave="69" documentId="13_ncr:1_{6F7E5F8A-36D7-4FAE-8918-A6240A7BD90A}" xr6:coauthVersionLast="47" xr6:coauthVersionMax="47" xr10:uidLastSave="{B3255108-C3DC-4009-A15E-789F19412F57}"/>
  <bookViews>
    <workbookView xWindow="-108" yWindow="-108" windowWidth="23256" windowHeight="12576" tabRatio="500" firstSheet="2" activeTab="4" xr2:uid="{00000000-000D-0000-FFFF-FFFF00000000}"/>
  </bookViews>
  <sheets>
    <sheet name="Main" sheetId="1" r:id="rId1"/>
    <sheet name="Product Backlog" sheetId="2" r:id="rId2"/>
    <sheet name="Sprint 1 Backlog" sheetId="3" r:id="rId3"/>
    <sheet name="Sprint 1 Reports" sheetId="4" r:id="rId4"/>
    <sheet name="Sprint 2 Backlog" sheetId="5" r:id="rId5"/>
    <sheet name="Sprint 2 Reports" sheetId="6" r:id="rId6"/>
    <sheet name="Sprint 3 Backlog" sheetId="7" r:id="rId7"/>
    <sheet name="Sprint 3 Reports" sheetId="8" r:id="rId8"/>
    <sheet name="Sprint 4 Backlog" sheetId="9" r:id="rId9"/>
    <sheet name="Sprint 4 Reports" sheetId="10" r:id="rId10"/>
    <sheet name="Sprint 5 Backlog" sheetId="11" r:id="rId11"/>
    <sheet name="Sprint 5 Reports" sheetId="12" r:id="rId12"/>
    <sheet name="Sprint 6 Backlog" sheetId="13" r:id="rId13"/>
    <sheet name="Sprint 6 Reports" sheetId="14" r:id="rId14"/>
    <sheet name="Impediment" sheetId="15" r:id="rId15"/>
    <sheet name="Retrospective" sheetId="16" r:id="rId16"/>
    <sheet name="References" sheetId="17" r:id="rId1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37" i="13" l="1"/>
  <c r="AA36" i="13"/>
  <c r="AA35" i="13"/>
  <c r="AA34" i="13"/>
  <c r="AA33" i="13"/>
  <c r="AA32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L27" i="13" s="1"/>
  <c r="M27" i="13" s="1"/>
  <c r="N27" i="13" s="1"/>
  <c r="O27" i="13" s="1"/>
  <c r="P27" i="13" s="1"/>
  <c r="Q27" i="13" s="1"/>
  <c r="R27" i="13" s="1"/>
  <c r="S27" i="13" s="1"/>
  <c r="T27" i="13" s="1"/>
  <c r="U27" i="13" s="1"/>
  <c r="V27" i="13" s="1"/>
  <c r="W27" i="13" s="1"/>
  <c r="X27" i="13" s="1"/>
  <c r="Y27" i="13" s="1"/>
  <c r="Z27" i="13" s="1"/>
  <c r="J25" i="13"/>
  <c r="H25" i="13"/>
  <c r="G25" i="13"/>
  <c r="L26" i="13" s="1"/>
  <c r="M26" i="13" s="1"/>
  <c r="N26" i="13" s="1"/>
  <c r="O26" i="13" s="1"/>
  <c r="P26" i="13" s="1"/>
  <c r="Q26" i="13" s="1"/>
  <c r="R26" i="13" s="1"/>
  <c r="S26" i="13" s="1"/>
  <c r="T26" i="13" s="1"/>
  <c r="U26" i="13" s="1"/>
  <c r="V26" i="13" s="1"/>
  <c r="W26" i="13" s="1"/>
  <c r="X26" i="13" s="1"/>
  <c r="Y26" i="13" s="1"/>
  <c r="Z26" i="13" s="1"/>
  <c r="K23" i="13"/>
  <c r="I23" i="13"/>
  <c r="K22" i="13"/>
  <c r="I22" i="13"/>
  <c r="K21" i="13"/>
  <c r="I21" i="13"/>
  <c r="K20" i="13"/>
  <c r="I20" i="13"/>
  <c r="K19" i="13"/>
  <c r="I19" i="13"/>
  <c r="K18" i="13"/>
  <c r="I18" i="13"/>
  <c r="K17" i="13"/>
  <c r="I17" i="13"/>
  <c r="K16" i="13"/>
  <c r="I16" i="13"/>
  <c r="K15" i="13"/>
  <c r="I15" i="13"/>
  <c r="K14" i="13"/>
  <c r="I14" i="13"/>
  <c r="K13" i="13"/>
  <c r="I13" i="13"/>
  <c r="K12" i="13"/>
  <c r="I12" i="13"/>
  <c r="I25" i="13" s="1"/>
  <c r="K11" i="13"/>
  <c r="K25" i="13" s="1"/>
  <c r="I11" i="13"/>
  <c r="K10" i="13"/>
  <c r="I10" i="13"/>
  <c r="K9" i="13"/>
  <c r="I9" i="13"/>
  <c r="K8" i="13"/>
  <c r="I8" i="13"/>
  <c r="AA41" i="11"/>
  <c r="AA40" i="11"/>
  <c r="AA39" i="11"/>
  <c r="AA38" i="11"/>
  <c r="AA37" i="11"/>
  <c r="AA42" i="11" s="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J30" i="11"/>
  <c r="H30" i="11"/>
  <c r="G30" i="1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K28" i="11"/>
  <c r="I28" i="11"/>
  <c r="K27" i="11"/>
  <c r="I27" i="11"/>
  <c r="K26" i="11"/>
  <c r="I26" i="11"/>
  <c r="K25" i="11"/>
  <c r="I25" i="11"/>
  <c r="K24" i="11"/>
  <c r="I24" i="11"/>
  <c r="K23" i="11"/>
  <c r="I23" i="11"/>
  <c r="K22" i="11"/>
  <c r="I22" i="11"/>
  <c r="K21" i="11"/>
  <c r="I21" i="11"/>
  <c r="K20" i="11"/>
  <c r="K30" i="11" s="1"/>
  <c r="I20" i="11"/>
  <c r="I30" i="11" s="1"/>
  <c r="K19" i="11"/>
  <c r="I19" i="11"/>
  <c r="K18" i="11"/>
  <c r="I18" i="11"/>
  <c r="K17" i="11"/>
  <c r="I17" i="11"/>
  <c r="K16" i="11"/>
  <c r="I16" i="11"/>
  <c r="K15" i="11"/>
  <c r="I15" i="11"/>
  <c r="K14" i="11"/>
  <c r="I14" i="11"/>
  <c r="K13" i="11"/>
  <c r="I13" i="11"/>
  <c r="K12" i="11"/>
  <c r="I12" i="11"/>
  <c r="K11" i="11"/>
  <c r="I11" i="11"/>
  <c r="K10" i="11"/>
  <c r="I10" i="11"/>
  <c r="K9" i="11"/>
  <c r="I9" i="11"/>
  <c r="K8" i="11"/>
  <c r="I8" i="11"/>
  <c r="AA41" i="9"/>
  <c r="AA40" i="9"/>
  <c r="AA39" i="9"/>
  <c r="AA38" i="9"/>
  <c r="AA37" i="9"/>
  <c r="AA42" i="9" s="1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L32" i="9" s="1"/>
  <c r="M32" i="9" s="1"/>
  <c r="N32" i="9" s="1"/>
  <c r="O32" i="9" s="1"/>
  <c r="P32" i="9" s="1"/>
  <c r="Q32" i="9" s="1"/>
  <c r="R32" i="9" s="1"/>
  <c r="S32" i="9" s="1"/>
  <c r="T32" i="9" s="1"/>
  <c r="U32" i="9" s="1"/>
  <c r="V32" i="9" s="1"/>
  <c r="W32" i="9" s="1"/>
  <c r="X32" i="9" s="1"/>
  <c r="Y32" i="9" s="1"/>
  <c r="Z32" i="9" s="1"/>
  <c r="J30" i="9"/>
  <c r="K26" i="9" s="1"/>
  <c r="K30" i="9" s="1"/>
  <c r="H30" i="9"/>
  <c r="G30" i="9"/>
  <c r="K28" i="9"/>
  <c r="I28" i="9"/>
  <c r="K27" i="9"/>
  <c r="I27" i="9"/>
  <c r="K25" i="9"/>
  <c r="I25" i="9"/>
  <c r="K24" i="9"/>
  <c r="I24" i="9"/>
  <c r="K23" i="9"/>
  <c r="I23" i="9"/>
  <c r="K22" i="9"/>
  <c r="I22" i="9"/>
  <c r="K21" i="9"/>
  <c r="I21" i="9"/>
  <c r="K20" i="9"/>
  <c r="I20" i="9"/>
  <c r="K19" i="9"/>
  <c r="I19" i="9"/>
  <c r="K18" i="9"/>
  <c r="I18" i="9"/>
  <c r="K17" i="9"/>
  <c r="I17" i="9"/>
  <c r="K16" i="9"/>
  <c r="I16" i="9"/>
  <c r="K15" i="9"/>
  <c r="I15" i="9"/>
  <c r="K14" i="9"/>
  <c r="I14" i="9"/>
  <c r="K13" i="9"/>
  <c r="I13" i="9"/>
  <c r="K12" i="9"/>
  <c r="I12" i="9"/>
  <c r="K11" i="9"/>
  <c r="I11" i="9"/>
  <c r="K10" i="9"/>
  <c r="I10" i="9"/>
  <c r="K9" i="9"/>
  <c r="I9" i="9"/>
  <c r="K8" i="9"/>
  <c r="I8" i="9"/>
  <c r="AA47" i="7"/>
  <c r="AA46" i="7"/>
  <c r="AA45" i="7"/>
  <c r="AA44" i="7"/>
  <c r="AA43" i="7"/>
  <c r="AA48" i="7" s="1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L38" i="7" s="1"/>
  <c r="M38" i="7" s="1"/>
  <c r="N38" i="7" s="1"/>
  <c r="O38" i="7" s="1"/>
  <c r="P38" i="7" s="1"/>
  <c r="Q38" i="7" s="1"/>
  <c r="R38" i="7" s="1"/>
  <c r="S38" i="7" s="1"/>
  <c r="T38" i="7" s="1"/>
  <c r="U38" i="7" s="1"/>
  <c r="V38" i="7" s="1"/>
  <c r="W38" i="7" s="1"/>
  <c r="X38" i="7" s="1"/>
  <c r="Y38" i="7" s="1"/>
  <c r="Z38" i="7" s="1"/>
  <c r="J36" i="7"/>
  <c r="H36" i="7"/>
  <c r="G36" i="7"/>
  <c r="L37" i="7" s="1"/>
  <c r="M37" i="7" s="1"/>
  <c r="N37" i="7" s="1"/>
  <c r="O37" i="7" s="1"/>
  <c r="P37" i="7" s="1"/>
  <c r="Q37" i="7" s="1"/>
  <c r="R37" i="7" s="1"/>
  <c r="S37" i="7" s="1"/>
  <c r="T37" i="7" s="1"/>
  <c r="U37" i="7" s="1"/>
  <c r="V37" i="7" s="1"/>
  <c r="W37" i="7" s="1"/>
  <c r="X37" i="7" s="1"/>
  <c r="Y37" i="7" s="1"/>
  <c r="Z37" i="7" s="1"/>
  <c r="K34" i="7"/>
  <c r="I34" i="7"/>
  <c r="K33" i="7"/>
  <c r="I33" i="7"/>
  <c r="K32" i="7"/>
  <c r="I32" i="7"/>
  <c r="K31" i="7"/>
  <c r="I31" i="7"/>
  <c r="K30" i="7"/>
  <c r="I30" i="7"/>
  <c r="K29" i="7"/>
  <c r="I29" i="7"/>
  <c r="K28" i="7"/>
  <c r="I28" i="7"/>
  <c r="K27" i="7"/>
  <c r="I27" i="7"/>
  <c r="K26" i="7"/>
  <c r="I26" i="7"/>
  <c r="K25" i="7"/>
  <c r="I25" i="7"/>
  <c r="K24" i="7"/>
  <c r="I24" i="7"/>
  <c r="K23" i="7"/>
  <c r="I23" i="7"/>
  <c r="I36" i="7" s="1"/>
  <c r="K22" i="7"/>
  <c r="K36" i="7" s="1"/>
  <c r="I22" i="7"/>
  <c r="K21" i="7"/>
  <c r="I21" i="7"/>
  <c r="K20" i="7"/>
  <c r="I20" i="7"/>
  <c r="K19" i="7"/>
  <c r="I19" i="7"/>
  <c r="K18" i="7"/>
  <c r="I18" i="7"/>
  <c r="K17" i="7"/>
  <c r="I17" i="7"/>
  <c r="K16" i="7"/>
  <c r="I16" i="7"/>
  <c r="K15" i="7"/>
  <c r="I15" i="7"/>
  <c r="K14" i="7"/>
  <c r="I14" i="7"/>
  <c r="K13" i="7"/>
  <c r="I13" i="7"/>
  <c r="K12" i="7"/>
  <c r="I12" i="7"/>
  <c r="K11" i="7"/>
  <c r="I11" i="7"/>
  <c r="K10" i="7"/>
  <c r="I10" i="7"/>
  <c r="K9" i="7"/>
  <c r="I9" i="7"/>
  <c r="K8" i="7"/>
  <c r="I8" i="7"/>
  <c r="AA45" i="5"/>
  <c r="AA44" i="5"/>
  <c r="AA43" i="5"/>
  <c r="AA42" i="5"/>
  <c r="AA41" i="5"/>
  <c r="AA46" i="5" s="1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L36" i="5" s="1"/>
  <c r="M36" i="5" s="1"/>
  <c r="J34" i="5"/>
  <c r="H34" i="5"/>
  <c r="G34" i="5"/>
  <c r="L35" i="5" s="1"/>
  <c r="M35" i="5" s="1"/>
  <c r="K32" i="5"/>
  <c r="I32" i="5"/>
  <c r="K31" i="5"/>
  <c r="I31" i="5"/>
  <c r="K30" i="5"/>
  <c r="I30" i="5"/>
  <c r="K29" i="5"/>
  <c r="I29" i="5"/>
  <c r="K28" i="5"/>
  <c r="I28" i="5"/>
  <c r="K27" i="5"/>
  <c r="I27" i="5"/>
  <c r="K26" i="5"/>
  <c r="I26" i="5"/>
  <c r="K25" i="5"/>
  <c r="I25" i="5"/>
  <c r="K24" i="5"/>
  <c r="I24" i="5"/>
  <c r="K23" i="5"/>
  <c r="I23" i="5"/>
  <c r="K22" i="5"/>
  <c r="I22" i="5"/>
  <c r="K21" i="5"/>
  <c r="I21" i="5"/>
  <c r="K20" i="5"/>
  <c r="I20" i="5"/>
  <c r="K19" i="5"/>
  <c r="I19" i="5"/>
  <c r="K18" i="5"/>
  <c r="I18" i="5"/>
  <c r="K17" i="5"/>
  <c r="I17" i="5"/>
  <c r="K16" i="5"/>
  <c r="I16" i="5"/>
  <c r="K15" i="5"/>
  <c r="I15" i="5"/>
  <c r="K14" i="5"/>
  <c r="I14" i="5"/>
  <c r="K13" i="5"/>
  <c r="I13" i="5"/>
  <c r="K12" i="5"/>
  <c r="I12" i="5"/>
  <c r="K11" i="5"/>
  <c r="I11" i="5"/>
  <c r="K10" i="5"/>
  <c r="I10" i="5"/>
  <c r="K9" i="5"/>
  <c r="I9" i="5"/>
  <c r="K8" i="5"/>
  <c r="I8" i="5"/>
  <c r="AA39" i="3"/>
  <c r="AA38" i="3"/>
  <c r="AA37" i="3"/>
  <c r="AA36" i="3"/>
  <c r="AA35" i="3"/>
  <c r="AA40" i="3" s="1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J28" i="3"/>
  <c r="H28" i="3"/>
  <c r="G28" i="3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K26" i="3"/>
  <c r="I26" i="3"/>
  <c r="K25" i="3"/>
  <c r="I25" i="3"/>
  <c r="K24" i="3"/>
  <c r="I24" i="3"/>
  <c r="K23" i="3"/>
  <c r="I23" i="3"/>
  <c r="K22" i="3"/>
  <c r="I22" i="3"/>
  <c r="K21" i="3"/>
  <c r="I21" i="3"/>
  <c r="K20" i="3"/>
  <c r="I20" i="3"/>
  <c r="K19" i="3"/>
  <c r="I19" i="3"/>
  <c r="K18" i="3"/>
  <c r="I18" i="3"/>
  <c r="K17" i="3"/>
  <c r="I17" i="3"/>
  <c r="K16" i="3"/>
  <c r="I16" i="3"/>
  <c r="K15" i="3"/>
  <c r="I15" i="3"/>
  <c r="K14" i="3"/>
  <c r="I14" i="3"/>
  <c r="K13" i="3"/>
  <c r="I13" i="3"/>
  <c r="K12" i="3"/>
  <c r="I12" i="3"/>
  <c r="K11" i="3"/>
  <c r="I11" i="3"/>
  <c r="K10" i="3"/>
  <c r="I10" i="3"/>
  <c r="K9" i="3"/>
  <c r="I9" i="3"/>
  <c r="K8" i="3"/>
  <c r="I8" i="3"/>
  <c r="K23" i="1"/>
  <c r="J24" i="1" s="1"/>
  <c r="K24" i="1" s="1"/>
  <c r="J25" i="1" s="1"/>
  <c r="K25" i="1" s="1"/>
  <c r="J26" i="1" s="1"/>
  <c r="K26" i="1" s="1"/>
  <c r="J27" i="1" s="1"/>
  <c r="K27" i="1" s="1"/>
  <c r="J28" i="1" s="1"/>
  <c r="K28" i="1" s="1"/>
  <c r="K28" i="3" l="1"/>
  <c r="I28" i="3"/>
  <c r="N35" i="5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I34" i="5"/>
  <c r="N36" i="5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K34" i="5"/>
  <c r="N49" i="2"/>
  <c r="L31" i="9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I26" i="9"/>
  <c r="I3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7" authorId="0" shapeId="0" xr:uid="{00000000-0006-0000-0100-000001000000}">
      <text>
        <r>
          <rPr>
            <sz val="10"/>
            <rFont val="Arial"/>
            <family val="2"/>
          </rPr>
          <t>Fill in when a product backlog item has been assigned to a specific sprint. After a Sprint planning meeting is done.</t>
        </r>
      </text>
    </comment>
    <comment ref="N7" authorId="0" shapeId="0" xr:uid="{00000000-0006-0000-0100-000002000000}">
      <text>
        <r>
          <rPr>
            <sz val="10"/>
            <rFont val="Arial"/>
            <family val="2"/>
          </rPr>
          <t xml:space="preserve">Just rough numbers, 5,10,15,20 etc.
Not 7, 13, 21 etc.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2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4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4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6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6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8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8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A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A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C00-000001000000}">
      <text>
        <r>
          <rPr>
            <sz val="10"/>
            <rFont val="Arial"/>
            <family val="2"/>
          </rPr>
          <t>======
ID#AAAAeu_Dblw
jan samuelsson    (2022-08-23 14:14:25)
1st digit = Sprint number
2nd digit = Task number in this sprint</t>
        </r>
      </text>
    </comment>
    <comment ref="C7" authorId="0" shapeId="0" xr:uid="{00000000-0006-0000-0C00-000002000000}">
      <text>
        <r>
          <rPr>
            <sz val="10"/>
            <rFont val="Arial"/>
            <family val="2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</comments>
</file>

<file path=xl/sharedStrings.xml><?xml version="1.0" encoding="utf-8"?>
<sst xmlns="http://schemas.openxmlformats.org/spreadsheetml/2006/main" count="1288" uniqueCount="534">
  <si>
    <t>Scrum Project</t>
  </si>
  <si>
    <t>Product</t>
  </si>
  <si>
    <t>DrugTime</t>
  </si>
  <si>
    <t>Active versions</t>
  </si>
  <si>
    <t>v1.0</t>
  </si>
  <si>
    <t>Team</t>
  </si>
  <si>
    <t>Product Owner</t>
  </si>
  <si>
    <t>Nguyen Van Nguyen</t>
  </si>
  <si>
    <t>Scrum Master</t>
  </si>
  <si>
    <t>Nguyen Ngoc Phuc</t>
  </si>
  <si>
    <t>Other Stakeholders</t>
  </si>
  <si>
    <t>B.Eng. Nguyen Trong Giap</t>
  </si>
  <si>
    <t>Developers</t>
  </si>
  <si>
    <t>Nguyen Quang Bao</t>
  </si>
  <si>
    <t>Nguyen Tan Duc</t>
  </si>
  <si>
    <t>Dang Ngo Ngoc Viet</t>
  </si>
  <si>
    <t>Projects</t>
  </si>
  <si>
    <t>Sprint Plan</t>
  </si>
  <si>
    <t>Id</t>
  </si>
  <si>
    <t>Description</t>
  </si>
  <si>
    <t>Start</t>
  </si>
  <si>
    <t>End</t>
  </si>
  <si>
    <t>Status</t>
  </si>
  <si>
    <t>Remarks</t>
  </si>
  <si>
    <t>Sprint</t>
  </si>
  <si>
    <t>Work planned (Committed)</t>
  </si>
  <si>
    <t>Work spent (Delivered)</t>
  </si>
  <si>
    <t>DrugTime MVP (Capstone Project 1)</t>
  </si>
  <si>
    <t>In Progress</t>
  </si>
  <si>
    <t>Implementation only</t>
  </si>
  <si>
    <t>1</t>
  </si>
  <si>
    <t>Not started</t>
  </si>
  <si>
    <t>DrugTime - Full Project (Initiation to Capstone Defense)</t>
  </si>
  <si>
    <t>2</t>
  </si>
  <si>
    <t>3</t>
  </si>
  <si>
    <t>4</t>
  </si>
  <si>
    <t>5</t>
  </si>
  <si>
    <t>6</t>
  </si>
  <si>
    <t>Product Backlog</t>
  </si>
  <si>
    <t>Heading</t>
  </si>
  <si>
    <t>As a..</t>
  </si>
  <si>
    <t>I want to ..</t>
  </si>
  <si>
    <t>so that ..</t>
  </si>
  <si>
    <t>Acceptance Criteria</t>
  </si>
  <si>
    <t>Priority</t>
  </si>
  <si>
    <t>Type</t>
  </si>
  <si>
    <t>Project Id</t>
  </si>
  <si>
    <t>Sprint No</t>
  </si>
  <si>
    <t>Estimate
(Hours)</t>
  </si>
  <si>
    <t>Effort (Actual)</t>
  </si>
  <si>
    <t>Owner</t>
  </si>
  <si>
    <t>PB01</t>
  </si>
  <si>
    <t>Register / Login</t>
  </si>
  <si>
    <t>Patient</t>
  </si>
  <si>
    <t>Register and log into my account</t>
  </si>
  <si>
    <t>I can securely access the app</t>
  </si>
  <si>
    <t>- POST /auth/register + /auth/login return 200/401 correctly
- Password hashed, session token issued
- Mobile UI: form validation, error states</t>
  </si>
  <si>
    <t>User Story</t>
  </si>
  <si>
    <t>PB02</t>
  </si>
  <si>
    <t>Purpose-separated consent</t>
  </si>
  <si>
    <t>Complete consent separately for each data-processing purpose</t>
  </si>
  <si>
    <t>My data is only used for what I explicitly agreed to (PDPL 2025)</t>
  </si>
  <si>
    <t>- DB table `consents` stores purpose, granted_at
- UI: one toggle per purpose, no 'Accept All' button
- Backend blocks data action if purpose not consented
- Revoking one purpose does not affect consent already granted for other purposes</t>
  </si>
  <si>
    <t>PB03</t>
  </si>
  <si>
    <t>Manage health profile</t>
  </si>
  <si>
    <t>Create and edit my health profile</t>
  </si>
  <si>
    <t>The system has accurate info to base reminders and warnings on</t>
  </si>
  <si>
    <t>- CRUD /profile endpoint
- Mobile form with validation</t>
  </si>
  <si>
    <t>PB04</t>
  </si>
  <si>
    <t>Manage medication catalog</t>
  </si>
  <si>
    <t>Admin</t>
  </si>
  <si>
    <t>Add, edit, and remove medications in the catalog</t>
  </si>
  <si>
    <t>Patients can match their medications against an accurate list</t>
  </si>
  <si>
    <t>- Admin dashboard CRUD table
- Search/filter by name
- Soft-delete only: entries referenced by existing patient history cannot be hard-deleted (avoid breaking historical records)</t>
  </si>
  <si>
    <t>PB05</t>
  </si>
  <si>
    <t>Manage interaction catalog</t>
  </si>
  <si>
    <t>Add, edit, and remove drug-drug/drug-food interaction records</t>
  </si>
  <si>
    <t>Interaction warnings shown to patients are accurate</t>
  </si>
  <si>
    <t>- Admin dashboard CRUD table
- Linked to medication catalog by ID
- Soft-delete only: entries referenced by existing patient history cannot be hard-deleted (avoid breaking historical records)</t>
  </si>
  <si>
    <t>PB06</t>
  </si>
  <si>
    <t>Synchronize catalog from external sources</t>
  </si>
  <si>
    <t>Trigger a periodic sync job pulling from the Vietnamese Drug Regulatory Data Source</t>
  </si>
  <si>
    <t>The catalog stays current without manual re-entry</t>
  </si>
  <si>
    <t>- RQ scheduled job runs weekly/monthly
- Sync log stored with timestamp + record count</t>
  </si>
  <si>
    <t>Task split: research+build in S1, logging+testing in S2</t>
  </si>
  <si>
    <t>PB07</t>
  </si>
  <si>
    <t>CI/CD pipeline &amp; environment setup</t>
  </si>
  <si>
    <t>Have automated build/test/deploy pipeline</t>
  </si>
  <si>
    <t>Every sprint ships without manual deployment steps</t>
  </si>
  <si>
    <t>- GitHub Actions runs test+lint on PR
- Auto-deploy to Oracle Cloud VM on merge to main</t>
  </si>
  <si>
    <t>Technical Task</t>
  </si>
  <si>
    <t>PB08</t>
  </si>
  <si>
    <t>Database schema design &amp; migrations</t>
  </si>
  <si>
    <t>Have a versioned DB schema</t>
  </si>
  <si>
    <t>All modules share a consistent, evolvable data model</t>
  </si>
  <si>
    <t>- ERD reviewed &amp; approved
- Migration scripts run cleanly on empty DB</t>
  </si>
  <si>
    <t>PB09</t>
  </si>
  <si>
    <t>Patient-Family linking data model</t>
  </si>
  <si>
    <t>Have a many-to-many linking table between patients and family members</t>
  </si>
  <si>
    <t>Sprint 3 features (linking, alerts) have a schema to build on</t>
  </si>
  <si>
    <t>- Table `patient_family_links` with status/consent fields
- Unit tested for many-to-many</t>
  </si>
  <si>
    <t>PB10</t>
  </si>
  <si>
    <t>Add medication (manual input)</t>
  </si>
  <si>
    <t>Add a medication by entering its name, dose, and schedule manually</t>
  </si>
  <si>
    <t>I can start tracking a medication without scanning</t>
  </si>
  <si>
    <t>- POST /medications validates required fields
- Mobile form: name, dose, time, frequency</t>
  </si>
  <si>
    <t>PB11</t>
  </si>
  <si>
    <t>Manage medication schedule</t>
  </si>
  <si>
    <t>Edit the time, dose, and frequency of a medication</t>
  </si>
  <si>
    <t>My schedule stays accurate as prescriptions change</t>
  </si>
  <si>
    <t>- PUT /medications/{id}/schedule
- UI supports edit/delete of a schedule entry</t>
  </si>
  <si>
    <t>PB12</t>
  </si>
  <si>
    <t>Receive reminder</t>
  </si>
  <si>
    <t>Get a local notification at each scheduled dose time</t>
  </si>
  <si>
    <t>I don't forget to take my medication</t>
  </si>
  <si>
    <t>- Local notification fires within 2s of scheduled time (NFR05)
- Works offline (on-device scheduling)
- No reminder sent if the dose was already confirmed before the scheduled time
- Correct handling when multiple medications share the same reminder time (all shown, none dropped)</t>
  </si>
  <si>
    <t>PB13</t>
  </si>
  <si>
    <t>Confirm dose intake</t>
  </si>
  <si>
    <t>Tap a button to confirm I took a dose</t>
  </si>
  <si>
    <t>My adherence is tracked accurately</t>
  </si>
  <si>
    <t>- Button confirmation writes to adherence log
- Confirmed state reflected in reminder UI immediately</t>
  </si>
  <si>
    <t>PB14</t>
  </si>
  <si>
    <t>View adherence history</t>
  </si>
  <si>
    <t>See a log of doses taken/missed by day and by medication</t>
  </si>
  <si>
    <t>I can track my own consistency</t>
  </si>
  <si>
    <t>- GET /adherence returns list grouped by date+medication
- Mobile screen renders calendar/list view</t>
  </si>
  <si>
    <t>PB15</t>
  </si>
  <si>
    <t>Link family member</t>
  </si>
  <si>
    <t>Generate a QR code or referral code to link a family member</t>
  </si>
  <si>
    <t>They can monitor my adherence</t>
  </si>
  <si>
    <t>- POST /links/generate returns QR payload + code
- Code expires after 24h</t>
  </si>
  <si>
    <t>PB16</t>
  </si>
  <si>
    <t>Confirm data-sharing consent on linking</t>
  </si>
  <si>
    <t>Confirm what data is shared when a family member links</t>
  </si>
  <si>
    <t>Sharing stays within the purpose I explicitly agreed to</t>
  </si>
  <si>
    <t>- Linking flow blocked until consent confirmed
- Consent record linked to the specific family member ID</t>
  </si>
  <si>
    <t>PB17</t>
  </si>
  <si>
    <t>Remove linked family member</t>
  </si>
  <si>
    <t>Remove a previously linked family member</t>
  </si>
  <si>
    <t>I can revoke their access at any time</t>
  </si>
  <si>
    <t>- DELETE /links/{id} removes access immediately
- Family member's app reflects the change on next sync</t>
  </si>
  <si>
    <t>PB18</t>
  </si>
  <si>
    <t>Revoke data-sharing permission</t>
  </si>
  <si>
    <t>Revoke data-sharing without fully removing the link</t>
  </si>
  <si>
    <t>I can pause sharing without ending the relationship</t>
  </si>
  <si>
    <t>- PATCH /links/{id}/consent sets shared=false
- Family member's Drug Safety Lookup access blocked immediately</t>
  </si>
  <si>
    <t>PB19</t>
  </si>
  <si>
    <t>Link to patient account</t>
  </si>
  <si>
    <t>Family Member</t>
  </si>
  <si>
    <t>Scan a QR code or enter a referral code to link to a patient</t>
  </si>
  <si>
    <t>I can start monitoring them</t>
  </si>
  <si>
    <t>- POST /links/redeem validates code, creates link
- No cap on number of linked patients</t>
  </si>
  <si>
    <t>PB20</t>
  </si>
  <si>
    <t>Receive missed-dose alert</t>
  </si>
  <si>
    <t>Get a real-time alert when a linked patient misses a dose</t>
  </si>
  <si>
    <t>I can check on them promptly</t>
  </si>
  <si>
    <t>- Push notification within 2s of missed-dose detection
- Alert names the patient explicitly
- No missed-dose alert sent if the patient confirms the dose just before the detection job runs (avoid false alert to Family Member)</t>
  </si>
  <si>
    <t>PB21</t>
  </si>
  <si>
    <t>View basic adherence history of a linked patient</t>
  </si>
  <si>
    <t>I can understand their consistency over time</t>
  </si>
  <si>
    <t>- GET /adherence?patient_id= scoped by active consent
- Blocked if consent revoked</t>
  </si>
  <si>
    <t>PB22</t>
  </si>
  <si>
    <t>Manage multiple linked patients</t>
  </si>
  <si>
    <t>Switch between multiple linked patients in the app</t>
  </si>
  <si>
    <t>I can monitor more than one family member</t>
  </si>
  <si>
    <t>- Patient-switcher UI component
- Data scoped correctly per selected patient (no data leak)</t>
  </si>
  <si>
    <t>PB23</t>
  </si>
  <si>
    <t>Look up medication information</t>
  </si>
  <si>
    <t>Search for and view details of a medication</t>
  </si>
  <si>
    <t>I understand what I'm taking</t>
  </si>
  <si>
    <t>- GET /medications/search?q=
- Result includes dosage form, active ingredient</t>
  </si>
  <si>
    <t>PB24</t>
  </si>
  <si>
    <t>View drug-drug interaction warning</t>
  </si>
  <si>
    <t>See a warning if two of my medications interact</t>
  </si>
  <si>
    <t>I'm alerted to a potential safety risk</t>
  </si>
  <si>
    <t>- Warning screen triggered on medication add if conflict found
- Mandatory disclaimer text always shown (NFR03)
- Interaction-detection logic validated against a standardized drug-drug interaction test-case set (must cover true-positive pairs, true-negative/no-interaction pairs, and known edge cases), not just UI text presence
- Test case set reviewed/approved by mentor before Sprint 4 acceptance
- Multiple simultaneous interactions: all conflicting pairs are listed, not only the first match found
- UI distinguishes 3 result states, each with a distinct, clearly worded message: (1) Interaction found -&gt; warning shown; (2) Not found within checked data -&gt; neutral wording (e.g. 'no known interaction in current database'), never phrased as a guarantee of safety; (3) Insufficient data (e.g. medication/food not in catalog) -&gt; explicit 'cannot verify, please consult a pharmacist' message, not silently treated as 'no interaction'</t>
  </si>
  <si>
    <t>PB25</t>
  </si>
  <si>
    <t>View drug-food interaction warning</t>
  </si>
  <si>
    <t>See a warning if a medication interacts with a food</t>
  </si>
  <si>
    <t>I can avoid risky food combinations</t>
  </si>
  <si>
    <t>- Warning shown in AI meal suggestion + standalone lookup
- Mandatory disclaimer text always shown
- Detection logic validated against the same standardized test-case approach as PB24 (true-positive/true-negative food-drug pairs)
- Multiple conflicting foods in one meal suggestion are all surfaced, not only the first match found
- UI distinguishes 3 result states, each with a distinct, clearly worded message: (1) Interaction found -&gt; warning shown; (2) Not found within checked data -&gt; neutral wording (e.g. 'no known interaction in current database'), never phrased as a guarantee of safety; (3) Insufficient data (e.g. medication/food not in catalog) -&gt; explicit 'cannot verify, please consult a pharmacist' message, not silently treated as 'no interaction'</t>
  </si>
  <si>
    <t>PB26</t>
  </si>
  <si>
    <t>Look up medication info of linked patient</t>
  </si>
  <si>
    <t>Search medication info for a linked patient</t>
  </si>
  <si>
    <t>I can help them understand their treatment</t>
  </si>
  <si>
    <t>- Same as Patient lookup, scoped by consent+patient_id
- Access is re-checked against current consent status on every API call, not cached for the session</t>
  </si>
  <si>
    <t>PB27</t>
  </si>
  <si>
    <t>View drug-drug interaction of linked patient</t>
  </si>
  <si>
    <t>View drug-drug warnings for a linked patient</t>
  </si>
  <si>
    <t>I can help spot safety risks</t>
  </si>
  <si>
    <t>- Reuses Patient interaction logic, scoped by consent
- Access is re-checked against current consent status on every API call, not cached for the session</t>
  </si>
  <si>
    <t>PB28</t>
  </si>
  <si>
    <t>View drug-food interaction of linked patient</t>
  </si>
  <si>
    <t>View drug-food warnings for a linked patient</t>
  </si>
  <si>
    <t>I can help with meal planning for them</t>
  </si>
  <si>
    <t>PB29</t>
  </si>
  <si>
    <t>iOS build/signing pipeline setup</t>
  </si>
  <si>
    <t>Have a working iOS build and TestFlight/Ad Hoc signing pipeline</t>
  </si>
  <si>
    <t>The MVP can ship on both Android and iOS as committed</t>
  </si>
  <si>
    <t>- Mac build produces signed .ipa
- Installable via TestFlight or Ad Hoc</t>
  </si>
  <si>
    <t>PB30</t>
  </si>
  <si>
    <t>Cross-device testing (Android + iOS)</t>
  </si>
  <si>
    <t>Run core flows on real Android and iOS devices</t>
  </si>
  <si>
    <t>We catch platform-specific bugs before later sprints</t>
  </si>
  <si>
    <t>- Test checklist covers onboarding, reminder, confirmation on both OS
- Defects logged in tracker</t>
  </si>
  <si>
    <t>PB31</t>
  </si>
  <si>
    <t>Scan blister pack</t>
  </si>
  <si>
    <t>Scan a medication blister pack with the camera</t>
  </si>
  <si>
    <t>I can add a medication faster than typing it</t>
  </si>
  <si>
    <t>- On-device ML Kit recognition, no image leaves device
- Falls back to manual search if no match (Risk R-01)
- Recognition-confidence threshold defined; below it, auto-fallback to manual search instead of showing a possibly-wrong match</t>
  </si>
  <si>
    <t>PB32</t>
  </si>
  <si>
    <t>Confirm medication</t>
  </si>
  <si>
    <t>Manually verify a scanned or entered medication before saving</t>
  </si>
  <si>
    <t>Incorrect matches don't silently enter my schedule</t>
  </si>
  <si>
    <t>- Confirmation step is mandatory, cannot be skipped
- Shows matched catalog entry for review</t>
  </si>
  <si>
    <t>PB33</t>
  </si>
  <si>
    <t>Switch to Simple Mode UI</t>
  </si>
  <si>
    <t>Switch to a high-contrast, single-button interface</t>
  </si>
  <si>
    <t>I can use the app easily despite low tech literacy</t>
  </si>
  <si>
    <t>- Toggle in settings persists across sessions
- Simple Mode screen shows only next dose + 1 confirm button</t>
  </si>
  <si>
    <t>PB34</t>
  </si>
  <si>
    <t>Withdraw consent / request data deletion</t>
  </si>
  <si>
    <t>Withdraw consent or request my data be deleted</t>
  </si>
  <si>
    <t>I retain control over my personal data (PDPL 2025)</t>
  </si>
  <si>
    <t>- Settings action triggers deletion request record
- Confirmation shown to patient immediately</t>
  </si>
  <si>
    <t>PB35</t>
  </si>
  <si>
    <t>Process data deletion / consent withdrawal requests</t>
  </si>
  <si>
    <t>View and process pending deletion/withdrawal requests</t>
  </si>
  <si>
    <t>Compliance obligations are met within a defined SLA</t>
  </si>
  <si>
    <t>- Admin queue lists pending requests
- Marking 'processed' triggers actual data deletion job</t>
  </si>
  <si>
    <t>PB36</t>
  </si>
  <si>
    <t>View sensitive-data access log</t>
  </si>
  <si>
    <t>View a log of who accessed a patient's sensitive health data</t>
  </si>
  <si>
    <t>The system is auditable under DPIA obligations</t>
  </si>
  <si>
    <t>- Log entry created on every Family Member/Admin data view
- Filterable by patient, date, actor</t>
  </si>
  <si>
    <t>PB37</t>
  </si>
  <si>
    <t>View AI meal suggestion with explanation</t>
  </si>
  <si>
    <t>See a suggested meal based on my current medications, with a brief explanation</t>
  </si>
  <si>
    <t>I can make safer dietary choices</t>
  </si>
  <si>
    <t>- LLM API call returns suggestion + explanation within acceptable latency
- Medical disclaimer always shown (R-07)
- Meal suggestion distinguishes the same 3 states for food-drug conflict checks (found / not found in checked data / insufficient data), never silently defaulting to 'safe'</t>
  </si>
  <si>
    <t>PB39</t>
  </si>
  <si>
    <t>View AI meal suggestion for linked patient</t>
  </si>
  <si>
    <t>View the AI meal suggestion generated for a linked patient</t>
  </si>
  <si>
    <t>I can help plan meals for them</t>
  </si>
  <si>
    <t>- Reuses Patient meal-suggestion endpoint, scoped by consent</t>
  </si>
  <si>
    <t>PB41</t>
  </si>
  <si>
    <t>Conduct DPIA for new sensitive-data flows</t>
  </si>
  <si>
    <t>Complete a Data Protection Impact Assessment before go-live</t>
  </si>
  <si>
    <t>The platform is compliant with the 2025 PDPL before launch</t>
  </si>
  <si>
    <t>- DPIA document completed and reviewed with mentor
- Signed off before Sprint 6 ends</t>
  </si>
  <si>
    <t>Task split: preliminary draft in S1, update+review+signoff in S6</t>
  </si>
  <si>
    <t>PB42</t>
  </si>
  <si>
    <t>Review PDPL 2025 / Decree 356 compliance</t>
  </si>
  <si>
    <t>Review the full platform against PDPL 2025 and Decree 356 requirements</t>
  </si>
  <si>
    <t>No compliance gap remains before final submission</t>
  </si>
  <si>
    <t>- Compliance checklist completed
- Any gap logged and resolved before Final Submission</t>
  </si>
  <si>
    <t>PB43</t>
  </si>
  <si>
    <t>Full-system bug-fixing (Android + iOS)</t>
  </si>
  <si>
    <t>Fix defects found during end-to-end testing</t>
  </si>
  <si>
    <t>The final submission is stable on both platforms</t>
  </si>
  <si>
    <t>- All Sprint 1-5 features retested end-to-end
- Critical/High bugs resolved before Integration phase</t>
  </si>
  <si>
    <t>Total</t>
  </si>
  <si>
    <t>Completed is ALWAYS the estimated (planned) number of hours. You NEVER put in the number of hours you worked.</t>
  </si>
  <si>
    <t>Compare your estimate with the actual number of hours you spent on the task, your effort
- = Spent less time than estimated</t>
  </si>
  <si>
    <t>Only update one time. When task is done. You update with the estimate hours, NOT the hours you actually worked to finish the task.</t>
  </si>
  <si>
    <t>Add Owner when task is set to Ongoing</t>
  </si>
  <si>
    <t>Make new estimate when move from PB to SB</t>
  </si>
  <si>
    <t>Remaining work to be done.</t>
  </si>
  <si>
    <t>Total number of hours you spent on the task.
Your effort</t>
  </si>
  <si>
    <t>Sprint Backlog</t>
  </si>
  <si>
    <t>Update status during sprint</t>
  </si>
  <si>
    <t>Sprint Id</t>
  </si>
  <si>
    <t>Backlog Id</t>
  </si>
  <si>
    <t>Estimate (Hours)</t>
  </si>
  <si>
    <t>Completed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</si>
  <si>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</si>
  <si>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</si>
  <si>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</si>
  <si>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</si>
  <si>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</si>
  <si>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</si>
  <si>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</si>
  <si>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</si>
  <si>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</si>
  <si>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</si>
  <si>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</si>
  <si>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</si>
  <si>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</si>
  <si>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</si>
  <si>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</si>
  <si>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</si>
  <si>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</si>
  <si>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</si>
  <si>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1.01</t>
  </si>
  <si>
    <t>Design ERD (patient, medication, consent, family_link, catalog tables,…)</t>
  </si>
  <si>
    <t>Phuc, Nguyen</t>
  </si>
  <si>
    <t>1.02</t>
  </si>
  <si>
    <t>Write Supabase migration scripts</t>
  </si>
  <si>
    <t>1.03</t>
  </si>
  <si>
    <t>Review &amp; test migrations on clean DB</t>
  </si>
  <si>
    <t>Viet, Bao, Duc</t>
  </si>
  <si>
    <t>1.04</t>
  </si>
  <si>
    <t>Setup GitHub Actions (lint + test on PR)</t>
  </si>
  <si>
    <t>Bao</t>
  </si>
  <si>
    <t>1.05</t>
  </si>
  <si>
    <t>Setup auto-deploy to Oracle Cloud VM</t>
  </si>
  <si>
    <t>Duc</t>
  </si>
  <si>
    <t>1.06</t>
  </si>
  <si>
    <t>Configure Caddy for automatic HTTPS</t>
  </si>
  <si>
    <t>Viet</t>
  </si>
  <si>
    <t>1.07</t>
  </si>
  <si>
    <t>Confirm Mac access + configure free Apple ID in Xcode</t>
  </si>
  <si>
    <t>Duc, Phuc</t>
  </si>
  <si>
    <t>1.08</t>
  </si>
  <si>
    <t>Configure Xcode project + automatic signing</t>
  </si>
  <si>
    <t>1.09</t>
  </si>
  <si>
    <t>Test: build &amp; run app on real device via Xcode (USB/Wi-Fi debugging)</t>
  </si>
  <si>
    <t>1.10</t>
  </si>
  <si>
    <t>Backend: Supabase Auth integration (register/login API)</t>
  </si>
  <si>
    <t>Nguyen, Bao</t>
  </si>
  <si>
    <t>1.11</t>
  </si>
  <si>
    <t>Mobile: Register/Login UI screens</t>
  </si>
  <si>
    <t>Bao, Duc</t>
  </si>
  <si>
    <t>1.12</t>
  </si>
  <si>
    <t>Mobile-Backend integration + error handling</t>
  </si>
  <si>
    <t>1.13</t>
  </si>
  <si>
    <t>Test: unit + widget test</t>
  </si>
  <si>
    <t>1.14</t>
  </si>
  <si>
    <t>Backend: consents table + grant/revoke API per purpose</t>
  </si>
  <si>
    <t>Viet, Phuc</t>
  </si>
  <si>
    <t>1.15</t>
  </si>
  <si>
    <t>Mobile: consent UI (per-purpose toggles, no 'Accept All')</t>
  </si>
  <si>
    <t>1.16</t>
  </si>
  <si>
    <t>Test: consent flow end-to-end</t>
  </si>
  <si>
    <t>1.17</t>
  </si>
  <si>
    <t>Research/parse Vietnamese Drug Regulatory Data Source structure</t>
  </si>
  <si>
    <t>All team member</t>
  </si>
  <si>
    <t>1.18</t>
  </si>
  <si>
    <t>Build RQ scheduled sync job</t>
  </si>
  <si>
    <t>1.19</t>
  </si>
  <si>
    <t>Draft preliminary DPIA (based on planned sensitive-data flows)</t>
  </si>
  <si>
    <t>Burn down</t>
  </si>
  <si>
    <t>Burn up</t>
  </si>
  <si>
    <t>Worked hours/Day</t>
  </si>
  <si>
    <t>Total hours</t>
  </si>
  <si>
    <t>Dang Ngoc Ngoc Viet</t>
  </si>
  <si>
    <t>Above you can update actual worked hours every day for each team member to get a total number of hours in the sprint</t>
  </si>
  <si>
    <t>Reports &amp; Dashboards</t>
  </si>
  <si>
    <t>Burn down Chart</t>
  </si>
  <si>
    <t>Burn up Chart</t>
  </si>
  <si>
    <t>Backend: Add medication API + validation</t>
  </si>
  <si>
    <t>Nguyen, Viet</t>
  </si>
  <si>
    <t>Mobile: Add medication form UI</t>
  </si>
  <si>
    <t>Test: unit + widget test (add medication)</t>
  </si>
  <si>
    <t>Backend: medication schedule CRUD API</t>
  </si>
  <si>
    <t>Nguyen, Phuc</t>
  </si>
  <si>
    <t>Mobile: schedule edit UI</t>
  </si>
  <si>
    <t>Test: schedule CRUD</t>
  </si>
  <si>
    <t>Duc, Viet</t>
  </si>
  <si>
    <t>Mobile: local notification scheduling (flutter_local_notifications)</t>
  </si>
  <si>
    <t>Mobile: notification edge cases (timezone, multi-dose/day)</t>
  </si>
  <si>
    <t>Bao, Phuc</t>
  </si>
  <si>
    <t>Test: verify reminder fires within 2s (NFR05)</t>
  </si>
  <si>
    <t>2.10</t>
  </si>
  <si>
    <t>Backend: dose confirmation API + adherence log write</t>
  </si>
  <si>
    <t>Mobile: confirm button UI + state update</t>
  </si>
  <si>
    <t>Test: confirm dose flow end-to-end</t>
  </si>
  <si>
    <t>Duc, Nguyen</t>
  </si>
  <si>
    <t>2.13</t>
  </si>
  <si>
    <t>Backend: health profile CRUD API</t>
  </si>
  <si>
    <t>Nguyen</t>
  </si>
  <si>
    <t>2.14</t>
  </si>
  <si>
    <t>Mobile: profile form UI</t>
  </si>
  <si>
    <t>2.15</t>
  </si>
  <si>
    <t>Test: profile CRUD</t>
  </si>
  <si>
    <t>2.16</t>
  </si>
  <si>
    <t>Backend: medication catalog CRUD API</t>
  </si>
  <si>
    <t>Phuc, Nguyen, Viet</t>
  </si>
  <si>
    <t>2.17</t>
  </si>
  <si>
    <t>Admin dashboard: catalog table UI (React/Next.js)</t>
  </si>
  <si>
    <t>2.18</t>
  </si>
  <si>
    <t>Test: catalog CRUD</t>
  </si>
  <si>
    <t>Phuc, Duc</t>
  </si>
  <si>
    <t>2.19</t>
  </si>
  <si>
    <t>Backend: interaction catalog CRUD API</t>
  </si>
  <si>
    <t>2.20</t>
  </si>
  <si>
    <t>Admin dashboard: interaction catalog UI</t>
  </si>
  <si>
    <t>2.21</t>
  </si>
  <si>
    <t>Test: interaction catalog CRUD</t>
  </si>
  <si>
    <t>2.22</t>
  </si>
  <si>
    <t>Backend: design &amp; build patient_family_links table</t>
  </si>
  <si>
    <t>2.23</t>
  </si>
  <si>
    <t>Backend: unit test many-to-many linking logic</t>
  </si>
  <si>
    <t>2.24</t>
  </si>
  <si>
    <t>Sync logging + error handling</t>
  </si>
  <si>
    <t>2.25</t>
  </si>
  <si>
    <t>Test sync job end-to-end</t>
  </si>
  <si>
    <t>Backend: GET /adherence (group by date/medication)</t>
  </si>
  <si>
    <t>Phuc, Viet</t>
  </si>
  <si>
    <t>Mobile: adherence calendar/list UI</t>
  </si>
  <si>
    <t>Test: adherence history</t>
  </si>
  <si>
    <t>Backend: QR/referral code generation API</t>
  </si>
  <si>
    <t>Mobile: generate &amp; display QR/code UI</t>
  </si>
  <si>
    <t>Test: code generation + 24h expiry</t>
  </si>
  <si>
    <t>Backend: block linking until consent confirmed</t>
  </si>
  <si>
    <t>Mobile: consent confirmation screen during linking</t>
  </si>
  <si>
    <t>Bao, Nguyen</t>
  </si>
  <si>
    <t>Test: consent-on-link flow</t>
  </si>
  <si>
    <t>3.10</t>
  </si>
  <si>
    <t>Backend: DELETE /links/{id} API</t>
  </si>
  <si>
    <t>Mobile: remove-link UI + confirm dialog</t>
  </si>
  <si>
    <t>Backend: PATCH /links/{id}/consent (shared=false)</t>
  </si>
  <si>
    <t>Mobile: toggle data-sharing UI</t>
  </si>
  <si>
    <t>Backend: POST /links/redeem (validate + create link)</t>
  </si>
  <si>
    <t>Mobile: scan QR / enter code UI (Family Member)</t>
  </si>
  <si>
    <t>Test: redeem flow</t>
  </si>
  <si>
    <t>Backend: missed-dose detection scheduled job</t>
  </si>
  <si>
    <t>Backend: alert dispatch logic to Family Member</t>
  </si>
  <si>
    <t>Mobile: Family Member alert handling UI</t>
  </si>
  <si>
    <t>3.20</t>
  </si>
  <si>
    <t>Test: alert fires &lt;2s, names patient explicitly</t>
  </si>
  <si>
    <t>Backend: GET /adherence?patient_id= scoped by consent</t>
  </si>
  <si>
    <t>Mobile: Family Member adherence view UI</t>
  </si>
  <si>
    <t>Test: adherence history (Family Member)</t>
  </si>
  <si>
    <t>Backend: list linked patients API</t>
  </si>
  <si>
    <t>Phuc</t>
  </si>
  <si>
    <t>Mobile: patient-switcher UI component</t>
  </si>
  <si>
    <t>Mobile: scope data correctly per selected patient</t>
  </si>
  <si>
    <t>Test: verify no cross-patient data leak</t>
  </si>
  <si>
    <t>Backend: GET /medications/search API</t>
  </si>
  <si>
    <t>Mobile: medication lookup search UI</t>
  </si>
  <si>
    <t>Test: medication lookup</t>
  </si>
  <si>
    <t>Backend: drug-drug interaction-check logic</t>
  </si>
  <si>
    <t>Mobile: warning screen UI + mandatory disclaimer</t>
  </si>
  <si>
    <t>Test: validate interaction-detection algorithm against standardized test-case set (true/false positives) + verify disclaimer always shown</t>
  </si>
  <si>
    <t>Backend: drug-food interaction lookup logic</t>
  </si>
  <si>
    <t>Mobile: food-warning screen UI (reuse)</t>
  </si>
  <si>
    <t>Test: drug-food warning</t>
  </si>
  <si>
    <t>4.10</t>
  </si>
  <si>
    <t>Backend: scope lookup API by consent+patient_id</t>
  </si>
  <si>
    <t>Mobile: Family Member lookup UI</t>
  </si>
  <si>
    <t>Test: FM lookup scoping</t>
  </si>
  <si>
    <t>Backend: scope drug-drug interaction-check by consent</t>
  </si>
  <si>
    <t>Mobile: FM interaction warning UI (reuse)</t>
  </si>
  <si>
    <t>Test: FM interaction warning</t>
  </si>
  <si>
    <t>Backend: scope drug-food interaction by consent</t>
  </si>
  <si>
    <t>Mobile: FM food-warning UI (reuse)</t>
  </si>
  <si>
    <t>Bao, Viet</t>
  </si>
  <si>
    <t>Test: FM food-warning</t>
  </si>
  <si>
    <t>4.19</t>
  </si>
  <si>
    <t>Cross-device test checklist: onboarding/reminder/confirm (Android)</t>
  </si>
  <si>
    <t>4.20</t>
  </si>
  <si>
    <t>Cross-device test checklist: same flows (iOS)</t>
  </si>
  <si>
    <t>Nguyen, Duc</t>
  </si>
  <si>
    <t>4.21</t>
  </si>
  <si>
    <t>Log &amp; triage defects found</t>
  </si>
  <si>
    <t>Phuc, Bao</t>
  </si>
  <si>
    <t>Research/evaluate ML Kit text recognition on VN packaging samples</t>
  </si>
  <si>
    <t>Integrate on-device OCR into mobile app</t>
  </si>
  <si>
    <t>Build matching algorithm (OCR text to catalog entry)</t>
  </si>
  <si>
    <t>Build manual-search fallback UI when no match found</t>
  </si>
  <si>
    <t>Log unmatched items for Admin catalog review</t>
  </si>
  <si>
    <t>Test: OCR accuracy across multiple packaging samples</t>
  </si>
  <si>
    <t>Mobile: confirmation step showing matched catalog entry</t>
  </si>
  <si>
    <t>Test: confirmation step cannot be skipped</t>
  </si>
  <si>
    <t>Mobile: Simple Mode toggle (persists across sessions)</t>
  </si>
  <si>
    <t>5.10</t>
  </si>
  <si>
    <t>Mobile: simplified screen (next dose + single confirm button)</t>
  </si>
  <si>
    <t>Mobile: high-contrast theme + font scaling</t>
  </si>
  <si>
    <t>Test: Simple Mode UX flow</t>
  </si>
  <si>
    <t>Backend: deletion-request record creation API</t>
  </si>
  <si>
    <t>Mobile: settings action for withdraw consent / delete data</t>
  </si>
  <si>
    <t>Test: confirmation shown immediately to patient</t>
  </si>
  <si>
    <t>Backend: Admin queue API for pending requests</t>
  </si>
  <si>
    <t>Admin dashboard: request queue UI</t>
  </si>
  <si>
    <t>Backend: trigger actual data-deletion job on 'processed'</t>
  </si>
  <si>
    <t>Backend: log entry on every FM/Admin sensitive-data view</t>
  </si>
  <si>
    <t>5.20</t>
  </si>
  <si>
    <t>Admin dashboard: access log viewer UI (filterable)</t>
  </si>
  <si>
    <t>Test: log entries created correctly</t>
  </si>
  <si>
    <t>Backend: LLM API integration (meal-suggestion prompt + parsing)</t>
  </si>
  <si>
    <t>Backend: mandatory disclaimer injection logic</t>
  </si>
  <si>
    <t>Mobile: meal suggestion UI</t>
  </si>
  <si>
    <t>Test: disclaimer always shown, latency acceptable</t>
  </si>
  <si>
    <t>Backend: scope meal-suggestion by consent+patient_id</t>
  </si>
  <si>
    <t>Mobile: Family Member meal suggestion UI (reuse)</t>
  </si>
  <si>
    <t>Test: FM meal suggestion scoping</t>
  </si>
  <si>
    <t>Update DPIA with final implemented data flows (AI API + OCR + cross-border assessment), based on S1 preliminary draft</t>
  </si>
  <si>
    <t>Review DPIA with mentor</t>
  </si>
  <si>
    <t>6.10</t>
  </si>
  <si>
    <t>Finalize and sign off DPIA</t>
  </si>
  <si>
    <t>6.11</t>
  </si>
  <si>
    <t>Compliance checklist review (all sensitive-data flows)</t>
  </si>
  <si>
    <t>6.12</t>
  </si>
  <si>
    <t>Log and resolve any compliance gap found</t>
  </si>
  <si>
    <t>6.13</t>
  </si>
  <si>
    <t>Retest all Sprint 1-5 features end-to-end</t>
  </si>
  <si>
    <t>6.14</t>
  </si>
  <si>
    <t>Fix Critical/High severity bugs</t>
  </si>
  <si>
    <t>Bao, Duc, Viet</t>
  </si>
  <si>
    <t>6.15</t>
  </si>
  <si>
    <t>Fix Medium/Low severity bugs (time permitting)</t>
  </si>
  <si>
    <t>Duc, Bao</t>
  </si>
  <si>
    <t>6.16</t>
  </si>
  <si>
    <t>Final regression test before Integration phase</t>
  </si>
  <si>
    <t>Team member 1</t>
  </si>
  <si>
    <t>Team member 2</t>
  </si>
  <si>
    <t>Team member 3</t>
  </si>
  <si>
    <t>Team member 4</t>
  </si>
  <si>
    <t>Team member 5</t>
  </si>
  <si>
    <t>Impediments</t>
  </si>
  <si>
    <t>In charge of removing the impediment</t>
  </si>
  <si>
    <t>Not started
Ongoing
Done</t>
  </si>
  <si>
    <t>Date</t>
  </si>
  <si>
    <t>Raised By</t>
  </si>
  <si>
    <t>Raised On</t>
  </si>
  <si>
    <t>Sprint #</t>
  </si>
  <si>
    <t>Impacted Backlog #</t>
  </si>
  <si>
    <t>Resolution</t>
  </si>
  <si>
    <t>Resolved On</t>
  </si>
  <si>
    <t>In the retrospecitve meeting after each sprint you will identify/find  many things to improve. That does not mean that you will do all the changes in the next sprint. Usually you do changes step by step. E.g. 1-3 changes in one sprint. Not more than that. So sometimes you find an improvement in one sprint and then in a much later sprint you will actually do the change.</t>
  </si>
  <si>
    <t>Retrospective Log</t>
  </si>
  <si>
    <t>Found in Sprint #</t>
  </si>
  <si>
    <t>Impl. In Sprint #</t>
  </si>
  <si>
    <t>Responsible for doing the improvement</t>
  </si>
  <si>
    <t>Start Doing (Improvement)</t>
  </si>
  <si>
    <t>Continue Doing (What Went Well)</t>
  </si>
  <si>
    <t>Stop Doing (Even better if)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</si>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</sst>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/mmm/yy;@"/>
  </numFmts>
  <fonts count="20">
    <font>
      <sz val="10"/>
      <color theme="1"/>
      <name val="Calibri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4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i/>
      <sz val="10"/>
      <color theme="1"/>
      <name val="Times New Roman"/>
      <family val="1"/>
      <charset val="1"/>
    </font>
    <font>
      <b/>
      <sz val="16"/>
      <color theme="1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theme="1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0"/>
      <name val="Arial"/>
      <family val="2"/>
    </font>
    <font>
      <sz val="8"/>
      <color theme="1"/>
      <name val="Times New Roman"/>
      <family val="1"/>
      <charset val="1"/>
    </font>
    <font>
      <b/>
      <sz val="16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0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4" tint="0.79989013336588644"/>
        <bgColor rgb="FFD6DCE4"/>
      </patternFill>
    </fill>
    <fill>
      <patternFill patternType="solid">
        <fgColor theme="9" tint="0.59987182226020086"/>
        <bgColor rgb="FFC5E0B3"/>
      </patternFill>
    </fill>
    <fill>
      <patternFill patternType="solid">
        <fgColor theme="7" tint="0.59987182226020086"/>
        <bgColor rgb="FFFFD965"/>
      </patternFill>
    </fill>
    <fill>
      <patternFill patternType="solid">
        <fgColor rgb="FF9CC2E5"/>
        <bgColor rgb="FF8EAADB"/>
      </patternFill>
    </fill>
    <fill>
      <patternFill patternType="solid">
        <fgColor rgb="FFC8C8C8"/>
        <bgColor rgb="FFBFBFBF"/>
      </patternFill>
    </fill>
    <fill>
      <patternFill patternType="solid">
        <fgColor rgb="FFC5E0B3"/>
        <bgColor rgb="FFC5E0B4"/>
      </patternFill>
    </fill>
    <fill>
      <patternFill patternType="solid">
        <fgColor rgb="FFD6DCE4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BFBFBF"/>
        <bgColor rgb="FFB7B7B7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2" fillId="0" borderId="2" xfId="0" applyFont="1" applyBorder="1"/>
    <xf numFmtId="0" fontId="5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vertical="top"/>
    </xf>
    <xf numFmtId="0" fontId="1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7" fillId="0" borderId="0" xfId="0" applyFont="1"/>
    <xf numFmtId="0" fontId="1" fillId="0" borderId="0" xfId="0" applyFont="1"/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8" fillId="0" borderId="0" xfId="0" applyFont="1"/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8" borderId="1" xfId="0" applyFont="1" applyFill="1" applyBorder="1"/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5" fillId="9" borderId="1" xfId="0" applyFont="1" applyFill="1" applyBorder="1" applyAlignment="1">
      <alignment horizontal="right"/>
    </xf>
    <xf numFmtId="0" fontId="2" fillId="0" borderId="6" xfId="0" applyFont="1" applyBorder="1"/>
    <xf numFmtId="0" fontId="5" fillId="0" borderId="1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/>
    <xf numFmtId="0" fontId="2" fillId="8" borderId="8" xfId="0" applyFont="1" applyFill="1" applyBorder="1" applyAlignment="1">
      <alignment horizontal="center" wrapText="1"/>
    </xf>
    <xf numFmtId="0" fontId="2" fillId="8" borderId="10" xfId="0" applyFont="1" applyFill="1" applyBorder="1" applyAlignment="1">
      <alignment horizontal="center" wrapText="1"/>
    </xf>
    <xf numFmtId="0" fontId="5" fillId="0" borderId="0" xfId="0" applyFont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15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7" fillId="0" borderId="0" xfId="0" applyFont="1"/>
    <xf numFmtId="0" fontId="18" fillId="0" borderId="0" xfId="0" applyFont="1"/>
    <xf numFmtId="0" fontId="1" fillId="11" borderId="1" xfId="0" applyFont="1" applyFill="1" applyBorder="1"/>
    <xf numFmtId="0" fontId="1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9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2" fillId="9" borderId="1" xfId="0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2" fillId="8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0" xfId="0" applyFont="1" applyAlignment="1"/>
    <xf numFmtId="0" fontId="0" fillId="0" borderId="0" xfId="0" applyAlignment="1"/>
    <xf numFmtId="0" fontId="2" fillId="0" borderId="11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8EAADB"/>
      <rgbColor rgb="FF993366"/>
      <rgbColor rgb="FFF2F2F2"/>
      <rgbColor rgb="FFDAE3F3"/>
      <rgbColor rgb="FF660066"/>
      <rgbColor rgb="FFFF8080"/>
      <rgbColor rgb="FF0563C1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E699"/>
      <rgbColor rgb="FF9CC2E5"/>
      <rgbColor rgb="FFC8C8C8"/>
      <rgbColor rgb="FFB7B7B7"/>
      <rgbColor rgb="FFFFD965"/>
      <rgbColor rgb="FF4472C4"/>
      <rgbColor rgb="FF33CCCC"/>
      <rgbColor rgb="FFC5E0B3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75759454432704E-2"/>
          <c:y val="0.12952525471493601"/>
          <c:w val="0.90762554246745197"/>
          <c:h val="0.74257533058747005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Backlog'!$L$29:$Z$29</c:f>
              <c:numCache>
                <c:formatCode>General</c:formatCode>
                <c:ptCount val="15"/>
                <c:pt idx="0">
                  <c:v>196</c:v>
                </c:pt>
                <c:pt idx="1">
                  <c:v>196</c:v>
                </c:pt>
                <c:pt idx="2">
                  <c:v>196</c:v>
                </c:pt>
                <c:pt idx="3">
                  <c:v>196</c:v>
                </c:pt>
                <c:pt idx="4">
                  <c:v>196</c:v>
                </c:pt>
                <c:pt idx="5">
                  <c:v>196</c:v>
                </c:pt>
                <c:pt idx="6">
                  <c:v>196</c:v>
                </c:pt>
                <c:pt idx="7">
                  <c:v>196</c:v>
                </c:pt>
                <c:pt idx="8">
                  <c:v>196</c:v>
                </c:pt>
                <c:pt idx="9">
                  <c:v>196</c:v>
                </c:pt>
                <c:pt idx="10">
                  <c:v>196</c:v>
                </c:pt>
                <c:pt idx="11">
                  <c:v>196</c:v>
                </c:pt>
                <c:pt idx="12">
                  <c:v>196</c:v>
                </c:pt>
                <c:pt idx="13">
                  <c:v>196</c:v>
                </c:pt>
                <c:pt idx="14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5-464B-B93C-F72EEDBF0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002160"/>
        <c:axId val="48479278"/>
      </c:lineChart>
      <c:catAx>
        <c:axId val="90002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8479278"/>
        <c:crosses val="autoZero"/>
        <c:auto val="1"/>
        <c:lblAlgn val="ctr"/>
        <c:lblOffset val="100"/>
        <c:noMultiLvlLbl val="0"/>
      </c:catAx>
      <c:valAx>
        <c:axId val="4847927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00021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1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1 Backlog'!$L$30:$Z$30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C-427F-97E0-F576DC03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596764"/>
        <c:axId val="21428742"/>
      </c:lineChart>
      <c:catAx>
        <c:axId val="16596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428742"/>
        <c:crosses val="autoZero"/>
        <c:auto val="1"/>
        <c:lblAlgn val="ctr"/>
        <c:lblOffset val="100"/>
        <c:noMultiLvlLbl val="0"/>
      </c:catAx>
      <c:valAx>
        <c:axId val="2142874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6596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layout>
        <c:manualLayout>
          <c:xMode val="edge"/>
          <c:yMode val="edge"/>
          <c:x val="0.41290380960999001"/>
          <c:y val="2.763928029481900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72337345036695E-2"/>
          <c:y val="0.12952525471493601"/>
          <c:w val="0.907972129219075"/>
          <c:h val="0.74257533058747005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2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2 Backlog'!$L$35:$Z$35</c:f>
              <c:numCache>
                <c:formatCode>General</c:formatCode>
                <c:ptCount val="15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B-43A1-BBED-B0BAF010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795126"/>
        <c:axId val="73484489"/>
      </c:lineChart>
      <c:catAx>
        <c:axId val="90795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3484489"/>
        <c:crosses val="autoZero"/>
        <c:auto val="1"/>
        <c:lblAlgn val="ctr"/>
        <c:lblOffset val="100"/>
        <c:noMultiLvlLbl val="0"/>
      </c:catAx>
      <c:valAx>
        <c:axId val="7348448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0795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2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2 Backlog'!$L$36:$Z$36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B-4EA5-B375-B43767BA6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019501"/>
        <c:axId val="13284889"/>
      </c:lineChart>
      <c:catAx>
        <c:axId val="89019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3284889"/>
        <c:crosses val="autoZero"/>
        <c:auto val="1"/>
        <c:lblAlgn val="ctr"/>
        <c:lblOffset val="100"/>
        <c:noMultiLvlLbl val="0"/>
      </c:catAx>
      <c:valAx>
        <c:axId val="1328488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90195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75759454432704E-2"/>
          <c:y val="0.12952525471493601"/>
          <c:w val="0.90762554246745197"/>
          <c:h val="0.74257533058747005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3 Backlog'!$L$37:$Z$37</c:f>
              <c:numCache>
                <c:formatCode>General</c:formatCode>
                <c:ptCount val="15"/>
                <c:pt idx="0">
                  <c:v>179.5</c:v>
                </c:pt>
                <c:pt idx="1">
                  <c:v>179.5</c:v>
                </c:pt>
                <c:pt idx="2">
                  <c:v>179.5</c:v>
                </c:pt>
                <c:pt idx="3">
                  <c:v>179.5</c:v>
                </c:pt>
                <c:pt idx="4">
                  <c:v>179.5</c:v>
                </c:pt>
                <c:pt idx="5">
                  <c:v>179.5</c:v>
                </c:pt>
                <c:pt idx="6">
                  <c:v>179.5</c:v>
                </c:pt>
                <c:pt idx="7">
                  <c:v>179.5</c:v>
                </c:pt>
                <c:pt idx="8">
                  <c:v>179.5</c:v>
                </c:pt>
                <c:pt idx="9">
                  <c:v>179.5</c:v>
                </c:pt>
                <c:pt idx="10">
                  <c:v>179.5</c:v>
                </c:pt>
                <c:pt idx="11">
                  <c:v>179.5</c:v>
                </c:pt>
                <c:pt idx="12">
                  <c:v>179.5</c:v>
                </c:pt>
                <c:pt idx="13">
                  <c:v>179.5</c:v>
                </c:pt>
                <c:pt idx="14">
                  <c:v>179.5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0-413B-9C29-45735D226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173810"/>
        <c:axId val="24587344"/>
      </c:lineChart>
      <c:catAx>
        <c:axId val="76173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4587344"/>
        <c:crosses val="autoZero"/>
        <c:auto val="1"/>
        <c:lblAlgn val="ctr"/>
        <c:lblOffset val="100"/>
        <c:noMultiLvlLbl val="0"/>
      </c:catAx>
      <c:valAx>
        <c:axId val="2458734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6173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3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3 Backlog'!$L$38:$Z$38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8-42D5-85B4-DB61C23F3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053453"/>
        <c:axId val="60941214"/>
      </c:lineChart>
      <c:catAx>
        <c:axId val="36053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0941214"/>
        <c:crosses val="autoZero"/>
        <c:auto val="1"/>
        <c:lblAlgn val="ctr"/>
        <c:lblOffset val="100"/>
        <c:noMultiLvlLbl val="0"/>
      </c:catAx>
      <c:valAx>
        <c:axId val="6094121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6053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75759454432704E-2"/>
          <c:y val="0.12952525471493601"/>
          <c:w val="0.90762554246745197"/>
          <c:h val="0.74257533058747005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4 Backlog'!$L$31:$Z$31</c:f>
              <c:numCache>
                <c:formatCode>General</c:formatCode>
                <c:ptCount val="15"/>
                <c:pt idx="0">
                  <c:v>150.5</c:v>
                </c:pt>
                <c:pt idx="1">
                  <c:v>150.5</c:v>
                </c:pt>
                <c:pt idx="2">
                  <c:v>150.5</c:v>
                </c:pt>
                <c:pt idx="3">
                  <c:v>150.5</c:v>
                </c:pt>
                <c:pt idx="4">
                  <c:v>150.5</c:v>
                </c:pt>
                <c:pt idx="5">
                  <c:v>150.5</c:v>
                </c:pt>
                <c:pt idx="6">
                  <c:v>150.5</c:v>
                </c:pt>
                <c:pt idx="7">
                  <c:v>150.5</c:v>
                </c:pt>
                <c:pt idx="8">
                  <c:v>150.5</c:v>
                </c:pt>
                <c:pt idx="9">
                  <c:v>150.5</c:v>
                </c:pt>
                <c:pt idx="10">
                  <c:v>150.5</c:v>
                </c:pt>
                <c:pt idx="11">
                  <c:v>150.5</c:v>
                </c:pt>
                <c:pt idx="12">
                  <c:v>150.5</c:v>
                </c:pt>
                <c:pt idx="13">
                  <c:v>150.5</c:v>
                </c:pt>
                <c:pt idx="14">
                  <c:v>150.5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6-4C72-9B49-C3F6B8FA4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66904"/>
        <c:axId val="11253348"/>
      </c:lineChart>
      <c:catAx>
        <c:axId val="5266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1253348"/>
        <c:crosses val="autoZero"/>
        <c:auto val="1"/>
        <c:lblAlgn val="ctr"/>
        <c:lblOffset val="100"/>
        <c:noMultiLvlLbl val="0"/>
      </c:catAx>
      <c:valAx>
        <c:axId val="1125334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266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4 Backlog'!$L$32:$Z$32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581-BD16-1E7CF2D60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439197"/>
        <c:axId val="50914650"/>
      </c:lineChart>
      <c:catAx>
        <c:axId val="97439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0914650"/>
        <c:crosses val="autoZero"/>
        <c:auto val="1"/>
        <c:lblAlgn val="ctr"/>
        <c:lblOffset val="100"/>
        <c:noMultiLvlLbl val="0"/>
      </c:catAx>
      <c:valAx>
        <c:axId val="5091465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74391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75759454432704E-2"/>
          <c:y val="0.12952525471493601"/>
          <c:w val="0.90762554246745197"/>
          <c:h val="0.74257533058747005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5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5 Backlog'!$L$31:$Z$31</c:f>
              <c:numCache>
                <c:formatCode>General</c:formatCode>
                <c:ptCount val="15"/>
                <c:pt idx="0">
                  <c:v>186.5</c:v>
                </c:pt>
                <c:pt idx="1">
                  <c:v>186.5</c:v>
                </c:pt>
                <c:pt idx="2">
                  <c:v>186.5</c:v>
                </c:pt>
                <c:pt idx="3">
                  <c:v>186.5</c:v>
                </c:pt>
                <c:pt idx="4">
                  <c:v>186.5</c:v>
                </c:pt>
                <c:pt idx="5">
                  <c:v>186.5</c:v>
                </c:pt>
                <c:pt idx="6">
                  <c:v>186.5</c:v>
                </c:pt>
                <c:pt idx="7">
                  <c:v>186.5</c:v>
                </c:pt>
                <c:pt idx="8">
                  <c:v>186.5</c:v>
                </c:pt>
                <c:pt idx="9">
                  <c:v>186.5</c:v>
                </c:pt>
                <c:pt idx="10">
                  <c:v>186.5</c:v>
                </c:pt>
                <c:pt idx="11">
                  <c:v>186.5</c:v>
                </c:pt>
                <c:pt idx="12">
                  <c:v>186.5</c:v>
                </c:pt>
                <c:pt idx="13">
                  <c:v>186.5</c:v>
                </c:pt>
                <c:pt idx="14">
                  <c:v>186.5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A-42F3-B151-8BE527DB0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806896"/>
        <c:axId val="45902293"/>
      </c:lineChart>
      <c:catAx>
        <c:axId val="738068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5902293"/>
        <c:crosses val="autoZero"/>
        <c:auto val="1"/>
        <c:lblAlgn val="ctr"/>
        <c:lblOffset val="100"/>
        <c:noMultiLvlLbl val="0"/>
      </c:catAx>
      <c:valAx>
        <c:axId val="4590229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3806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5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5 Backlog'!$L$32:$Z$32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0-4338-BCA6-705329845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512783"/>
        <c:axId val="43270834"/>
      </c:lineChart>
      <c:catAx>
        <c:axId val="615127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3270834"/>
        <c:crosses val="autoZero"/>
        <c:auto val="1"/>
        <c:lblAlgn val="ctr"/>
        <c:lblOffset val="100"/>
        <c:noMultiLvlLbl val="0"/>
      </c:catAx>
      <c:valAx>
        <c:axId val="4327083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1512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675759454432704E-2"/>
          <c:y val="0.12952525471493601"/>
          <c:w val="0.90762554246745197"/>
          <c:h val="0.74257533058747005"/>
        </c:manualLayout>
      </c:layout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6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6 Backlog'!$L$26:$Z$26</c:f>
              <c:numCache>
                <c:formatCode>General</c:formatCode>
                <c:ptCount val="15"/>
                <c:pt idx="0">
                  <c:v>177</c:v>
                </c:pt>
                <c:pt idx="1">
                  <c:v>177</c:v>
                </c:pt>
                <c:pt idx="2">
                  <c:v>177</c:v>
                </c:pt>
                <c:pt idx="3">
                  <c:v>177</c:v>
                </c:pt>
                <c:pt idx="4">
                  <c:v>177</c:v>
                </c:pt>
                <c:pt idx="5">
                  <c:v>177</c:v>
                </c:pt>
                <c:pt idx="6">
                  <c:v>177</c:v>
                </c:pt>
                <c:pt idx="7">
                  <c:v>177</c:v>
                </c:pt>
                <c:pt idx="8">
                  <c:v>177</c:v>
                </c:pt>
                <c:pt idx="9">
                  <c:v>177</c:v>
                </c:pt>
                <c:pt idx="10">
                  <c:v>177</c:v>
                </c:pt>
                <c:pt idx="11">
                  <c:v>177</c:v>
                </c:pt>
                <c:pt idx="12">
                  <c:v>177</c:v>
                </c:pt>
                <c:pt idx="13">
                  <c:v>177</c:v>
                </c:pt>
                <c:pt idx="1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3-4FD1-8C7C-1ECC711AE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503881"/>
        <c:axId val="4754559"/>
      </c:lineChart>
      <c:catAx>
        <c:axId val="975038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754559"/>
        <c:crosses val="autoZero"/>
        <c:auto val="1"/>
        <c:lblAlgn val="ctr"/>
        <c:lblOffset val="100"/>
        <c:noMultiLvlLbl val="0"/>
      </c:catAx>
      <c:valAx>
        <c:axId val="475455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75038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Calibri Light"/>
                <a:ea typeface="Calibri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Calibri Light"/>
                <a:ea typeface="Calibri"/>
              </a:rPr>
              <a:t>Burn Up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6 Backlog'!$L$7:$Z$7</c:f>
              <c:strCache>
                <c:ptCount val="1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</c:strCache>
            </c:strRef>
          </c:cat>
          <c:val>
            <c:numRef>
              <c:f>'Sprint 6 Backlog'!$L$27:$Z$27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A-4755-9DFE-4C48519CC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886524"/>
        <c:axId val="5225424"/>
      </c:lineChart>
      <c:catAx>
        <c:axId val="67886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225424"/>
        <c:crosses val="autoZero"/>
        <c:auto val="1"/>
        <c:lblAlgn val="ctr"/>
        <c:lblOffset val="100"/>
        <c:noMultiLvlLbl val="0"/>
      </c:catAx>
      <c:valAx>
        <c:axId val="522542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7886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23040</xdr:colOff>
      <xdr:row>0</xdr:row>
      <xdr:rowOff>0</xdr:rowOff>
    </xdr:from>
    <xdr:to>
      <xdr:col>2</xdr:col>
      <xdr:colOff>637200</xdr:colOff>
      <xdr:row>3</xdr:row>
      <xdr:rowOff>103320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040" y="0"/>
          <a:ext cx="1905840" cy="58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37800</xdr:colOff>
      <xdr:row>0</xdr:row>
      <xdr:rowOff>0</xdr:rowOff>
    </xdr:from>
    <xdr:to>
      <xdr:col>5</xdr:col>
      <xdr:colOff>245880</xdr:colOff>
      <xdr:row>3</xdr:row>
      <xdr:rowOff>109080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461920" y="0"/>
          <a:ext cx="1472400" cy="594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0</xdr:row>
      <xdr:rowOff>0</xdr:rowOff>
    </xdr:from>
    <xdr:to>
      <xdr:col>2</xdr:col>
      <xdr:colOff>1236960</xdr:colOff>
      <xdr:row>3</xdr:row>
      <xdr:rowOff>101520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0"/>
          <a:ext cx="159696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69120</xdr:colOff>
      <xdr:row>3</xdr:row>
      <xdr:rowOff>139680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78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183960</xdr:colOff>
      <xdr:row>27</xdr:row>
      <xdr:rowOff>168120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168120</xdr:colOff>
      <xdr:row>27</xdr:row>
      <xdr:rowOff>130320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360720</xdr:colOff>
      <xdr:row>3</xdr:row>
      <xdr:rowOff>101520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880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69120</xdr:colOff>
      <xdr:row>3</xdr:row>
      <xdr:rowOff>139680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78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15</xdr:col>
      <xdr:colOff>142560</xdr:colOff>
      <xdr:row>27</xdr:row>
      <xdr:rowOff>168120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187200</xdr:colOff>
      <xdr:row>8</xdr:row>
      <xdr:rowOff>114480</xdr:rowOff>
    </xdr:from>
    <xdr:to>
      <xdr:col>27</xdr:col>
      <xdr:colOff>855720</xdr:colOff>
      <xdr:row>27</xdr:row>
      <xdr:rowOff>168480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360720</xdr:colOff>
      <xdr:row>3</xdr:row>
      <xdr:rowOff>101520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880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69120</xdr:colOff>
      <xdr:row>3</xdr:row>
      <xdr:rowOff>139680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78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183960</xdr:colOff>
      <xdr:row>27</xdr:row>
      <xdr:rowOff>168120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168120</xdr:colOff>
      <xdr:row>27</xdr:row>
      <xdr:rowOff>130320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360720</xdr:colOff>
      <xdr:row>3</xdr:row>
      <xdr:rowOff>101520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880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69120</xdr:colOff>
      <xdr:row>3</xdr:row>
      <xdr:rowOff>139680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78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183960</xdr:colOff>
      <xdr:row>27</xdr:row>
      <xdr:rowOff>168120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168120</xdr:colOff>
      <xdr:row>27</xdr:row>
      <xdr:rowOff>130320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360720</xdr:colOff>
      <xdr:row>3</xdr:row>
      <xdr:rowOff>101520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880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69120</xdr:colOff>
      <xdr:row>3</xdr:row>
      <xdr:rowOff>139680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78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8</xdr:row>
      <xdr:rowOff>104760</xdr:rowOff>
    </xdr:from>
    <xdr:to>
      <xdr:col>9</xdr:col>
      <xdr:colOff>183960</xdr:colOff>
      <xdr:row>27</xdr:row>
      <xdr:rowOff>168120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168120</xdr:colOff>
      <xdr:row>27</xdr:row>
      <xdr:rowOff>130320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360720</xdr:colOff>
      <xdr:row>3</xdr:row>
      <xdr:rowOff>101520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880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304920</xdr:colOff>
      <xdr:row>0</xdr:row>
      <xdr:rowOff>38160</xdr:rowOff>
    </xdr:from>
    <xdr:to>
      <xdr:col>3</xdr:col>
      <xdr:colOff>69120</xdr:colOff>
      <xdr:row>3</xdr:row>
      <xdr:rowOff>139680</xdr:rowOff>
    </xdr:to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4920" y="38160"/>
          <a:ext cx="15778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8</xdr:row>
      <xdr:rowOff>104775</xdr:rowOff>
    </xdr:from>
    <xdr:to>
      <xdr:col>9</xdr:col>
      <xdr:colOff>238125</xdr:colOff>
      <xdr:row>28</xdr:row>
      <xdr:rowOff>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22320</xdr:colOff>
      <xdr:row>8</xdr:row>
      <xdr:rowOff>76320</xdr:rowOff>
    </xdr:from>
    <xdr:to>
      <xdr:col>18</xdr:col>
      <xdr:colOff>168120</xdr:colOff>
      <xdr:row>27</xdr:row>
      <xdr:rowOff>130320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285840</xdr:colOff>
      <xdr:row>0</xdr:row>
      <xdr:rowOff>0</xdr:rowOff>
    </xdr:from>
    <xdr:to>
      <xdr:col>3</xdr:col>
      <xdr:colOff>360720</xdr:colOff>
      <xdr:row>3</xdr:row>
      <xdr:rowOff>101520</xdr:rowOff>
    </xdr:to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5840" y="0"/>
          <a:ext cx="155880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314280</xdr:colOff>
      <xdr:row>0</xdr:row>
      <xdr:rowOff>0</xdr:rowOff>
    </xdr:from>
    <xdr:to>
      <xdr:col>2</xdr:col>
      <xdr:colOff>977040</xdr:colOff>
      <xdr:row>3</xdr:row>
      <xdr:rowOff>101520</xdr:rowOff>
    </xdr:to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4280" y="0"/>
          <a:ext cx="159696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476280</xdr:colOff>
      <xdr:row>0</xdr:row>
      <xdr:rowOff>0</xdr:rowOff>
    </xdr:from>
    <xdr:to>
      <xdr:col>5</xdr:col>
      <xdr:colOff>508680</xdr:colOff>
      <xdr:row>3</xdr:row>
      <xdr:rowOff>101520</xdr:rowOff>
    </xdr:to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6280" y="0"/>
          <a:ext cx="260676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285840</xdr:colOff>
      <xdr:row>0</xdr:row>
      <xdr:rowOff>38160</xdr:rowOff>
    </xdr:from>
    <xdr:to>
      <xdr:col>2</xdr:col>
      <xdr:colOff>283320</xdr:colOff>
      <xdr:row>3</xdr:row>
      <xdr:rowOff>139680</xdr:rowOff>
    </xdr:to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38160"/>
          <a:ext cx="1693080" cy="615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B5:O41"/>
  <sheetViews>
    <sheetView showGridLines="0" zoomScale="82" zoomScaleNormal="82" workbookViewId="0">
      <selection activeCell="O35" sqref="O35"/>
    </sheetView>
  </sheetViews>
  <sheetFormatPr defaultColWidth="8.85546875" defaultRowHeight="13.15"/>
  <cols>
    <col min="1" max="1" width="5.140625" style="2" customWidth="1"/>
    <col min="2" max="2" width="15" style="2" customWidth="1"/>
    <col min="3" max="3" width="48.85546875" style="2" customWidth="1"/>
    <col min="4" max="4" width="15.5703125" style="2" customWidth="1"/>
    <col min="5" max="5" width="19.7109375" style="2" customWidth="1"/>
    <col min="6" max="6" width="26.42578125" style="2" customWidth="1"/>
    <col min="7" max="7" width="35" style="2" customWidth="1"/>
    <col min="8" max="9" width="8.85546875" style="2"/>
    <col min="10" max="11" width="12.7109375" style="2" customWidth="1"/>
    <col min="12" max="12" width="13.7109375" style="2" customWidth="1"/>
    <col min="13" max="14" width="12.5703125" style="2" customWidth="1"/>
    <col min="15" max="15" width="36.5703125" style="2" customWidth="1"/>
    <col min="16" max="16384" width="8.85546875" style="2"/>
  </cols>
  <sheetData>
    <row r="5" spans="2:6" ht="18.75" customHeight="1">
      <c r="B5" s="3" t="s">
        <v>0</v>
      </c>
      <c r="E5" s="4"/>
    </row>
    <row r="6" spans="2:6" ht="14.25" customHeight="1">
      <c r="E6" s="4"/>
    </row>
    <row r="7" spans="2:6" ht="14.25" customHeight="1">
      <c r="B7" s="5" t="s">
        <v>1</v>
      </c>
      <c r="C7" s="6" t="s">
        <v>2</v>
      </c>
    </row>
    <row r="8" spans="2:6" ht="14.25" customHeight="1">
      <c r="B8" s="7" t="s">
        <v>3</v>
      </c>
      <c r="C8" s="6" t="s">
        <v>4</v>
      </c>
    </row>
    <row r="10" spans="2:6" ht="14.25" customHeight="1">
      <c r="B10" s="8" t="s">
        <v>5</v>
      </c>
      <c r="C10" s="9"/>
      <c r="E10" s="10" t="s">
        <v>6</v>
      </c>
      <c r="F10" s="11" t="s">
        <v>7</v>
      </c>
    </row>
    <row r="11" spans="2:6" ht="12.75" customHeight="1">
      <c r="B11" s="12" t="s">
        <v>8</v>
      </c>
      <c r="C11" s="6" t="s">
        <v>9</v>
      </c>
      <c r="E11" s="13" t="s">
        <v>10</v>
      </c>
      <c r="F11" s="11" t="s">
        <v>11</v>
      </c>
    </row>
    <row r="12" spans="2:6" ht="12.75" customHeight="1">
      <c r="B12" s="12" t="s">
        <v>12</v>
      </c>
      <c r="C12" s="6" t="s">
        <v>9</v>
      </c>
    </row>
    <row r="13" spans="2:6" ht="12.75" customHeight="1">
      <c r="C13" s="6" t="s">
        <v>7</v>
      </c>
    </row>
    <row r="14" spans="2:6" ht="12.75" customHeight="1">
      <c r="C14" s="6" t="s">
        <v>13</v>
      </c>
    </row>
    <row r="15" spans="2:6" ht="12.75" customHeight="1">
      <c r="C15" s="6" t="s">
        <v>14</v>
      </c>
    </row>
    <row r="16" spans="2:6" ht="12.75" customHeight="1">
      <c r="C16" s="14" t="s">
        <v>15</v>
      </c>
    </row>
    <row r="21" spans="2:15" ht="14.25" customHeight="1">
      <c r="B21" s="15" t="s">
        <v>16</v>
      </c>
      <c r="I21" s="15" t="s">
        <v>17</v>
      </c>
      <c r="K21" s="16"/>
    </row>
    <row r="22" spans="2:15" ht="25.5" customHeight="1">
      <c r="B22" s="17" t="s">
        <v>18</v>
      </c>
      <c r="C22" s="17" t="s">
        <v>19</v>
      </c>
      <c r="D22" s="17" t="s">
        <v>20</v>
      </c>
      <c r="E22" s="17" t="s">
        <v>21</v>
      </c>
      <c r="F22" s="17" t="s">
        <v>22</v>
      </c>
      <c r="G22" s="17" t="s">
        <v>23</v>
      </c>
      <c r="H22" s="18"/>
      <c r="I22" s="19" t="s">
        <v>24</v>
      </c>
      <c r="J22" s="19" t="s">
        <v>20</v>
      </c>
      <c r="K22" s="19" t="s">
        <v>21</v>
      </c>
      <c r="L22" s="19" t="s">
        <v>22</v>
      </c>
      <c r="M22" s="19" t="s">
        <v>25</v>
      </c>
      <c r="N22" s="19" t="s">
        <v>26</v>
      </c>
      <c r="O22" s="19" t="s">
        <v>23</v>
      </c>
    </row>
    <row r="23" spans="2:15" ht="12.75" customHeight="1">
      <c r="B23" s="6">
        <v>1</v>
      </c>
      <c r="C23" s="6" t="s">
        <v>27</v>
      </c>
      <c r="D23" s="20">
        <v>46275</v>
      </c>
      <c r="E23" s="20">
        <v>46362</v>
      </c>
      <c r="F23" s="6" t="s">
        <v>28</v>
      </c>
      <c r="G23" s="21" t="s">
        <v>29</v>
      </c>
      <c r="I23" s="22" t="s">
        <v>30</v>
      </c>
      <c r="J23" s="20">
        <v>46279</v>
      </c>
      <c r="K23" s="20">
        <f t="shared" ref="K23:K28" si="0">J23+13</f>
        <v>46292</v>
      </c>
      <c r="L23" s="6" t="s">
        <v>31</v>
      </c>
      <c r="M23" s="6">
        <v>250</v>
      </c>
      <c r="N23" s="6"/>
      <c r="O23" s="6"/>
    </row>
    <row r="24" spans="2:15" s="23" customFormat="1" ht="12.75" customHeight="1">
      <c r="B24" s="6">
        <v>2</v>
      </c>
      <c r="C24" s="24" t="s">
        <v>32</v>
      </c>
      <c r="D24" s="20">
        <v>46275</v>
      </c>
      <c r="E24" s="20">
        <v>46382</v>
      </c>
      <c r="F24" s="6" t="s">
        <v>28</v>
      </c>
      <c r="G24" s="25"/>
      <c r="H24" s="2"/>
      <c r="I24" s="22" t="s">
        <v>33</v>
      </c>
      <c r="J24" s="20">
        <f>K23+1</f>
        <v>46293</v>
      </c>
      <c r="K24" s="20">
        <f t="shared" si="0"/>
        <v>46306</v>
      </c>
      <c r="L24" s="6" t="s">
        <v>31</v>
      </c>
      <c r="M24" s="6">
        <v>250</v>
      </c>
      <c r="N24" s="6"/>
      <c r="O24" s="6"/>
    </row>
    <row r="25" spans="2:15" ht="12.75" customHeight="1">
      <c r="B25" s="24"/>
      <c r="C25" s="24"/>
      <c r="D25" s="6"/>
      <c r="E25" s="6"/>
      <c r="F25" s="6"/>
      <c r="G25" s="25"/>
      <c r="I25" s="22" t="s">
        <v>34</v>
      </c>
      <c r="J25" s="20">
        <f>K24+1</f>
        <v>46307</v>
      </c>
      <c r="K25" s="20">
        <f t="shared" si="0"/>
        <v>46320</v>
      </c>
      <c r="L25" s="6" t="s">
        <v>31</v>
      </c>
      <c r="M25" s="6">
        <v>250</v>
      </c>
      <c r="N25" s="6"/>
      <c r="O25" s="6"/>
    </row>
    <row r="26" spans="2:15" ht="12.75" customHeight="1">
      <c r="B26" s="24"/>
      <c r="C26" s="24"/>
      <c r="D26" s="6"/>
      <c r="E26" s="6"/>
      <c r="F26" s="6"/>
      <c r="G26" s="25"/>
      <c r="I26" s="22" t="s">
        <v>35</v>
      </c>
      <c r="J26" s="20">
        <f>K25+1</f>
        <v>46321</v>
      </c>
      <c r="K26" s="20">
        <f t="shared" si="0"/>
        <v>46334</v>
      </c>
      <c r="L26" s="6" t="s">
        <v>31</v>
      </c>
      <c r="M26" s="6">
        <v>250</v>
      </c>
      <c r="N26" s="6"/>
      <c r="O26" s="6"/>
    </row>
    <row r="27" spans="2:15" ht="12.75" customHeight="1">
      <c r="B27" s="24"/>
      <c r="C27" s="24"/>
      <c r="D27" s="6"/>
      <c r="E27" s="6"/>
      <c r="F27" s="6"/>
      <c r="G27" s="25"/>
      <c r="I27" s="22" t="s">
        <v>36</v>
      </c>
      <c r="J27" s="20">
        <f>K26+1</f>
        <v>46335</v>
      </c>
      <c r="K27" s="20">
        <f t="shared" si="0"/>
        <v>46348</v>
      </c>
      <c r="L27" s="6" t="s">
        <v>31</v>
      </c>
      <c r="M27" s="6">
        <v>250</v>
      </c>
      <c r="N27" s="6"/>
      <c r="O27" s="6"/>
    </row>
    <row r="28" spans="2:15" ht="12.75" customHeight="1">
      <c r="B28" s="24"/>
      <c r="C28" s="24"/>
      <c r="D28" s="6"/>
      <c r="E28" s="6"/>
      <c r="F28" s="6"/>
      <c r="G28" s="25"/>
      <c r="I28" s="6" t="s">
        <v>37</v>
      </c>
      <c r="J28" s="20">
        <f>K27+1</f>
        <v>46349</v>
      </c>
      <c r="K28" s="20">
        <f t="shared" si="0"/>
        <v>46362</v>
      </c>
      <c r="L28" s="6" t="s">
        <v>31</v>
      </c>
      <c r="M28" s="6">
        <v>250</v>
      </c>
      <c r="N28" s="6"/>
      <c r="O28" s="6"/>
    </row>
    <row r="29" spans="2:15" ht="12.75" customHeight="1">
      <c r="B29" s="24"/>
      <c r="C29" s="24"/>
      <c r="D29" s="6"/>
      <c r="E29" s="6"/>
      <c r="F29" s="6"/>
      <c r="G29" s="25"/>
      <c r="I29" s="24"/>
      <c r="J29" s="20"/>
      <c r="K29" s="20"/>
      <c r="L29" s="6"/>
      <c r="M29" s="6"/>
      <c r="N29" s="6"/>
      <c r="O29" s="6"/>
    </row>
    <row r="30" spans="2:15" ht="12.75" customHeight="1">
      <c r="B30" s="24"/>
      <c r="C30" s="24"/>
      <c r="D30" s="6"/>
      <c r="E30" s="6"/>
      <c r="F30" s="6"/>
      <c r="G30" s="25"/>
      <c r="I30" s="24"/>
      <c r="J30" s="20"/>
      <c r="K30" s="20"/>
      <c r="L30" s="6"/>
      <c r="M30" s="6"/>
      <c r="N30" s="6"/>
      <c r="O30" s="6"/>
    </row>
    <row r="31" spans="2:15" ht="12.75" customHeight="1">
      <c r="B31" s="24"/>
      <c r="C31" s="24"/>
      <c r="D31" s="6"/>
      <c r="E31" s="6"/>
      <c r="F31" s="6"/>
      <c r="G31" s="25"/>
      <c r="I31" s="24"/>
      <c r="J31" s="20"/>
      <c r="K31" s="20"/>
      <c r="L31" s="6"/>
      <c r="M31" s="6"/>
      <c r="N31" s="6"/>
      <c r="O31" s="6"/>
    </row>
    <row r="32" spans="2:15" ht="12.75" customHeight="1">
      <c r="B32" s="24"/>
      <c r="C32" s="24"/>
      <c r="D32" s="6"/>
      <c r="E32" s="6"/>
      <c r="F32" s="6"/>
      <c r="G32" s="25"/>
      <c r="I32" s="24"/>
      <c r="J32" s="20"/>
      <c r="K32" s="20"/>
      <c r="L32" s="6"/>
      <c r="M32" s="6"/>
      <c r="N32" s="6"/>
      <c r="O32" s="6"/>
    </row>
    <row r="33" spans="2:15" ht="12.75" customHeight="1">
      <c r="B33" s="24"/>
      <c r="C33" s="24"/>
      <c r="D33" s="6"/>
      <c r="E33" s="6"/>
      <c r="F33" s="6"/>
      <c r="G33" s="25"/>
      <c r="I33" s="24"/>
      <c r="J33" s="20"/>
      <c r="K33" s="20"/>
      <c r="L33" s="6"/>
      <c r="M33" s="6"/>
      <c r="N33" s="6"/>
      <c r="O33" s="6"/>
    </row>
    <row r="34" spans="2:15" ht="12.75" customHeight="1">
      <c r="B34" s="24"/>
      <c r="C34" s="24"/>
      <c r="D34" s="6"/>
      <c r="E34" s="6"/>
      <c r="F34" s="6"/>
      <c r="G34" s="25"/>
      <c r="I34" s="24"/>
      <c r="J34" s="20"/>
      <c r="K34" s="20"/>
      <c r="L34" s="6"/>
      <c r="M34" s="6"/>
      <c r="N34" s="6"/>
      <c r="O34" s="6"/>
    </row>
    <row r="35" spans="2:15" ht="12.75" customHeight="1">
      <c r="B35" s="24"/>
      <c r="C35" s="24"/>
      <c r="D35" s="6"/>
      <c r="E35" s="6"/>
      <c r="F35" s="6"/>
      <c r="G35" s="25"/>
      <c r="I35" s="24"/>
      <c r="J35" s="20"/>
      <c r="K35" s="20"/>
      <c r="L35" s="6"/>
      <c r="M35" s="6"/>
      <c r="N35" s="6"/>
      <c r="O35" s="6"/>
    </row>
    <row r="36" spans="2:15" ht="12.75" customHeight="1">
      <c r="B36" s="24"/>
      <c r="C36" s="24"/>
      <c r="D36" s="6"/>
      <c r="E36" s="6"/>
      <c r="F36" s="6"/>
      <c r="G36" s="25"/>
      <c r="I36" s="24"/>
      <c r="J36" s="20"/>
      <c r="K36" s="20"/>
      <c r="L36" s="6"/>
      <c r="M36" s="6"/>
      <c r="N36" s="6"/>
      <c r="O36" s="6"/>
    </row>
    <row r="37" spans="2:15" ht="12.75" customHeight="1">
      <c r="B37" s="24"/>
      <c r="C37" s="24"/>
      <c r="D37" s="24"/>
      <c r="E37" s="24"/>
      <c r="F37" s="6"/>
      <c r="G37" s="25"/>
      <c r="I37" s="24"/>
      <c r="J37" s="20"/>
      <c r="K37" s="20"/>
      <c r="L37" s="6"/>
      <c r="M37" s="6"/>
      <c r="N37" s="6"/>
      <c r="O37" s="6"/>
    </row>
    <row r="38" spans="2:15" ht="12.75" customHeight="1">
      <c r="B38" s="24"/>
      <c r="C38" s="24"/>
      <c r="D38" s="24"/>
      <c r="E38" s="24"/>
      <c r="F38" s="6"/>
      <c r="G38" s="25"/>
      <c r="I38" s="24"/>
      <c r="J38" s="20"/>
      <c r="K38" s="20"/>
      <c r="L38" s="6"/>
      <c r="M38" s="6"/>
      <c r="N38" s="6"/>
      <c r="O38" s="6"/>
    </row>
    <row r="41" spans="2:15" ht="12.75" customHeight="1">
      <c r="G41" s="26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C2E5"/>
  </sheetPr>
  <dimension ref="A1:Z1001"/>
  <sheetViews>
    <sheetView showGridLines="0" zoomScaleNormal="100" workbookViewId="0">
      <pane xSplit="3" ySplit="7" topLeftCell="G20" activePane="bottomRight" state="frozen"/>
      <selection pane="bottomRight" activeCell="N11" sqref="N11"/>
      <selection pane="bottomLeft" activeCell="A25" sqref="A25"/>
      <selection pane="topRight" activeCell="F1" sqref="F1"/>
    </sheetView>
  </sheetViews>
  <sheetFormatPr defaultColWidth="14.42578125" defaultRowHeight="13.9"/>
  <cols>
    <col min="1" max="1" width="3.140625" customWidth="1"/>
    <col min="2" max="2" width="4.85546875" customWidth="1"/>
    <col min="3" max="3" width="49.140625" customWidth="1"/>
    <col min="4" max="4" width="12.140625" customWidth="1"/>
    <col min="5" max="5" width="68.7109375" customWidth="1"/>
    <col min="6" max="6" width="47" customWidth="1"/>
    <col min="7" max="7" width="85.140625" style="27" customWidth="1"/>
    <col min="8" max="8" width="21.7109375" hidden="1" customWidth="1"/>
    <col min="9" max="9" width="11.28515625" customWidth="1"/>
    <col min="10" max="10" width="11.28515625" hidden="1" customWidth="1"/>
    <col min="11" max="12" width="8.7109375" hidden="1" customWidth="1"/>
    <col min="13" max="13" width="8.7109375" customWidth="1"/>
    <col min="14" max="14" width="14.28515625" customWidth="1"/>
    <col min="15" max="15" width="14.28515625" hidden="1" customWidth="1"/>
    <col min="16" max="16" width="12" hidden="1" customWidth="1"/>
    <col min="17" max="17" width="8.7109375" hidden="1" customWidth="1"/>
    <col min="18" max="18" width="40.140625" customWidth="1"/>
    <col min="19" max="26" width="8.7109375" customWidth="1"/>
  </cols>
  <sheetData>
    <row r="1" spans="1:26" ht="13.5" customHeight="1">
      <c r="A1" s="1"/>
      <c r="B1" s="1"/>
      <c r="C1" s="1"/>
      <c r="D1" s="1"/>
      <c r="E1" s="28"/>
      <c r="F1" s="28"/>
      <c r="G1" s="29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"/>
      <c r="D2" s="1"/>
      <c r="E2" s="28"/>
      <c r="F2" s="28"/>
      <c r="G2" s="29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2"/>
      <c r="D3" s="2"/>
      <c r="E3" s="26"/>
      <c r="F3" s="26"/>
      <c r="G3" s="30"/>
      <c r="H3" s="26"/>
      <c r="I3" s="2"/>
      <c r="J3" s="2"/>
      <c r="K3" s="2"/>
      <c r="L3" s="2"/>
      <c r="M3" s="107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2"/>
      <c r="D4" s="2"/>
      <c r="E4" s="26"/>
      <c r="F4" s="26"/>
      <c r="G4" s="30"/>
      <c r="H4" s="26"/>
      <c r="I4" s="2"/>
      <c r="J4" s="108"/>
      <c r="K4" s="2"/>
      <c r="L4" s="2"/>
      <c r="M4" s="107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1"/>
      <c r="B5" s="31" t="s">
        <v>38</v>
      </c>
      <c r="C5" s="2"/>
      <c r="D5" s="2"/>
      <c r="E5" s="26"/>
      <c r="F5" s="26"/>
      <c r="G5" s="30"/>
      <c r="H5" s="26"/>
      <c r="I5" s="2"/>
      <c r="J5" s="108"/>
      <c r="K5" s="2"/>
      <c r="L5" s="2"/>
      <c r="M5" s="107"/>
      <c r="N5" s="2"/>
      <c r="O5" s="108"/>
      <c r="P5" s="2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2"/>
      <c r="D6" s="2"/>
      <c r="E6" s="26"/>
      <c r="F6" s="26"/>
      <c r="G6" s="30"/>
      <c r="H6" s="26"/>
      <c r="I6" s="2"/>
      <c r="J6" s="108"/>
      <c r="K6" s="2"/>
      <c r="L6" s="2"/>
      <c r="M6" s="107"/>
      <c r="N6" s="2"/>
      <c r="O6" s="108"/>
      <c r="P6" s="2"/>
      <c r="Q6" s="2"/>
      <c r="R6" s="2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32"/>
      <c r="B7" s="33" t="s">
        <v>18</v>
      </c>
      <c r="C7" s="33" t="s">
        <v>39</v>
      </c>
      <c r="D7" s="33" t="s">
        <v>40</v>
      </c>
      <c r="E7" s="33" t="s">
        <v>41</v>
      </c>
      <c r="F7" s="33" t="s">
        <v>42</v>
      </c>
      <c r="G7" s="34" t="s">
        <v>43</v>
      </c>
      <c r="H7" s="33" t="s">
        <v>23</v>
      </c>
      <c r="I7" s="33" t="s">
        <v>44</v>
      </c>
      <c r="J7" s="33" t="s">
        <v>22</v>
      </c>
      <c r="K7" s="35" t="s">
        <v>45</v>
      </c>
      <c r="L7" s="35" t="s">
        <v>46</v>
      </c>
      <c r="M7" s="36" t="s">
        <v>47</v>
      </c>
      <c r="N7" s="37" t="s">
        <v>48</v>
      </c>
      <c r="O7" s="36" t="s">
        <v>49</v>
      </c>
      <c r="P7" s="36" t="s">
        <v>50</v>
      </c>
      <c r="Q7" s="36" t="s">
        <v>22</v>
      </c>
      <c r="R7" s="36" t="s">
        <v>23</v>
      </c>
      <c r="S7" s="32"/>
      <c r="T7" s="32"/>
      <c r="U7" s="32"/>
      <c r="V7" s="32"/>
      <c r="W7" s="32"/>
      <c r="X7" s="32"/>
      <c r="Y7" s="32"/>
      <c r="Z7" s="32"/>
    </row>
    <row r="8" spans="1:26" s="38" customFormat="1" ht="58.5" customHeight="1">
      <c r="B8" s="39" t="s">
        <v>51</v>
      </c>
      <c r="C8" s="39" t="s">
        <v>52</v>
      </c>
      <c r="D8" s="40" t="s">
        <v>53</v>
      </c>
      <c r="E8" s="39" t="s">
        <v>54</v>
      </c>
      <c r="F8" s="39" t="s">
        <v>55</v>
      </c>
      <c r="G8" s="41" t="s">
        <v>56</v>
      </c>
      <c r="H8" s="39"/>
      <c r="I8" s="40">
        <v>1</v>
      </c>
      <c r="J8" s="40" t="s">
        <v>31</v>
      </c>
      <c r="K8" s="40" t="s">
        <v>57</v>
      </c>
      <c r="L8" s="40">
        <v>1</v>
      </c>
      <c r="M8" s="40">
        <v>1</v>
      </c>
      <c r="N8" s="40">
        <v>25</v>
      </c>
      <c r="O8" s="39"/>
      <c r="P8" s="39"/>
      <c r="Q8" s="39"/>
      <c r="R8" s="39"/>
    </row>
    <row r="9" spans="1:26" s="42" customFormat="1" ht="58.5" customHeight="1">
      <c r="B9" s="43" t="s">
        <v>58</v>
      </c>
      <c r="C9" s="43" t="s">
        <v>59</v>
      </c>
      <c r="D9" s="44" t="s">
        <v>53</v>
      </c>
      <c r="E9" s="43" t="s">
        <v>60</v>
      </c>
      <c r="F9" s="43" t="s">
        <v>61</v>
      </c>
      <c r="G9" s="45" t="s">
        <v>62</v>
      </c>
      <c r="H9" s="43"/>
      <c r="I9" s="44">
        <v>1</v>
      </c>
      <c r="J9" s="44" t="s">
        <v>31</v>
      </c>
      <c r="K9" s="44" t="s">
        <v>57</v>
      </c>
      <c r="L9" s="44">
        <v>1</v>
      </c>
      <c r="M9" s="44">
        <v>1</v>
      </c>
      <c r="N9" s="44">
        <v>25</v>
      </c>
      <c r="O9" s="43"/>
      <c r="P9" s="43"/>
      <c r="Q9" s="43"/>
      <c r="R9" s="43"/>
    </row>
    <row r="10" spans="1:26" s="42" customFormat="1" ht="58.5" customHeight="1">
      <c r="B10" s="43" t="s">
        <v>63</v>
      </c>
      <c r="C10" s="43" t="s">
        <v>64</v>
      </c>
      <c r="D10" s="44" t="s">
        <v>53</v>
      </c>
      <c r="E10" s="43" t="s">
        <v>65</v>
      </c>
      <c r="F10" s="43" t="s">
        <v>66</v>
      </c>
      <c r="G10" s="45" t="s">
        <v>67</v>
      </c>
      <c r="H10" s="43"/>
      <c r="I10" s="44">
        <v>1</v>
      </c>
      <c r="J10" s="44" t="s">
        <v>31</v>
      </c>
      <c r="K10" s="44" t="s">
        <v>57</v>
      </c>
      <c r="L10" s="44">
        <v>1</v>
      </c>
      <c r="M10" s="44">
        <v>2</v>
      </c>
      <c r="N10" s="44">
        <v>20</v>
      </c>
      <c r="O10" s="43"/>
      <c r="P10" s="43"/>
      <c r="Q10" s="43"/>
      <c r="R10" s="43"/>
    </row>
    <row r="11" spans="1:26" s="42" customFormat="1" ht="58.5" customHeight="1">
      <c r="B11" s="43" t="s">
        <v>68</v>
      </c>
      <c r="C11" s="43" t="s">
        <v>69</v>
      </c>
      <c r="D11" s="44" t="s">
        <v>70</v>
      </c>
      <c r="E11" s="43" t="s">
        <v>71</v>
      </c>
      <c r="F11" s="43" t="s">
        <v>72</v>
      </c>
      <c r="G11" s="45" t="s">
        <v>73</v>
      </c>
      <c r="H11" s="43"/>
      <c r="I11" s="44">
        <v>1</v>
      </c>
      <c r="J11" s="44" t="s">
        <v>31</v>
      </c>
      <c r="K11" s="44" t="s">
        <v>57</v>
      </c>
      <c r="L11" s="44">
        <v>1</v>
      </c>
      <c r="M11" s="44">
        <v>2</v>
      </c>
      <c r="N11" s="44">
        <v>20</v>
      </c>
      <c r="O11" s="43"/>
      <c r="P11" s="43"/>
      <c r="Q11" s="43"/>
      <c r="R11" s="43"/>
    </row>
    <row r="12" spans="1:26" s="42" customFormat="1" ht="58.5" customHeight="1">
      <c r="B12" s="43" t="s">
        <v>74</v>
      </c>
      <c r="C12" s="43" t="s">
        <v>75</v>
      </c>
      <c r="D12" s="44" t="s">
        <v>70</v>
      </c>
      <c r="E12" s="43" t="s">
        <v>76</v>
      </c>
      <c r="F12" s="43" t="s">
        <v>77</v>
      </c>
      <c r="G12" s="45" t="s">
        <v>78</v>
      </c>
      <c r="H12" s="43"/>
      <c r="I12" s="44">
        <v>1</v>
      </c>
      <c r="J12" s="44" t="s">
        <v>31</v>
      </c>
      <c r="K12" s="44" t="s">
        <v>57</v>
      </c>
      <c r="L12" s="44">
        <v>1</v>
      </c>
      <c r="M12" s="44">
        <v>2</v>
      </c>
      <c r="N12" s="44">
        <v>20</v>
      </c>
      <c r="O12" s="43"/>
      <c r="P12" s="43"/>
      <c r="Q12" s="43"/>
      <c r="R12" s="43"/>
    </row>
    <row r="13" spans="1:26" s="42" customFormat="1" ht="58.5" customHeight="1">
      <c r="B13" s="43" t="s">
        <v>79</v>
      </c>
      <c r="C13" s="43" t="s">
        <v>80</v>
      </c>
      <c r="D13" s="44" t="s">
        <v>70</v>
      </c>
      <c r="E13" s="46" t="s">
        <v>81</v>
      </c>
      <c r="F13" s="46" t="s">
        <v>82</v>
      </c>
      <c r="G13" s="45" t="s">
        <v>83</v>
      </c>
      <c r="H13" s="43" t="s">
        <v>84</v>
      </c>
      <c r="I13" s="44">
        <v>1</v>
      </c>
      <c r="J13" s="44" t="s">
        <v>31</v>
      </c>
      <c r="K13" s="44" t="s">
        <v>57</v>
      </c>
      <c r="L13" s="44">
        <v>1</v>
      </c>
      <c r="M13" s="44">
        <v>1</v>
      </c>
      <c r="N13" s="44">
        <v>55</v>
      </c>
      <c r="O13" s="43"/>
      <c r="P13" s="43"/>
      <c r="Q13" s="43"/>
      <c r="R13" s="43"/>
    </row>
    <row r="14" spans="1:26" s="42" customFormat="1" ht="58.5" customHeight="1">
      <c r="B14" s="43" t="s">
        <v>85</v>
      </c>
      <c r="C14" s="43" t="s">
        <v>86</v>
      </c>
      <c r="D14" s="44" t="s">
        <v>5</v>
      </c>
      <c r="E14" s="43" t="s">
        <v>87</v>
      </c>
      <c r="F14" s="46" t="s">
        <v>88</v>
      </c>
      <c r="G14" s="45" t="s">
        <v>89</v>
      </c>
      <c r="H14" s="43"/>
      <c r="I14" s="44">
        <v>1</v>
      </c>
      <c r="J14" s="44" t="s">
        <v>31</v>
      </c>
      <c r="K14" s="44" t="s">
        <v>90</v>
      </c>
      <c r="L14" s="44">
        <v>1</v>
      </c>
      <c r="M14" s="44">
        <v>1</v>
      </c>
      <c r="N14" s="44">
        <v>30</v>
      </c>
      <c r="O14" s="43"/>
      <c r="P14" s="43"/>
      <c r="Q14" s="43"/>
      <c r="R14" s="43"/>
    </row>
    <row r="15" spans="1:26" s="42" customFormat="1" ht="58.5" customHeight="1">
      <c r="B15" s="43" t="s">
        <v>91</v>
      </c>
      <c r="C15" s="43" t="s">
        <v>92</v>
      </c>
      <c r="D15" s="44" t="s">
        <v>5</v>
      </c>
      <c r="E15" s="46" t="s">
        <v>93</v>
      </c>
      <c r="F15" s="46" t="s">
        <v>94</v>
      </c>
      <c r="G15" s="45" t="s">
        <v>95</v>
      </c>
      <c r="H15" s="43"/>
      <c r="I15" s="44">
        <v>1</v>
      </c>
      <c r="J15" s="44" t="s">
        <v>31</v>
      </c>
      <c r="K15" s="44" t="s">
        <v>90</v>
      </c>
      <c r="L15" s="44">
        <v>1</v>
      </c>
      <c r="M15" s="44">
        <v>1</v>
      </c>
      <c r="N15" s="44">
        <v>35</v>
      </c>
      <c r="O15" s="43"/>
      <c r="P15" s="43"/>
      <c r="Q15" s="43"/>
      <c r="R15" s="43"/>
    </row>
    <row r="16" spans="1:26" s="42" customFormat="1" ht="58.5" customHeight="1">
      <c r="B16" s="43" t="s">
        <v>96</v>
      </c>
      <c r="C16" s="43" t="s">
        <v>97</v>
      </c>
      <c r="D16" s="44" t="s">
        <v>5</v>
      </c>
      <c r="E16" s="46" t="s">
        <v>98</v>
      </c>
      <c r="F16" s="46" t="s">
        <v>99</v>
      </c>
      <c r="G16" s="45" t="s">
        <v>100</v>
      </c>
      <c r="H16" s="43"/>
      <c r="I16" s="44">
        <v>1</v>
      </c>
      <c r="J16" s="44" t="s">
        <v>31</v>
      </c>
      <c r="K16" s="44" t="s">
        <v>90</v>
      </c>
      <c r="L16" s="44">
        <v>1</v>
      </c>
      <c r="M16" s="44">
        <v>2</v>
      </c>
      <c r="N16" s="44">
        <v>20</v>
      </c>
      <c r="O16" s="43"/>
      <c r="P16" s="43"/>
      <c r="Q16" s="43"/>
      <c r="R16" s="43"/>
    </row>
    <row r="17" spans="2:18" s="42" customFormat="1" ht="58.5" customHeight="1">
      <c r="B17" s="43" t="s">
        <v>101</v>
      </c>
      <c r="C17" s="43" t="s">
        <v>102</v>
      </c>
      <c r="D17" s="44" t="s">
        <v>53</v>
      </c>
      <c r="E17" s="46" t="s">
        <v>103</v>
      </c>
      <c r="F17" s="46" t="s">
        <v>104</v>
      </c>
      <c r="G17" s="45" t="s">
        <v>105</v>
      </c>
      <c r="H17" s="43"/>
      <c r="I17" s="44">
        <v>1</v>
      </c>
      <c r="J17" s="44" t="s">
        <v>31</v>
      </c>
      <c r="K17" s="44" t="s">
        <v>57</v>
      </c>
      <c r="L17" s="44">
        <v>1</v>
      </c>
      <c r="M17" s="44">
        <v>2</v>
      </c>
      <c r="N17" s="44">
        <v>25</v>
      </c>
      <c r="O17" s="43"/>
      <c r="P17" s="43"/>
      <c r="Q17" s="43"/>
      <c r="R17" s="43"/>
    </row>
    <row r="18" spans="2:18" s="42" customFormat="1" ht="58.5" customHeight="1">
      <c r="B18" s="43" t="s">
        <v>106</v>
      </c>
      <c r="C18" s="43" t="s">
        <v>107</v>
      </c>
      <c r="D18" s="44" t="s">
        <v>53</v>
      </c>
      <c r="E18" s="46" t="s">
        <v>108</v>
      </c>
      <c r="F18" s="46" t="s">
        <v>109</v>
      </c>
      <c r="G18" s="45" t="s">
        <v>110</v>
      </c>
      <c r="H18" s="43"/>
      <c r="I18" s="44">
        <v>1</v>
      </c>
      <c r="J18" s="44" t="s">
        <v>31</v>
      </c>
      <c r="K18" s="44" t="s">
        <v>57</v>
      </c>
      <c r="L18" s="44">
        <v>1</v>
      </c>
      <c r="M18" s="44">
        <v>2</v>
      </c>
      <c r="N18" s="44">
        <v>20</v>
      </c>
      <c r="O18" s="43"/>
      <c r="P18" s="43"/>
      <c r="Q18" s="43"/>
      <c r="R18" s="43"/>
    </row>
    <row r="19" spans="2:18" s="42" customFormat="1" ht="58.5" customHeight="1">
      <c r="B19" s="43" t="s">
        <v>111</v>
      </c>
      <c r="C19" s="43" t="s">
        <v>112</v>
      </c>
      <c r="D19" s="44" t="s">
        <v>53</v>
      </c>
      <c r="E19" s="43" t="s">
        <v>113</v>
      </c>
      <c r="F19" s="43" t="s">
        <v>114</v>
      </c>
      <c r="G19" s="45" t="s">
        <v>115</v>
      </c>
      <c r="H19" s="43"/>
      <c r="I19" s="44">
        <v>1</v>
      </c>
      <c r="J19" s="44" t="s">
        <v>31</v>
      </c>
      <c r="K19" s="44" t="s">
        <v>57</v>
      </c>
      <c r="L19" s="44">
        <v>1</v>
      </c>
      <c r="M19" s="44">
        <v>2</v>
      </c>
      <c r="N19" s="44">
        <v>40</v>
      </c>
      <c r="O19" s="43"/>
      <c r="P19" s="43"/>
      <c r="Q19" s="43"/>
      <c r="R19" s="43"/>
    </row>
    <row r="20" spans="2:18" s="42" customFormat="1" ht="58.5" customHeight="1">
      <c r="B20" s="43" t="s">
        <v>116</v>
      </c>
      <c r="C20" s="43" t="s">
        <v>117</v>
      </c>
      <c r="D20" s="44" t="s">
        <v>53</v>
      </c>
      <c r="E20" s="43" t="s">
        <v>118</v>
      </c>
      <c r="F20" s="43" t="s">
        <v>119</v>
      </c>
      <c r="G20" s="45" t="s">
        <v>120</v>
      </c>
      <c r="H20" s="43"/>
      <c r="I20" s="44">
        <v>1</v>
      </c>
      <c r="J20" s="44" t="s">
        <v>31</v>
      </c>
      <c r="K20" s="44" t="s">
        <v>57</v>
      </c>
      <c r="L20" s="44">
        <v>1</v>
      </c>
      <c r="M20" s="44">
        <v>2</v>
      </c>
      <c r="N20" s="44">
        <v>20</v>
      </c>
      <c r="O20" s="43"/>
      <c r="P20" s="43"/>
      <c r="Q20" s="43"/>
      <c r="R20" s="43"/>
    </row>
    <row r="21" spans="2:18" s="42" customFormat="1" ht="58.5" customHeight="1">
      <c r="B21" s="43" t="s">
        <v>121</v>
      </c>
      <c r="C21" s="43" t="s">
        <v>122</v>
      </c>
      <c r="D21" s="44" t="s">
        <v>53</v>
      </c>
      <c r="E21" s="43" t="s">
        <v>123</v>
      </c>
      <c r="F21" s="43" t="s">
        <v>124</v>
      </c>
      <c r="G21" s="45" t="s">
        <v>125</v>
      </c>
      <c r="H21" s="43"/>
      <c r="I21" s="44">
        <v>1</v>
      </c>
      <c r="J21" s="44" t="s">
        <v>31</v>
      </c>
      <c r="K21" s="44" t="s">
        <v>57</v>
      </c>
      <c r="L21" s="44">
        <v>1</v>
      </c>
      <c r="M21" s="44">
        <v>3</v>
      </c>
      <c r="N21" s="44">
        <v>20</v>
      </c>
      <c r="O21" s="43"/>
      <c r="P21" s="43"/>
      <c r="Q21" s="43"/>
      <c r="R21" s="43"/>
    </row>
    <row r="22" spans="2:18" s="42" customFormat="1" ht="58.5" customHeight="1">
      <c r="B22" s="43" t="s">
        <v>126</v>
      </c>
      <c r="C22" s="43" t="s">
        <v>127</v>
      </c>
      <c r="D22" s="44" t="s">
        <v>53</v>
      </c>
      <c r="E22" s="43" t="s">
        <v>128</v>
      </c>
      <c r="F22" s="43" t="s">
        <v>129</v>
      </c>
      <c r="G22" s="45" t="s">
        <v>130</v>
      </c>
      <c r="H22" s="43"/>
      <c r="I22" s="44">
        <v>2</v>
      </c>
      <c r="J22" s="44" t="s">
        <v>31</v>
      </c>
      <c r="K22" s="44" t="s">
        <v>57</v>
      </c>
      <c r="L22" s="44">
        <v>1</v>
      </c>
      <c r="M22" s="44">
        <v>3</v>
      </c>
      <c r="N22" s="44">
        <v>20</v>
      </c>
      <c r="O22" s="43"/>
      <c r="P22" s="43"/>
      <c r="Q22" s="43"/>
      <c r="R22" s="43"/>
    </row>
    <row r="23" spans="2:18" s="42" customFormat="1" ht="58.5" customHeight="1">
      <c r="B23" s="43" t="s">
        <v>131</v>
      </c>
      <c r="C23" s="43" t="s">
        <v>132</v>
      </c>
      <c r="D23" s="44" t="s">
        <v>53</v>
      </c>
      <c r="E23" s="43" t="s">
        <v>133</v>
      </c>
      <c r="F23" s="43" t="s">
        <v>134</v>
      </c>
      <c r="G23" s="45" t="s">
        <v>135</v>
      </c>
      <c r="H23" s="43"/>
      <c r="I23" s="44">
        <v>1</v>
      </c>
      <c r="J23" s="44" t="s">
        <v>31</v>
      </c>
      <c r="K23" s="44" t="s">
        <v>57</v>
      </c>
      <c r="L23" s="44">
        <v>1</v>
      </c>
      <c r="M23" s="44">
        <v>3</v>
      </c>
      <c r="N23" s="44">
        <v>15</v>
      </c>
      <c r="O23" s="43"/>
      <c r="P23" s="43"/>
      <c r="Q23" s="43"/>
      <c r="R23" s="43"/>
    </row>
    <row r="24" spans="2:18" s="42" customFormat="1" ht="58.5" customHeight="1">
      <c r="B24" s="43" t="s">
        <v>136</v>
      </c>
      <c r="C24" s="43" t="s">
        <v>137</v>
      </c>
      <c r="D24" s="44" t="s">
        <v>53</v>
      </c>
      <c r="E24" s="43" t="s">
        <v>138</v>
      </c>
      <c r="F24" s="43" t="s">
        <v>139</v>
      </c>
      <c r="G24" s="45" t="s">
        <v>140</v>
      </c>
      <c r="H24" s="43"/>
      <c r="I24" s="44">
        <v>2</v>
      </c>
      <c r="J24" s="44" t="s">
        <v>31</v>
      </c>
      <c r="K24" s="44" t="s">
        <v>57</v>
      </c>
      <c r="L24" s="44">
        <v>1</v>
      </c>
      <c r="M24" s="44">
        <v>3</v>
      </c>
      <c r="N24" s="44">
        <v>10</v>
      </c>
      <c r="O24" s="43"/>
      <c r="P24" s="43"/>
      <c r="Q24" s="43"/>
      <c r="R24" s="43"/>
    </row>
    <row r="25" spans="2:18" s="42" customFormat="1" ht="58.5" customHeight="1">
      <c r="B25" s="43" t="s">
        <v>141</v>
      </c>
      <c r="C25" s="43" t="s">
        <v>142</v>
      </c>
      <c r="D25" s="44" t="s">
        <v>53</v>
      </c>
      <c r="E25" s="43" t="s">
        <v>143</v>
      </c>
      <c r="F25" s="43" t="s">
        <v>144</v>
      </c>
      <c r="G25" s="45" t="s">
        <v>145</v>
      </c>
      <c r="H25" s="43"/>
      <c r="I25" s="44">
        <v>2</v>
      </c>
      <c r="J25" s="44" t="s">
        <v>31</v>
      </c>
      <c r="K25" s="44" t="s">
        <v>57</v>
      </c>
      <c r="L25" s="44">
        <v>1</v>
      </c>
      <c r="M25" s="44">
        <v>3</v>
      </c>
      <c r="N25" s="44">
        <v>10</v>
      </c>
      <c r="O25" s="43"/>
      <c r="P25" s="43"/>
      <c r="Q25" s="43"/>
      <c r="R25" s="43"/>
    </row>
    <row r="26" spans="2:18" s="42" customFormat="1" ht="58.5" customHeight="1">
      <c r="B26" s="43" t="s">
        <v>146</v>
      </c>
      <c r="C26" s="43" t="s">
        <v>147</v>
      </c>
      <c r="D26" s="44" t="s">
        <v>148</v>
      </c>
      <c r="E26" s="43" t="s">
        <v>149</v>
      </c>
      <c r="F26" s="43" t="s">
        <v>150</v>
      </c>
      <c r="G26" s="45" t="s">
        <v>151</v>
      </c>
      <c r="H26" s="43"/>
      <c r="I26" s="44">
        <v>2</v>
      </c>
      <c r="J26" s="44" t="s">
        <v>31</v>
      </c>
      <c r="K26" s="44" t="s">
        <v>57</v>
      </c>
      <c r="L26" s="44">
        <v>1</v>
      </c>
      <c r="M26" s="44">
        <v>3</v>
      </c>
      <c r="N26" s="44">
        <v>20</v>
      </c>
      <c r="O26" s="43"/>
      <c r="P26" s="43"/>
      <c r="Q26" s="43"/>
      <c r="R26" s="43"/>
    </row>
    <row r="27" spans="2:18" s="42" customFormat="1" ht="58.5" customHeight="1">
      <c r="B27" s="43" t="s">
        <v>152</v>
      </c>
      <c r="C27" s="43" t="s">
        <v>153</v>
      </c>
      <c r="D27" s="44" t="s">
        <v>148</v>
      </c>
      <c r="E27" s="43" t="s">
        <v>154</v>
      </c>
      <c r="F27" s="43" t="s">
        <v>155</v>
      </c>
      <c r="G27" s="45" t="s">
        <v>156</v>
      </c>
      <c r="H27" s="43"/>
      <c r="I27" s="44">
        <v>1</v>
      </c>
      <c r="J27" s="44" t="s">
        <v>31</v>
      </c>
      <c r="K27" s="44" t="s">
        <v>57</v>
      </c>
      <c r="L27" s="44">
        <v>1</v>
      </c>
      <c r="M27" s="44">
        <v>3</v>
      </c>
      <c r="N27" s="44">
        <v>40</v>
      </c>
      <c r="O27" s="43"/>
      <c r="P27" s="43"/>
      <c r="Q27" s="43"/>
      <c r="R27" s="43"/>
    </row>
    <row r="28" spans="2:18" s="42" customFormat="1" ht="58.5" customHeight="1">
      <c r="B28" s="43" t="s">
        <v>157</v>
      </c>
      <c r="C28" s="43" t="s">
        <v>122</v>
      </c>
      <c r="D28" s="44" t="s">
        <v>148</v>
      </c>
      <c r="E28" s="43" t="s">
        <v>158</v>
      </c>
      <c r="F28" s="43" t="s">
        <v>159</v>
      </c>
      <c r="G28" s="45" t="s">
        <v>160</v>
      </c>
      <c r="H28" s="43"/>
      <c r="I28" s="44">
        <v>1</v>
      </c>
      <c r="J28" s="44" t="s">
        <v>31</v>
      </c>
      <c r="K28" s="44" t="s">
        <v>57</v>
      </c>
      <c r="L28" s="44">
        <v>1</v>
      </c>
      <c r="M28" s="44">
        <v>3</v>
      </c>
      <c r="N28" s="44">
        <v>15</v>
      </c>
      <c r="O28" s="43"/>
      <c r="P28" s="43"/>
      <c r="Q28" s="43"/>
      <c r="R28" s="43"/>
    </row>
    <row r="29" spans="2:18" s="42" customFormat="1" ht="58.5" customHeight="1">
      <c r="B29" s="47" t="s">
        <v>161</v>
      </c>
      <c r="C29" s="47" t="s">
        <v>162</v>
      </c>
      <c r="D29" s="44" t="s">
        <v>148</v>
      </c>
      <c r="E29" s="47" t="s">
        <v>163</v>
      </c>
      <c r="F29" s="47" t="s">
        <v>164</v>
      </c>
      <c r="G29" s="41" t="s">
        <v>165</v>
      </c>
      <c r="H29" s="47"/>
      <c r="I29" s="44">
        <v>2</v>
      </c>
      <c r="J29" s="44" t="s">
        <v>31</v>
      </c>
      <c r="K29" s="44" t="s">
        <v>57</v>
      </c>
      <c r="L29" s="44">
        <v>1</v>
      </c>
      <c r="M29" s="44">
        <v>3</v>
      </c>
      <c r="N29" s="44">
        <v>35</v>
      </c>
      <c r="O29" s="47"/>
      <c r="P29" s="47"/>
      <c r="Q29" s="47"/>
      <c r="R29" s="47"/>
    </row>
    <row r="30" spans="2:18" s="42" customFormat="1" ht="58.5" customHeight="1">
      <c r="B30" s="47" t="s">
        <v>166</v>
      </c>
      <c r="C30" s="47" t="s">
        <v>167</v>
      </c>
      <c r="D30" s="44" t="s">
        <v>53</v>
      </c>
      <c r="E30" s="47" t="s">
        <v>168</v>
      </c>
      <c r="F30" s="47" t="s">
        <v>169</v>
      </c>
      <c r="G30" s="41" t="s">
        <v>170</v>
      </c>
      <c r="H30" s="47"/>
      <c r="I30" s="44">
        <v>1</v>
      </c>
      <c r="J30" s="44" t="s">
        <v>31</v>
      </c>
      <c r="K30" s="44" t="s">
        <v>57</v>
      </c>
      <c r="L30" s="44">
        <v>1</v>
      </c>
      <c r="M30" s="44">
        <v>4</v>
      </c>
      <c r="N30" s="44">
        <v>20</v>
      </c>
      <c r="O30" s="47"/>
      <c r="P30" s="47"/>
      <c r="Q30" s="47"/>
      <c r="R30" s="47"/>
    </row>
    <row r="31" spans="2:18" s="42" customFormat="1" ht="58.5" customHeight="1">
      <c r="B31" s="47" t="s">
        <v>171</v>
      </c>
      <c r="C31" s="47" t="s">
        <v>172</v>
      </c>
      <c r="D31" s="44" t="s">
        <v>53</v>
      </c>
      <c r="E31" s="47" t="s">
        <v>173</v>
      </c>
      <c r="F31" s="47" t="s">
        <v>174</v>
      </c>
      <c r="G31" s="41" t="s">
        <v>175</v>
      </c>
      <c r="H31" s="47"/>
      <c r="I31" s="44">
        <v>1</v>
      </c>
      <c r="J31" s="44" t="s">
        <v>31</v>
      </c>
      <c r="K31" s="44" t="s">
        <v>57</v>
      </c>
      <c r="L31" s="44">
        <v>1</v>
      </c>
      <c r="M31" s="44">
        <v>4</v>
      </c>
      <c r="N31" s="44">
        <v>30</v>
      </c>
      <c r="O31" s="47"/>
      <c r="P31" s="47"/>
      <c r="Q31" s="47"/>
      <c r="R31" s="47"/>
    </row>
    <row r="32" spans="2:18" s="42" customFormat="1" ht="58.5" customHeight="1">
      <c r="B32" s="47" t="s">
        <v>176</v>
      </c>
      <c r="C32" s="47" t="s">
        <v>177</v>
      </c>
      <c r="D32" s="44" t="s">
        <v>53</v>
      </c>
      <c r="E32" s="47" t="s">
        <v>178</v>
      </c>
      <c r="F32" s="47" t="s">
        <v>179</v>
      </c>
      <c r="G32" s="41" t="s">
        <v>180</v>
      </c>
      <c r="H32" s="47"/>
      <c r="I32" s="44">
        <v>1</v>
      </c>
      <c r="J32" s="44" t="s">
        <v>31</v>
      </c>
      <c r="K32" s="44" t="s">
        <v>57</v>
      </c>
      <c r="L32" s="44">
        <v>1</v>
      </c>
      <c r="M32" s="44">
        <v>4</v>
      </c>
      <c r="N32" s="44">
        <v>25</v>
      </c>
      <c r="O32" s="47"/>
      <c r="P32" s="47"/>
      <c r="Q32" s="47"/>
      <c r="R32" s="47"/>
    </row>
    <row r="33" spans="2:18" s="42" customFormat="1" ht="58.5" customHeight="1">
      <c r="B33" s="47" t="s">
        <v>181</v>
      </c>
      <c r="C33" s="47" t="s">
        <v>182</v>
      </c>
      <c r="D33" s="44" t="s">
        <v>148</v>
      </c>
      <c r="E33" s="47" t="s">
        <v>183</v>
      </c>
      <c r="F33" s="47" t="s">
        <v>184</v>
      </c>
      <c r="G33" s="41" t="s">
        <v>185</v>
      </c>
      <c r="H33" s="47"/>
      <c r="I33" s="44">
        <v>2</v>
      </c>
      <c r="J33" s="44" t="s">
        <v>31</v>
      </c>
      <c r="K33" s="44" t="s">
        <v>57</v>
      </c>
      <c r="L33" s="44">
        <v>1</v>
      </c>
      <c r="M33" s="44">
        <v>4</v>
      </c>
      <c r="N33" s="44">
        <v>15</v>
      </c>
      <c r="O33" s="47"/>
      <c r="P33" s="47"/>
      <c r="Q33" s="47"/>
      <c r="R33" s="47"/>
    </row>
    <row r="34" spans="2:18" s="42" customFormat="1" ht="58.5" customHeight="1">
      <c r="B34" s="47" t="s">
        <v>186</v>
      </c>
      <c r="C34" s="47" t="s">
        <v>187</v>
      </c>
      <c r="D34" s="44" t="s">
        <v>148</v>
      </c>
      <c r="E34" s="47" t="s">
        <v>188</v>
      </c>
      <c r="F34" s="47" t="s">
        <v>189</v>
      </c>
      <c r="G34" s="41" t="s">
        <v>190</v>
      </c>
      <c r="H34" s="47"/>
      <c r="I34" s="44">
        <v>2</v>
      </c>
      <c r="J34" s="44" t="s">
        <v>31</v>
      </c>
      <c r="K34" s="44" t="s">
        <v>57</v>
      </c>
      <c r="L34" s="44">
        <v>1</v>
      </c>
      <c r="M34" s="44">
        <v>4</v>
      </c>
      <c r="N34" s="44">
        <v>20</v>
      </c>
      <c r="O34" s="47"/>
      <c r="P34" s="47"/>
      <c r="Q34" s="47"/>
      <c r="R34" s="47"/>
    </row>
    <row r="35" spans="2:18" ht="58.5" customHeight="1">
      <c r="B35" s="47" t="s">
        <v>191</v>
      </c>
      <c r="C35" s="47" t="s">
        <v>192</v>
      </c>
      <c r="D35" s="44" t="s">
        <v>148</v>
      </c>
      <c r="E35" s="47" t="s">
        <v>193</v>
      </c>
      <c r="F35" s="41" t="s">
        <v>194</v>
      </c>
      <c r="G35" s="48" t="s">
        <v>190</v>
      </c>
      <c r="H35" s="44"/>
      <c r="I35" s="44">
        <v>2</v>
      </c>
      <c r="J35" s="44" t="s">
        <v>31</v>
      </c>
      <c r="K35" s="44" t="s">
        <v>57</v>
      </c>
      <c r="L35" s="44">
        <v>1</v>
      </c>
      <c r="M35" s="44">
        <v>4</v>
      </c>
      <c r="N35" s="44">
        <v>20</v>
      </c>
      <c r="O35" s="47"/>
      <c r="P35" s="47"/>
      <c r="Q35" s="47"/>
      <c r="R35" s="47"/>
    </row>
    <row r="36" spans="2:18" ht="58.5" customHeight="1">
      <c r="B36" s="47" t="s">
        <v>195</v>
      </c>
      <c r="C36" s="47" t="s">
        <v>196</v>
      </c>
      <c r="D36" s="44" t="s">
        <v>5</v>
      </c>
      <c r="E36" s="47" t="s">
        <v>197</v>
      </c>
      <c r="F36" s="41" t="s">
        <v>198</v>
      </c>
      <c r="G36" s="48" t="s">
        <v>199</v>
      </c>
      <c r="H36" s="44"/>
      <c r="I36" s="44">
        <v>1</v>
      </c>
      <c r="J36" s="44" t="s">
        <v>31</v>
      </c>
      <c r="K36" s="44" t="s">
        <v>90</v>
      </c>
      <c r="L36" s="44">
        <v>1</v>
      </c>
      <c r="M36" s="44">
        <v>1</v>
      </c>
      <c r="N36" s="44">
        <v>55</v>
      </c>
      <c r="O36" s="47"/>
      <c r="P36" s="47"/>
      <c r="Q36" s="47"/>
      <c r="R36" s="47"/>
    </row>
    <row r="37" spans="2:18" ht="58.5" customHeight="1">
      <c r="B37" s="47" t="s">
        <v>200</v>
      </c>
      <c r="C37" s="47" t="s">
        <v>201</v>
      </c>
      <c r="D37" s="44" t="s">
        <v>5</v>
      </c>
      <c r="E37" s="47" t="s">
        <v>202</v>
      </c>
      <c r="F37" s="41" t="s">
        <v>203</v>
      </c>
      <c r="G37" s="48" t="s">
        <v>204</v>
      </c>
      <c r="H37" s="44"/>
      <c r="I37" s="44">
        <v>1</v>
      </c>
      <c r="J37" s="44" t="s">
        <v>31</v>
      </c>
      <c r="K37" s="44" t="s">
        <v>90</v>
      </c>
      <c r="L37" s="44">
        <v>1</v>
      </c>
      <c r="M37" s="44">
        <v>4</v>
      </c>
      <c r="N37" s="44">
        <v>25</v>
      </c>
      <c r="O37" s="47"/>
      <c r="P37" s="47"/>
      <c r="Q37" s="47"/>
      <c r="R37" s="47"/>
    </row>
    <row r="38" spans="2:18" ht="58.5" customHeight="1">
      <c r="B38" s="47" t="s">
        <v>205</v>
      </c>
      <c r="C38" s="47" t="s">
        <v>206</v>
      </c>
      <c r="D38" s="44" t="s">
        <v>53</v>
      </c>
      <c r="E38" s="47" t="s">
        <v>207</v>
      </c>
      <c r="F38" s="41" t="s">
        <v>208</v>
      </c>
      <c r="G38" s="48" t="s">
        <v>209</v>
      </c>
      <c r="H38" s="44"/>
      <c r="I38" s="44">
        <v>1</v>
      </c>
      <c r="J38" s="44" t="s">
        <v>31</v>
      </c>
      <c r="K38" s="44" t="s">
        <v>57</v>
      </c>
      <c r="L38" s="44">
        <v>1</v>
      </c>
      <c r="M38" s="44">
        <v>5</v>
      </c>
      <c r="N38" s="44">
        <v>80</v>
      </c>
      <c r="O38" s="47"/>
      <c r="P38" s="47"/>
      <c r="Q38" s="47"/>
      <c r="R38" s="47"/>
    </row>
    <row r="39" spans="2:18" ht="58.5" customHeight="1">
      <c r="B39" s="47" t="s">
        <v>210</v>
      </c>
      <c r="C39" s="47" t="s">
        <v>211</v>
      </c>
      <c r="D39" s="44" t="s">
        <v>53</v>
      </c>
      <c r="E39" s="47" t="s">
        <v>212</v>
      </c>
      <c r="F39" s="41" t="s">
        <v>213</v>
      </c>
      <c r="G39" s="48" t="s">
        <v>214</v>
      </c>
      <c r="H39" s="44"/>
      <c r="I39" s="44">
        <v>1</v>
      </c>
      <c r="J39" s="44" t="s">
        <v>31</v>
      </c>
      <c r="K39" s="44" t="s">
        <v>57</v>
      </c>
      <c r="L39" s="44">
        <v>1</v>
      </c>
      <c r="M39" s="44">
        <v>5</v>
      </c>
      <c r="N39" s="44">
        <v>15</v>
      </c>
      <c r="O39" s="47"/>
      <c r="P39" s="47"/>
      <c r="Q39" s="47"/>
      <c r="R39" s="47"/>
    </row>
    <row r="40" spans="2:18" ht="58.5" customHeight="1">
      <c r="B40" s="47" t="s">
        <v>215</v>
      </c>
      <c r="C40" s="47" t="s">
        <v>216</v>
      </c>
      <c r="D40" s="44" t="s">
        <v>53</v>
      </c>
      <c r="E40" s="47" t="s">
        <v>217</v>
      </c>
      <c r="F40" s="41" t="s">
        <v>218</v>
      </c>
      <c r="G40" s="48" t="s">
        <v>219</v>
      </c>
      <c r="H40" s="44"/>
      <c r="I40" s="44">
        <v>2</v>
      </c>
      <c r="J40" s="44" t="s">
        <v>31</v>
      </c>
      <c r="K40" s="44" t="s">
        <v>57</v>
      </c>
      <c r="L40" s="44">
        <v>1</v>
      </c>
      <c r="M40" s="44">
        <v>5</v>
      </c>
      <c r="N40" s="44">
        <v>30</v>
      </c>
      <c r="O40" s="47"/>
      <c r="P40" s="47"/>
      <c r="Q40" s="47"/>
      <c r="R40" s="47"/>
    </row>
    <row r="41" spans="2:18" ht="58.5" customHeight="1">
      <c r="B41" s="47" t="s">
        <v>220</v>
      </c>
      <c r="C41" s="47" t="s">
        <v>221</v>
      </c>
      <c r="D41" s="44" t="s">
        <v>53</v>
      </c>
      <c r="E41" s="47" t="s">
        <v>222</v>
      </c>
      <c r="F41" s="41" t="s">
        <v>223</v>
      </c>
      <c r="G41" s="48" t="s">
        <v>224</v>
      </c>
      <c r="H41" s="44"/>
      <c r="I41" s="44">
        <v>1</v>
      </c>
      <c r="J41" s="44" t="s">
        <v>31</v>
      </c>
      <c r="K41" s="44" t="s">
        <v>57</v>
      </c>
      <c r="L41" s="44">
        <v>1</v>
      </c>
      <c r="M41" s="44">
        <v>5</v>
      </c>
      <c r="N41" s="44">
        <v>20</v>
      </c>
      <c r="O41" s="47"/>
      <c r="P41" s="47"/>
      <c r="Q41" s="47"/>
      <c r="R41" s="47"/>
    </row>
    <row r="42" spans="2:18" ht="58.5" customHeight="1">
      <c r="B42" s="47" t="s">
        <v>225</v>
      </c>
      <c r="C42" s="47" t="s">
        <v>226</v>
      </c>
      <c r="D42" s="44" t="s">
        <v>70</v>
      </c>
      <c r="E42" s="47" t="s">
        <v>227</v>
      </c>
      <c r="F42" s="41" t="s">
        <v>228</v>
      </c>
      <c r="G42" s="48" t="s">
        <v>229</v>
      </c>
      <c r="H42" s="44"/>
      <c r="I42" s="44">
        <v>1</v>
      </c>
      <c r="J42" s="44" t="s">
        <v>31</v>
      </c>
      <c r="K42" s="44" t="s">
        <v>57</v>
      </c>
      <c r="L42" s="44">
        <v>1</v>
      </c>
      <c r="M42" s="44">
        <v>5</v>
      </c>
      <c r="N42" s="44">
        <v>25</v>
      </c>
      <c r="O42" s="47"/>
      <c r="P42" s="47"/>
      <c r="Q42" s="47"/>
      <c r="R42" s="47"/>
    </row>
    <row r="43" spans="2:18" ht="58.5" customHeight="1">
      <c r="B43" s="47" t="s">
        <v>230</v>
      </c>
      <c r="C43" s="47" t="s">
        <v>231</v>
      </c>
      <c r="D43" s="44" t="s">
        <v>70</v>
      </c>
      <c r="E43" s="47" t="s">
        <v>232</v>
      </c>
      <c r="F43" s="41" t="s">
        <v>233</v>
      </c>
      <c r="G43" s="48" t="s">
        <v>234</v>
      </c>
      <c r="H43" s="44"/>
      <c r="I43" s="44">
        <v>2</v>
      </c>
      <c r="J43" s="44" t="s">
        <v>31</v>
      </c>
      <c r="K43" s="44" t="s">
        <v>57</v>
      </c>
      <c r="L43" s="44">
        <v>1</v>
      </c>
      <c r="M43" s="44">
        <v>5</v>
      </c>
      <c r="N43" s="44">
        <v>20</v>
      </c>
      <c r="O43" s="47"/>
      <c r="P43" s="47"/>
      <c r="Q43" s="47"/>
      <c r="R43" s="47"/>
    </row>
    <row r="44" spans="2:18" ht="58.5" customHeight="1">
      <c r="B44" s="47" t="s">
        <v>235</v>
      </c>
      <c r="C44" s="47" t="s">
        <v>236</v>
      </c>
      <c r="D44" s="44" t="s">
        <v>53</v>
      </c>
      <c r="E44" s="47" t="s">
        <v>237</v>
      </c>
      <c r="F44" s="41" t="s">
        <v>238</v>
      </c>
      <c r="G44" s="48" t="s">
        <v>239</v>
      </c>
      <c r="H44" s="44"/>
      <c r="I44" s="44">
        <v>1</v>
      </c>
      <c r="J44" s="44" t="s">
        <v>31</v>
      </c>
      <c r="K44" s="44" t="s">
        <v>57</v>
      </c>
      <c r="L44" s="44">
        <v>1</v>
      </c>
      <c r="M44" s="44">
        <v>6</v>
      </c>
      <c r="N44" s="44">
        <v>45</v>
      </c>
      <c r="O44" s="47"/>
      <c r="P44" s="47"/>
      <c r="Q44" s="47"/>
      <c r="R44" s="47"/>
    </row>
    <row r="45" spans="2:18" ht="58.5" customHeight="1">
      <c r="B45" s="47" t="s">
        <v>240</v>
      </c>
      <c r="C45" s="47" t="s">
        <v>241</v>
      </c>
      <c r="D45" s="44" t="s">
        <v>148</v>
      </c>
      <c r="E45" s="47" t="s">
        <v>242</v>
      </c>
      <c r="F45" s="41" t="s">
        <v>243</v>
      </c>
      <c r="G45" s="47" t="s">
        <v>244</v>
      </c>
      <c r="H45" s="44"/>
      <c r="I45" s="44">
        <v>2</v>
      </c>
      <c r="J45" s="44" t="s">
        <v>31</v>
      </c>
      <c r="K45" s="44" t="s">
        <v>57</v>
      </c>
      <c r="L45" s="44">
        <v>1</v>
      </c>
      <c r="M45" s="44">
        <v>6</v>
      </c>
      <c r="N45" s="44">
        <v>10</v>
      </c>
      <c r="O45" s="47"/>
      <c r="P45" s="47"/>
      <c r="Q45" s="47"/>
      <c r="R45" s="47"/>
    </row>
    <row r="46" spans="2:18" ht="58.5" customHeight="1">
      <c r="B46" s="47" t="s">
        <v>245</v>
      </c>
      <c r="C46" s="47" t="s">
        <v>246</v>
      </c>
      <c r="D46" s="44" t="s">
        <v>70</v>
      </c>
      <c r="E46" s="47" t="s">
        <v>247</v>
      </c>
      <c r="F46" s="41" t="s">
        <v>248</v>
      </c>
      <c r="G46" s="48" t="s">
        <v>249</v>
      </c>
      <c r="H46" s="44" t="s">
        <v>250</v>
      </c>
      <c r="I46" s="44">
        <v>1</v>
      </c>
      <c r="J46" s="44" t="s">
        <v>31</v>
      </c>
      <c r="K46" s="44" t="s">
        <v>57</v>
      </c>
      <c r="L46" s="44">
        <v>1</v>
      </c>
      <c r="M46" s="44">
        <v>6</v>
      </c>
      <c r="N46" s="44">
        <v>40</v>
      </c>
      <c r="O46" s="47"/>
      <c r="P46" s="47"/>
      <c r="Q46" s="47"/>
      <c r="R46" s="47"/>
    </row>
    <row r="47" spans="2:18" ht="58.5" customHeight="1">
      <c r="B47" s="47" t="s">
        <v>251</v>
      </c>
      <c r="C47" s="47" t="s">
        <v>252</v>
      </c>
      <c r="D47" s="44" t="s">
        <v>70</v>
      </c>
      <c r="E47" s="47" t="s">
        <v>253</v>
      </c>
      <c r="F47" s="41" t="s">
        <v>254</v>
      </c>
      <c r="G47" s="48" t="s">
        <v>255</v>
      </c>
      <c r="H47" s="44"/>
      <c r="I47" s="44">
        <v>1</v>
      </c>
      <c r="J47" s="44" t="s">
        <v>31</v>
      </c>
      <c r="K47" s="44" t="s">
        <v>57</v>
      </c>
      <c r="L47" s="44">
        <v>1</v>
      </c>
      <c r="M47" s="44">
        <v>6</v>
      </c>
      <c r="N47" s="44">
        <v>25</v>
      </c>
      <c r="O47" s="47"/>
      <c r="P47" s="47"/>
      <c r="Q47" s="47"/>
      <c r="R47" s="47"/>
    </row>
    <row r="48" spans="2:18" ht="58.5" customHeight="1">
      <c r="B48" s="47" t="s">
        <v>256</v>
      </c>
      <c r="C48" s="47" t="s">
        <v>257</v>
      </c>
      <c r="D48" s="44" t="s">
        <v>5</v>
      </c>
      <c r="E48" s="47" t="s">
        <v>258</v>
      </c>
      <c r="F48" s="41" t="s">
        <v>259</v>
      </c>
      <c r="G48" s="48" t="s">
        <v>260</v>
      </c>
      <c r="H48" s="44"/>
      <c r="I48" s="44">
        <v>1</v>
      </c>
      <c r="J48" s="44" t="s">
        <v>31</v>
      </c>
      <c r="K48" s="44" t="s">
        <v>90</v>
      </c>
      <c r="L48" s="44">
        <v>1</v>
      </c>
      <c r="M48" s="44">
        <v>6</v>
      </c>
      <c r="N48" s="44">
        <v>70</v>
      </c>
      <c r="O48" s="47"/>
      <c r="P48" s="47"/>
      <c r="Q48" s="47"/>
      <c r="R48" s="47"/>
    </row>
    <row r="49" spans="5:14" ht="58.5" customHeight="1">
      <c r="E49" s="28"/>
      <c r="F49" s="28"/>
      <c r="G49" s="29"/>
      <c r="H49" s="28"/>
      <c r="I49" s="1"/>
      <c r="J49" s="1"/>
      <c r="K49" s="1"/>
      <c r="L49" s="1"/>
      <c r="M49" s="1" t="s">
        <v>261</v>
      </c>
      <c r="N49" s="1">
        <f>SUM(N7:N48)</f>
        <v>1130</v>
      </c>
    </row>
    <row r="50" spans="5:14" ht="58.5" customHeight="1">
      <c r="E50" s="28"/>
      <c r="F50" s="28"/>
      <c r="G50" s="29"/>
      <c r="H50" s="28"/>
      <c r="I50" s="1"/>
      <c r="J50" s="1"/>
      <c r="K50" s="1"/>
      <c r="L50" s="1"/>
      <c r="M50" s="1"/>
      <c r="N50" s="1"/>
    </row>
    <row r="51" spans="5:14" ht="58.5" customHeight="1">
      <c r="E51" s="28"/>
      <c r="F51" s="28"/>
      <c r="G51" s="29"/>
      <c r="H51" s="28"/>
      <c r="I51" s="1"/>
      <c r="J51" s="1"/>
      <c r="K51" s="1"/>
      <c r="L51" s="1"/>
      <c r="M51" s="1"/>
      <c r="N51" s="1"/>
    </row>
    <row r="52" spans="5:14" ht="58.5" customHeight="1">
      <c r="E52" s="28"/>
      <c r="F52" s="28"/>
      <c r="G52" s="29"/>
      <c r="H52" s="28"/>
      <c r="I52" s="1"/>
      <c r="J52" s="1"/>
      <c r="K52" s="1"/>
      <c r="L52" s="1"/>
      <c r="M52" s="1"/>
      <c r="N52" s="1"/>
    </row>
    <row r="53" spans="5:14" ht="58.5" customHeight="1">
      <c r="E53" s="28"/>
      <c r="F53" s="28"/>
      <c r="G53" s="29"/>
      <c r="H53" s="28"/>
      <c r="I53" s="1"/>
      <c r="J53" s="1"/>
      <c r="K53" s="1"/>
      <c r="L53" s="1"/>
      <c r="M53" s="1"/>
      <c r="N53" s="1"/>
    </row>
    <row r="54" spans="5:14" ht="58.5" customHeight="1">
      <c r="E54" s="28"/>
      <c r="F54" s="28"/>
      <c r="G54" s="29"/>
      <c r="H54" s="28"/>
      <c r="I54" s="1"/>
      <c r="J54" s="1"/>
      <c r="K54" s="1"/>
      <c r="L54" s="1"/>
      <c r="M54" s="1"/>
      <c r="N54" s="1"/>
    </row>
    <row r="55" spans="5:14" ht="58.5" customHeight="1">
      <c r="E55" s="28"/>
      <c r="F55" s="28"/>
      <c r="G55" s="29"/>
      <c r="H55" s="28"/>
      <c r="I55" s="1"/>
      <c r="J55" s="1"/>
      <c r="K55" s="1"/>
      <c r="L55" s="1"/>
      <c r="M55" s="1"/>
      <c r="N55" s="1"/>
    </row>
    <row r="56" spans="5:14" ht="58.5" customHeight="1">
      <c r="E56" s="28"/>
      <c r="F56" s="28"/>
      <c r="G56" s="29"/>
      <c r="H56" s="28"/>
      <c r="I56" s="1"/>
      <c r="J56" s="1"/>
      <c r="K56" s="1"/>
      <c r="L56" s="1"/>
      <c r="M56" s="1"/>
      <c r="N56" s="1"/>
    </row>
    <row r="57" spans="5:14" ht="58.5" customHeight="1">
      <c r="E57" s="28"/>
      <c r="F57" s="28"/>
      <c r="G57" s="29"/>
      <c r="H57" s="28"/>
      <c r="I57" s="1"/>
      <c r="J57" s="1"/>
      <c r="K57" s="1"/>
      <c r="L57" s="1"/>
      <c r="M57" s="1"/>
      <c r="N57" s="1"/>
    </row>
    <row r="58" spans="5:14" ht="58.5" customHeight="1">
      <c r="E58" s="28"/>
      <c r="F58" s="28"/>
      <c r="G58" s="29"/>
      <c r="H58" s="28"/>
      <c r="I58" s="1"/>
      <c r="J58" s="1"/>
      <c r="K58" s="1"/>
      <c r="L58" s="1"/>
      <c r="M58" s="1"/>
      <c r="N58" s="1"/>
    </row>
    <row r="59" spans="5:14" ht="58.5" customHeight="1">
      <c r="E59" s="28"/>
      <c r="F59" s="28"/>
      <c r="G59" s="29"/>
      <c r="H59" s="28"/>
      <c r="I59" s="1"/>
      <c r="J59" s="1"/>
      <c r="K59" s="1"/>
      <c r="L59" s="1"/>
      <c r="M59" s="1"/>
      <c r="N59" s="1"/>
    </row>
    <row r="60" spans="5:14" ht="58.5" customHeight="1">
      <c r="E60" s="28"/>
      <c r="F60" s="28"/>
      <c r="G60" s="29"/>
      <c r="H60" s="28"/>
      <c r="I60" s="1"/>
      <c r="J60" s="1"/>
      <c r="K60" s="1"/>
      <c r="L60" s="1"/>
      <c r="M60" s="1"/>
      <c r="N60" s="1"/>
    </row>
    <row r="61" spans="5:14" ht="13.5" customHeight="1">
      <c r="E61" s="28"/>
      <c r="F61" s="28"/>
      <c r="G61" s="29"/>
      <c r="H61" s="28"/>
      <c r="I61" s="1"/>
      <c r="J61" s="1"/>
      <c r="K61" s="1"/>
      <c r="L61" s="1"/>
      <c r="M61" s="1"/>
      <c r="N61" s="1"/>
    </row>
    <row r="62" spans="5:14" ht="13.5" customHeight="1">
      <c r="E62" s="28"/>
      <c r="F62" s="28"/>
      <c r="G62" s="29"/>
      <c r="H62" s="28"/>
      <c r="I62" s="1"/>
      <c r="J62" s="1"/>
      <c r="K62" s="1"/>
      <c r="L62" s="1"/>
      <c r="M62" s="1"/>
      <c r="N62" s="1"/>
    </row>
    <row r="63" spans="5:14" ht="13.5" customHeight="1">
      <c r="E63" s="28"/>
      <c r="F63" s="28"/>
      <c r="G63" s="29"/>
      <c r="H63" s="28"/>
      <c r="I63" s="1"/>
      <c r="J63" s="1"/>
      <c r="K63" s="1"/>
      <c r="L63" s="1"/>
      <c r="M63" s="1"/>
      <c r="N63" s="1"/>
    </row>
    <row r="64" spans="5:14" ht="13.5" customHeight="1">
      <c r="E64" s="28"/>
      <c r="F64" s="28"/>
      <c r="G64" s="29"/>
      <c r="H64" s="28"/>
      <c r="I64" s="1"/>
      <c r="J64" s="1"/>
      <c r="K64" s="1"/>
      <c r="L64" s="1"/>
      <c r="M64" s="1"/>
      <c r="N64" s="1"/>
    </row>
    <row r="65" spans="5:8" ht="13.5" customHeight="1">
      <c r="E65" s="28"/>
      <c r="F65" s="28"/>
      <c r="G65" s="29"/>
      <c r="H65" s="28"/>
    </row>
    <row r="66" spans="5:8" ht="13.5" customHeight="1">
      <c r="E66" s="28"/>
      <c r="F66" s="28"/>
      <c r="G66" s="29"/>
      <c r="H66" s="28"/>
    </row>
    <row r="67" spans="5:8" ht="13.5" customHeight="1">
      <c r="E67" s="28"/>
      <c r="F67" s="28"/>
      <c r="G67" s="29"/>
      <c r="H67" s="28"/>
    </row>
    <row r="68" spans="5:8" ht="13.5" customHeight="1">
      <c r="E68" s="28"/>
      <c r="F68" s="28"/>
      <c r="G68" s="29"/>
      <c r="H68" s="28"/>
    </row>
    <row r="69" spans="5:8" ht="13.5" customHeight="1">
      <c r="E69" s="28"/>
      <c r="F69" s="28"/>
      <c r="G69" s="29"/>
      <c r="H69" s="28"/>
    </row>
    <row r="70" spans="5:8" ht="13.5" customHeight="1">
      <c r="E70" s="28"/>
      <c r="F70" s="28"/>
      <c r="G70" s="29"/>
      <c r="H70" s="28"/>
    </row>
    <row r="71" spans="5:8" ht="13.5" customHeight="1">
      <c r="E71" s="28"/>
      <c r="F71" s="28"/>
      <c r="G71" s="29"/>
      <c r="H71" s="28"/>
    </row>
    <row r="72" spans="5:8" ht="13.5" customHeight="1">
      <c r="E72" s="28"/>
      <c r="F72" s="28"/>
      <c r="G72" s="29"/>
      <c r="H72" s="28"/>
    </row>
    <row r="73" spans="5:8" ht="13.5" customHeight="1">
      <c r="E73" s="28"/>
      <c r="F73" s="28"/>
      <c r="G73" s="29"/>
      <c r="H73" s="28"/>
    </row>
    <row r="74" spans="5:8" ht="13.5" customHeight="1">
      <c r="E74" s="28"/>
      <c r="F74" s="28"/>
      <c r="G74" s="29"/>
      <c r="H74" s="28"/>
    </row>
    <row r="75" spans="5:8" ht="13.5" customHeight="1">
      <c r="E75" s="28"/>
      <c r="F75" s="28"/>
      <c r="G75" s="29"/>
      <c r="H75" s="28"/>
    </row>
    <row r="76" spans="5:8" ht="13.5" customHeight="1">
      <c r="E76" s="28"/>
      <c r="F76" s="28"/>
      <c r="G76" s="29"/>
      <c r="H76" s="28"/>
    </row>
    <row r="77" spans="5:8" ht="13.5" customHeight="1">
      <c r="E77" s="28"/>
      <c r="F77" s="28"/>
      <c r="G77" s="29"/>
      <c r="H77" s="28"/>
    </row>
    <row r="78" spans="5:8" ht="13.5" customHeight="1">
      <c r="E78" s="28"/>
      <c r="F78" s="28"/>
      <c r="G78" s="29"/>
      <c r="H78" s="28"/>
    </row>
    <row r="79" spans="5:8" ht="13.5" customHeight="1">
      <c r="E79" s="28"/>
      <c r="F79" s="28"/>
      <c r="G79" s="29"/>
      <c r="H79" s="28"/>
    </row>
    <row r="80" spans="5:8" ht="13.5" customHeight="1">
      <c r="E80" s="28"/>
      <c r="F80" s="28"/>
      <c r="G80" s="29"/>
      <c r="H80" s="28"/>
    </row>
    <row r="81" spans="5:8" ht="13.5" customHeight="1">
      <c r="E81" s="28"/>
      <c r="F81" s="28"/>
      <c r="G81" s="29"/>
      <c r="H81" s="28"/>
    </row>
    <row r="82" spans="5:8" ht="13.5" customHeight="1">
      <c r="E82" s="28"/>
      <c r="F82" s="28"/>
      <c r="G82" s="29"/>
      <c r="H82" s="28"/>
    </row>
    <row r="83" spans="5:8" ht="13.5" customHeight="1">
      <c r="E83" s="28"/>
      <c r="F83" s="28"/>
      <c r="G83" s="29"/>
      <c r="H83" s="28"/>
    </row>
    <row r="84" spans="5:8" ht="13.5" customHeight="1">
      <c r="E84" s="28"/>
      <c r="F84" s="28"/>
      <c r="G84" s="29"/>
      <c r="H84" s="28"/>
    </row>
    <row r="85" spans="5:8" ht="13.5" customHeight="1">
      <c r="E85" s="28"/>
      <c r="F85" s="28"/>
      <c r="G85" s="29"/>
      <c r="H85" s="28"/>
    </row>
    <row r="86" spans="5:8" ht="13.5" customHeight="1">
      <c r="E86" s="28"/>
      <c r="F86" s="28"/>
      <c r="G86" s="29"/>
      <c r="H86" s="28"/>
    </row>
    <row r="87" spans="5:8" ht="13.5" customHeight="1">
      <c r="E87" s="28"/>
      <c r="F87" s="28"/>
      <c r="G87" s="29"/>
      <c r="H87" s="28"/>
    </row>
    <row r="88" spans="5:8" ht="13.5" customHeight="1">
      <c r="E88" s="28"/>
      <c r="F88" s="28"/>
      <c r="G88" s="29"/>
      <c r="H88" s="28"/>
    </row>
    <row r="89" spans="5:8" ht="13.5" customHeight="1">
      <c r="E89" s="28"/>
      <c r="F89" s="28"/>
      <c r="G89" s="29"/>
      <c r="H89" s="28"/>
    </row>
    <row r="90" spans="5:8" ht="13.5" customHeight="1">
      <c r="E90" s="28"/>
      <c r="F90" s="28"/>
      <c r="G90" s="29"/>
      <c r="H90" s="28"/>
    </row>
    <row r="91" spans="5:8" ht="13.5" customHeight="1">
      <c r="E91" s="28"/>
      <c r="F91" s="28"/>
      <c r="G91" s="29"/>
      <c r="H91" s="28"/>
    </row>
    <row r="92" spans="5:8" ht="13.5" customHeight="1">
      <c r="E92" s="28"/>
      <c r="F92" s="28"/>
      <c r="G92" s="29"/>
      <c r="H92" s="28"/>
    </row>
    <row r="93" spans="5:8" ht="13.5" customHeight="1">
      <c r="E93" s="28"/>
      <c r="F93" s="28"/>
      <c r="G93" s="29"/>
      <c r="H93" s="28"/>
    </row>
    <row r="94" spans="5:8" ht="13.5" customHeight="1">
      <c r="E94" s="28"/>
      <c r="F94" s="28"/>
      <c r="G94" s="29"/>
      <c r="H94" s="28"/>
    </row>
    <row r="95" spans="5:8" ht="13.5" customHeight="1">
      <c r="E95" s="28"/>
      <c r="F95" s="28"/>
      <c r="G95" s="29"/>
      <c r="H95" s="28"/>
    </row>
    <row r="96" spans="5:8" ht="13.5" customHeight="1">
      <c r="E96" s="28"/>
      <c r="F96" s="28"/>
      <c r="G96" s="29"/>
      <c r="H96" s="28"/>
    </row>
    <row r="97" spans="5:8" ht="13.5" customHeight="1">
      <c r="E97" s="28"/>
      <c r="F97" s="28"/>
      <c r="G97" s="29"/>
      <c r="H97" s="28"/>
    </row>
    <row r="98" spans="5:8" ht="13.5" customHeight="1">
      <c r="E98" s="28"/>
      <c r="F98" s="28"/>
      <c r="G98" s="29"/>
      <c r="H98" s="28"/>
    </row>
    <row r="99" spans="5:8" ht="13.5" customHeight="1">
      <c r="E99" s="28"/>
      <c r="F99" s="28"/>
      <c r="G99" s="29"/>
      <c r="H99" s="28"/>
    </row>
    <row r="100" spans="5:8" ht="13.5" customHeight="1">
      <c r="E100" s="28"/>
      <c r="F100" s="28"/>
      <c r="G100" s="29"/>
      <c r="H100" s="28"/>
    </row>
    <row r="101" spans="5:8" ht="13.5" customHeight="1">
      <c r="E101" s="28"/>
      <c r="F101" s="28"/>
      <c r="G101" s="29"/>
      <c r="H101" s="28"/>
    </row>
    <row r="102" spans="5:8" ht="13.5" customHeight="1">
      <c r="E102" s="28"/>
      <c r="F102" s="28"/>
      <c r="G102" s="29"/>
      <c r="H102" s="28"/>
    </row>
    <row r="103" spans="5:8" ht="13.5" customHeight="1">
      <c r="E103" s="28"/>
      <c r="F103" s="28"/>
      <c r="G103" s="29"/>
      <c r="H103" s="28"/>
    </row>
    <row r="104" spans="5:8" ht="13.5" customHeight="1">
      <c r="E104" s="28"/>
      <c r="F104" s="28"/>
      <c r="G104" s="29"/>
      <c r="H104" s="28"/>
    </row>
    <row r="105" spans="5:8" ht="13.5" customHeight="1">
      <c r="E105" s="28"/>
      <c r="F105" s="28"/>
      <c r="G105" s="29"/>
      <c r="H105" s="28"/>
    </row>
    <row r="106" spans="5:8" ht="13.5" customHeight="1">
      <c r="E106" s="28"/>
      <c r="F106" s="28"/>
      <c r="G106" s="29"/>
      <c r="H106" s="28"/>
    </row>
    <row r="107" spans="5:8" ht="13.5" customHeight="1">
      <c r="E107" s="28"/>
      <c r="F107" s="28"/>
      <c r="G107" s="29"/>
      <c r="H107" s="28"/>
    </row>
    <row r="108" spans="5:8" ht="13.5" customHeight="1">
      <c r="E108" s="28"/>
      <c r="F108" s="28"/>
      <c r="G108" s="29"/>
      <c r="H108" s="28"/>
    </row>
    <row r="109" spans="5:8" ht="13.5" customHeight="1">
      <c r="E109" s="28"/>
      <c r="F109" s="28"/>
      <c r="G109" s="29"/>
      <c r="H109" s="28"/>
    </row>
    <row r="110" spans="5:8" ht="13.5" customHeight="1">
      <c r="E110" s="28"/>
      <c r="F110" s="28"/>
      <c r="G110" s="29"/>
      <c r="H110" s="28"/>
    </row>
    <row r="111" spans="5:8" ht="13.5" customHeight="1">
      <c r="E111" s="28"/>
      <c r="F111" s="28"/>
      <c r="G111" s="29"/>
      <c r="H111" s="28"/>
    </row>
    <row r="112" spans="5:8" ht="13.5" customHeight="1">
      <c r="E112" s="28"/>
      <c r="F112" s="28"/>
      <c r="G112" s="29"/>
      <c r="H112" s="28"/>
    </row>
    <row r="113" spans="5:8" ht="13.5" customHeight="1">
      <c r="E113" s="28"/>
      <c r="F113" s="28"/>
      <c r="G113" s="29"/>
      <c r="H113" s="28"/>
    </row>
    <row r="114" spans="5:8" ht="13.5" customHeight="1">
      <c r="E114" s="28"/>
      <c r="F114" s="28"/>
      <c r="G114" s="29"/>
      <c r="H114" s="28"/>
    </row>
    <row r="115" spans="5:8" ht="13.5" customHeight="1">
      <c r="E115" s="28"/>
      <c r="F115" s="28"/>
      <c r="G115" s="29"/>
      <c r="H115" s="28"/>
    </row>
    <row r="116" spans="5:8" ht="13.5" customHeight="1">
      <c r="E116" s="28"/>
      <c r="F116" s="28"/>
      <c r="G116" s="29"/>
      <c r="H116" s="28"/>
    </row>
    <row r="117" spans="5:8" ht="13.5" customHeight="1">
      <c r="E117" s="28"/>
      <c r="F117" s="28"/>
      <c r="G117" s="29"/>
      <c r="H117" s="28"/>
    </row>
    <row r="118" spans="5:8" ht="13.5" customHeight="1">
      <c r="E118" s="28"/>
      <c r="F118" s="28"/>
      <c r="G118" s="29"/>
      <c r="H118" s="28"/>
    </row>
    <row r="119" spans="5:8" ht="13.5" customHeight="1">
      <c r="E119" s="28"/>
      <c r="F119" s="28"/>
      <c r="G119" s="29"/>
      <c r="H119" s="28"/>
    </row>
    <row r="120" spans="5:8" ht="13.5" customHeight="1">
      <c r="E120" s="28"/>
      <c r="F120" s="28"/>
      <c r="G120" s="29"/>
      <c r="H120" s="28"/>
    </row>
    <row r="121" spans="5:8" ht="13.5" customHeight="1">
      <c r="E121" s="28"/>
      <c r="F121" s="28"/>
      <c r="G121" s="29"/>
      <c r="H121" s="28"/>
    </row>
    <row r="122" spans="5:8" ht="13.5" customHeight="1">
      <c r="E122" s="28"/>
      <c r="F122" s="28"/>
      <c r="G122" s="29"/>
      <c r="H122" s="28"/>
    </row>
    <row r="123" spans="5:8" ht="13.5" customHeight="1">
      <c r="E123" s="28"/>
      <c r="F123" s="28"/>
      <c r="G123" s="29"/>
      <c r="H123" s="28"/>
    </row>
    <row r="124" spans="5:8" ht="13.5" customHeight="1">
      <c r="E124" s="28"/>
      <c r="F124" s="28"/>
      <c r="G124" s="29"/>
      <c r="H124" s="28"/>
    </row>
    <row r="125" spans="5:8" ht="13.5" customHeight="1">
      <c r="E125" s="28"/>
      <c r="F125" s="28"/>
      <c r="G125" s="29"/>
      <c r="H125" s="28"/>
    </row>
    <row r="126" spans="5:8" ht="13.5" customHeight="1">
      <c r="E126" s="28"/>
      <c r="F126" s="28"/>
      <c r="G126" s="29"/>
      <c r="H126" s="28"/>
    </row>
    <row r="127" spans="5:8" ht="13.5" customHeight="1">
      <c r="E127" s="28"/>
      <c r="F127" s="28"/>
      <c r="G127" s="29"/>
      <c r="H127" s="28"/>
    </row>
    <row r="128" spans="5:8" ht="13.5" customHeight="1">
      <c r="E128" s="28"/>
      <c r="F128" s="28"/>
      <c r="G128" s="29"/>
      <c r="H128" s="28"/>
    </row>
    <row r="129" spans="5:8" ht="13.5" customHeight="1">
      <c r="E129" s="28"/>
      <c r="F129" s="28"/>
      <c r="G129" s="29"/>
      <c r="H129" s="28"/>
    </row>
    <row r="130" spans="5:8" ht="13.5" customHeight="1">
      <c r="E130" s="28"/>
      <c r="F130" s="28"/>
      <c r="G130" s="29"/>
      <c r="H130" s="28"/>
    </row>
    <row r="131" spans="5:8" ht="13.5" customHeight="1">
      <c r="E131" s="28"/>
      <c r="F131" s="28"/>
      <c r="G131" s="29"/>
      <c r="H131" s="28"/>
    </row>
    <row r="132" spans="5:8" ht="13.5" customHeight="1">
      <c r="E132" s="28"/>
      <c r="F132" s="28"/>
      <c r="G132" s="29"/>
      <c r="H132" s="28"/>
    </row>
    <row r="133" spans="5:8" ht="13.5" customHeight="1">
      <c r="E133" s="28"/>
      <c r="F133" s="28"/>
      <c r="G133" s="29"/>
      <c r="H133" s="28"/>
    </row>
    <row r="134" spans="5:8" ht="13.5" customHeight="1">
      <c r="E134" s="28"/>
      <c r="F134" s="28"/>
      <c r="G134" s="29"/>
      <c r="H134" s="28"/>
    </row>
    <row r="135" spans="5:8" ht="13.5" customHeight="1">
      <c r="E135" s="28"/>
      <c r="F135" s="28"/>
      <c r="G135" s="29"/>
      <c r="H135" s="28"/>
    </row>
    <row r="136" spans="5:8" ht="13.5" customHeight="1">
      <c r="E136" s="28"/>
      <c r="F136" s="28"/>
      <c r="G136" s="29"/>
      <c r="H136" s="28"/>
    </row>
    <row r="137" spans="5:8" ht="13.5" customHeight="1">
      <c r="E137" s="28"/>
      <c r="F137" s="28"/>
      <c r="G137" s="29"/>
      <c r="H137" s="28"/>
    </row>
    <row r="138" spans="5:8" ht="13.5" customHeight="1">
      <c r="E138" s="28"/>
      <c r="F138" s="28"/>
      <c r="G138" s="29"/>
      <c r="H138" s="28"/>
    </row>
    <row r="139" spans="5:8" ht="13.5" customHeight="1">
      <c r="E139" s="28"/>
      <c r="F139" s="28"/>
      <c r="G139" s="29"/>
      <c r="H139" s="28"/>
    </row>
    <row r="140" spans="5:8" ht="13.5" customHeight="1">
      <c r="E140" s="28"/>
      <c r="F140" s="28"/>
      <c r="G140" s="29"/>
      <c r="H140" s="28"/>
    </row>
    <row r="141" spans="5:8" ht="13.5" customHeight="1">
      <c r="E141" s="28"/>
      <c r="F141" s="28"/>
      <c r="G141" s="29"/>
      <c r="H141" s="28"/>
    </row>
    <row r="142" spans="5:8" ht="13.5" customHeight="1">
      <c r="E142" s="28"/>
      <c r="F142" s="28"/>
      <c r="G142" s="29"/>
      <c r="H142" s="28"/>
    </row>
    <row r="143" spans="5:8" ht="13.5" customHeight="1">
      <c r="E143" s="28"/>
      <c r="F143" s="28"/>
      <c r="G143" s="29"/>
      <c r="H143" s="28"/>
    </row>
    <row r="144" spans="5:8" ht="13.5" customHeight="1">
      <c r="E144" s="28"/>
      <c r="F144" s="28"/>
      <c r="G144" s="29"/>
      <c r="H144" s="28"/>
    </row>
    <row r="145" spans="5:8" ht="13.5" customHeight="1">
      <c r="E145" s="28"/>
      <c r="F145" s="28"/>
      <c r="G145" s="29"/>
      <c r="H145" s="28"/>
    </row>
    <row r="146" spans="5:8" ht="13.5" customHeight="1">
      <c r="E146" s="28"/>
      <c r="F146" s="28"/>
      <c r="G146" s="29"/>
      <c r="H146" s="28"/>
    </row>
    <row r="147" spans="5:8" ht="13.5" customHeight="1">
      <c r="E147" s="28"/>
      <c r="F147" s="28"/>
      <c r="G147" s="29"/>
      <c r="H147" s="28"/>
    </row>
    <row r="148" spans="5:8" ht="13.5" customHeight="1">
      <c r="E148" s="28"/>
      <c r="F148" s="28"/>
      <c r="G148" s="29"/>
      <c r="H148" s="28"/>
    </row>
    <row r="149" spans="5:8" ht="13.5" customHeight="1">
      <c r="E149" s="28"/>
      <c r="F149" s="28"/>
      <c r="G149" s="29"/>
      <c r="H149" s="28"/>
    </row>
    <row r="150" spans="5:8" ht="13.5" customHeight="1">
      <c r="E150" s="28"/>
      <c r="F150" s="28"/>
      <c r="G150" s="29"/>
      <c r="H150" s="28"/>
    </row>
    <row r="151" spans="5:8" ht="13.5" customHeight="1">
      <c r="E151" s="28"/>
      <c r="F151" s="28"/>
      <c r="G151" s="29"/>
      <c r="H151" s="28"/>
    </row>
    <row r="152" spans="5:8" ht="13.5" customHeight="1">
      <c r="E152" s="28"/>
      <c r="F152" s="28"/>
      <c r="G152" s="29"/>
      <c r="H152" s="28"/>
    </row>
    <row r="153" spans="5:8" ht="13.5" customHeight="1">
      <c r="E153" s="28"/>
      <c r="F153" s="28"/>
      <c r="G153" s="29"/>
      <c r="H153" s="28"/>
    </row>
    <row r="154" spans="5:8" ht="13.5" customHeight="1">
      <c r="E154" s="28"/>
      <c r="F154" s="28"/>
      <c r="G154" s="29"/>
      <c r="H154" s="28"/>
    </row>
    <row r="155" spans="5:8" ht="13.5" customHeight="1">
      <c r="E155" s="28"/>
      <c r="F155" s="28"/>
      <c r="G155" s="29"/>
      <c r="H155" s="28"/>
    </row>
    <row r="156" spans="5:8" ht="13.5" customHeight="1">
      <c r="E156" s="28"/>
      <c r="F156" s="28"/>
      <c r="G156" s="29"/>
      <c r="H156" s="28"/>
    </row>
    <row r="157" spans="5:8" ht="13.5" customHeight="1">
      <c r="E157" s="28"/>
      <c r="F157" s="28"/>
      <c r="G157" s="29"/>
      <c r="H157" s="28"/>
    </row>
    <row r="158" spans="5:8" ht="13.5" customHeight="1">
      <c r="E158" s="28"/>
      <c r="F158" s="28"/>
      <c r="G158" s="29"/>
      <c r="H158" s="28"/>
    </row>
    <row r="159" spans="5:8" ht="13.5" customHeight="1">
      <c r="E159" s="28"/>
      <c r="F159" s="28"/>
      <c r="G159" s="29"/>
      <c r="H159" s="28"/>
    </row>
    <row r="160" spans="5:8" ht="13.5" customHeight="1">
      <c r="E160" s="28"/>
      <c r="F160" s="28"/>
      <c r="G160" s="29"/>
      <c r="H160" s="28"/>
    </row>
    <row r="161" spans="5:8" ht="13.5" customHeight="1">
      <c r="E161" s="28"/>
      <c r="F161" s="28"/>
      <c r="G161" s="29"/>
      <c r="H161" s="28"/>
    </row>
    <row r="162" spans="5:8" ht="13.5" customHeight="1">
      <c r="E162" s="28"/>
      <c r="F162" s="28"/>
      <c r="G162" s="29"/>
      <c r="H162" s="28"/>
    </row>
    <row r="163" spans="5:8" ht="13.5" customHeight="1">
      <c r="E163" s="28"/>
      <c r="F163" s="28"/>
      <c r="G163" s="29"/>
      <c r="H163" s="28"/>
    </row>
    <row r="164" spans="5:8" ht="13.5" customHeight="1">
      <c r="E164" s="28"/>
      <c r="F164" s="28"/>
      <c r="G164" s="29"/>
      <c r="H164" s="28"/>
    </row>
    <row r="165" spans="5:8" ht="13.5" customHeight="1">
      <c r="E165" s="28"/>
      <c r="F165" s="28"/>
      <c r="G165" s="29"/>
      <c r="H165" s="28"/>
    </row>
    <row r="166" spans="5:8" ht="13.5" customHeight="1">
      <c r="E166" s="28"/>
      <c r="F166" s="28"/>
      <c r="G166" s="29"/>
      <c r="H166" s="28"/>
    </row>
    <row r="167" spans="5:8" ht="13.5" customHeight="1">
      <c r="E167" s="28"/>
      <c r="F167" s="28"/>
      <c r="G167" s="29"/>
      <c r="H167" s="28"/>
    </row>
    <row r="168" spans="5:8" ht="13.5" customHeight="1">
      <c r="E168" s="28"/>
      <c r="F168" s="28"/>
      <c r="G168" s="29"/>
      <c r="H168" s="28"/>
    </row>
    <row r="169" spans="5:8" ht="13.5" customHeight="1">
      <c r="E169" s="28"/>
      <c r="F169" s="28"/>
      <c r="G169" s="29"/>
      <c r="H169" s="28"/>
    </row>
    <row r="170" spans="5:8" ht="13.5" customHeight="1">
      <c r="E170" s="28"/>
      <c r="F170" s="28"/>
      <c r="G170" s="29"/>
      <c r="H170" s="28"/>
    </row>
    <row r="171" spans="5:8" ht="13.5" customHeight="1">
      <c r="E171" s="28"/>
      <c r="F171" s="28"/>
      <c r="G171" s="29"/>
      <c r="H171" s="28"/>
    </row>
    <row r="172" spans="5:8" ht="13.5" customHeight="1">
      <c r="E172" s="28"/>
      <c r="F172" s="28"/>
      <c r="G172" s="29"/>
      <c r="H172" s="28"/>
    </row>
    <row r="173" spans="5:8" ht="13.5" customHeight="1">
      <c r="E173" s="28"/>
      <c r="F173" s="28"/>
      <c r="G173" s="29"/>
      <c r="H173" s="28"/>
    </row>
    <row r="174" spans="5:8" ht="13.5" customHeight="1">
      <c r="E174" s="28"/>
      <c r="F174" s="28"/>
      <c r="G174" s="29"/>
      <c r="H174" s="28"/>
    </row>
    <row r="175" spans="5:8" ht="13.5" customHeight="1">
      <c r="E175" s="28"/>
      <c r="F175" s="28"/>
      <c r="G175" s="29"/>
      <c r="H175" s="28"/>
    </row>
    <row r="176" spans="5:8" ht="13.5" customHeight="1">
      <c r="E176" s="28"/>
      <c r="F176" s="28"/>
      <c r="G176" s="29"/>
      <c r="H176" s="28"/>
    </row>
    <row r="177" spans="5:8" ht="13.5" customHeight="1">
      <c r="E177" s="28"/>
      <c r="F177" s="28"/>
      <c r="G177" s="29"/>
      <c r="H177" s="28"/>
    </row>
    <row r="178" spans="5:8" ht="13.5" customHeight="1">
      <c r="E178" s="28"/>
      <c r="F178" s="28"/>
      <c r="G178" s="29"/>
      <c r="H178" s="28"/>
    </row>
    <row r="179" spans="5:8" ht="13.5" customHeight="1">
      <c r="E179" s="28"/>
      <c r="F179" s="28"/>
      <c r="G179" s="29"/>
      <c r="H179" s="28"/>
    </row>
    <row r="180" spans="5:8" ht="13.5" customHeight="1">
      <c r="E180" s="28"/>
      <c r="F180" s="28"/>
      <c r="G180" s="29"/>
      <c r="H180" s="28"/>
    </row>
    <row r="181" spans="5:8" ht="13.5" customHeight="1">
      <c r="E181" s="28"/>
      <c r="F181" s="28"/>
      <c r="G181" s="29"/>
      <c r="H181" s="28"/>
    </row>
    <row r="182" spans="5:8" ht="13.5" customHeight="1">
      <c r="E182" s="28"/>
      <c r="F182" s="28"/>
      <c r="G182" s="29"/>
      <c r="H182" s="28"/>
    </row>
    <row r="183" spans="5:8" ht="13.5" customHeight="1">
      <c r="E183" s="28"/>
      <c r="F183" s="28"/>
      <c r="G183" s="29"/>
      <c r="H183" s="28"/>
    </row>
    <row r="184" spans="5:8" ht="13.5" customHeight="1">
      <c r="E184" s="28"/>
      <c r="F184" s="28"/>
      <c r="G184" s="29"/>
      <c r="H184" s="28"/>
    </row>
    <row r="185" spans="5:8" ht="13.5" customHeight="1">
      <c r="E185" s="28"/>
      <c r="F185" s="28"/>
      <c r="G185" s="29"/>
      <c r="H185" s="28"/>
    </row>
    <row r="186" spans="5:8" ht="13.5" customHeight="1">
      <c r="E186" s="28"/>
      <c r="F186" s="28"/>
      <c r="G186" s="29"/>
      <c r="H186" s="28"/>
    </row>
    <row r="187" spans="5:8" ht="13.5" customHeight="1">
      <c r="E187" s="28"/>
      <c r="F187" s="28"/>
      <c r="G187" s="29"/>
      <c r="H187" s="28"/>
    </row>
    <row r="188" spans="5:8" ht="13.5" customHeight="1">
      <c r="E188" s="28"/>
      <c r="F188" s="28"/>
      <c r="G188" s="29"/>
      <c r="H188" s="28"/>
    </row>
    <row r="189" spans="5:8" ht="13.5" customHeight="1">
      <c r="E189" s="28"/>
      <c r="F189" s="28"/>
      <c r="G189" s="29"/>
      <c r="H189" s="28"/>
    </row>
    <row r="190" spans="5:8" ht="13.5" customHeight="1">
      <c r="E190" s="28"/>
      <c r="F190" s="28"/>
      <c r="G190" s="29"/>
      <c r="H190" s="28"/>
    </row>
    <row r="191" spans="5:8" ht="13.5" customHeight="1">
      <c r="E191" s="28"/>
      <c r="F191" s="28"/>
      <c r="G191" s="29"/>
      <c r="H191" s="28"/>
    </row>
    <row r="192" spans="5:8" ht="13.5" customHeight="1">
      <c r="E192" s="28"/>
      <c r="F192" s="28"/>
      <c r="G192" s="29"/>
      <c r="H192" s="28"/>
    </row>
    <row r="193" spans="5:8" ht="13.5" customHeight="1">
      <c r="E193" s="28"/>
      <c r="F193" s="28"/>
      <c r="G193" s="29"/>
      <c r="H193" s="28"/>
    </row>
    <row r="194" spans="5:8" ht="13.5" customHeight="1">
      <c r="E194" s="28"/>
      <c r="F194" s="28"/>
      <c r="G194" s="29"/>
      <c r="H194" s="28"/>
    </row>
    <row r="195" spans="5:8" ht="13.5" customHeight="1">
      <c r="E195" s="28"/>
      <c r="F195" s="28"/>
      <c r="G195" s="29"/>
      <c r="H195" s="28"/>
    </row>
    <row r="196" spans="5:8" ht="13.5" customHeight="1">
      <c r="E196" s="28"/>
      <c r="F196" s="28"/>
      <c r="G196" s="29"/>
      <c r="H196" s="28"/>
    </row>
    <row r="197" spans="5:8" ht="13.5" customHeight="1">
      <c r="E197" s="28"/>
      <c r="F197" s="28"/>
      <c r="G197" s="29"/>
      <c r="H197" s="28"/>
    </row>
    <row r="198" spans="5:8" ht="13.5" customHeight="1">
      <c r="E198" s="28"/>
      <c r="F198" s="28"/>
      <c r="G198" s="29"/>
      <c r="H198" s="28"/>
    </row>
    <row r="199" spans="5:8" ht="13.5" customHeight="1">
      <c r="E199" s="28"/>
      <c r="F199" s="28"/>
      <c r="G199" s="29"/>
      <c r="H199" s="28"/>
    </row>
    <row r="200" spans="5:8" ht="13.5" customHeight="1">
      <c r="E200" s="28"/>
      <c r="F200" s="28"/>
      <c r="G200" s="29"/>
      <c r="H200" s="28"/>
    </row>
    <row r="201" spans="5:8" ht="13.5" customHeight="1">
      <c r="E201" s="28"/>
      <c r="F201" s="28"/>
      <c r="G201" s="29"/>
      <c r="H201" s="28"/>
    </row>
    <row r="202" spans="5:8" ht="13.5" customHeight="1">
      <c r="E202" s="28"/>
      <c r="F202" s="28"/>
      <c r="G202" s="29"/>
      <c r="H202" s="28"/>
    </row>
    <row r="203" spans="5:8" ht="13.5" customHeight="1">
      <c r="E203" s="28"/>
      <c r="F203" s="28"/>
      <c r="G203" s="29"/>
      <c r="H203" s="28"/>
    </row>
    <row r="204" spans="5:8" ht="13.5" customHeight="1">
      <c r="E204" s="28"/>
      <c r="F204" s="28"/>
      <c r="G204" s="29"/>
      <c r="H204" s="28"/>
    </row>
    <row r="205" spans="5:8" ht="13.5" customHeight="1">
      <c r="E205" s="28"/>
      <c r="F205" s="28"/>
      <c r="G205" s="29"/>
      <c r="H205" s="28"/>
    </row>
    <row r="206" spans="5:8" ht="13.5" customHeight="1">
      <c r="E206" s="28"/>
      <c r="F206" s="28"/>
      <c r="G206" s="29"/>
      <c r="H206" s="28"/>
    </row>
    <row r="207" spans="5:8" ht="13.5" customHeight="1">
      <c r="E207" s="28"/>
      <c r="F207" s="28"/>
      <c r="G207" s="29"/>
      <c r="H207" s="28"/>
    </row>
    <row r="208" spans="5:8" ht="13.5" customHeight="1">
      <c r="E208" s="28"/>
      <c r="F208" s="28"/>
      <c r="G208" s="29"/>
      <c r="H208" s="28"/>
    </row>
    <row r="209" spans="5:8" ht="13.5" customHeight="1">
      <c r="E209" s="28"/>
      <c r="F209" s="28"/>
      <c r="G209" s="29"/>
      <c r="H209" s="28"/>
    </row>
    <row r="210" spans="5:8" ht="13.5" customHeight="1">
      <c r="E210" s="28"/>
      <c r="F210" s="28"/>
      <c r="G210" s="29"/>
      <c r="H210" s="28"/>
    </row>
    <row r="211" spans="5:8" ht="13.5" customHeight="1">
      <c r="E211" s="28"/>
      <c r="F211" s="28"/>
      <c r="G211" s="29"/>
      <c r="H211" s="28"/>
    </row>
    <row r="212" spans="5:8" ht="13.5" customHeight="1">
      <c r="E212" s="28"/>
      <c r="F212" s="28"/>
      <c r="G212" s="29"/>
      <c r="H212" s="28"/>
    </row>
    <row r="213" spans="5:8" ht="13.5" customHeight="1">
      <c r="E213" s="28"/>
      <c r="F213" s="28"/>
      <c r="G213" s="29"/>
      <c r="H213" s="28"/>
    </row>
    <row r="214" spans="5:8" ht="13.5" customHeight="1">
      <c r="E214" s="28"/>
      <c r="F214" s="28"/>
      <c r="G214" s="29"/>
      <c r="H214" s="28"/>
    </row>
    <row r="215" spans="5:8" ht="13.5" customHeight="1">
      <c r="E215" s="28"/>
      <c r="F215" s="28"/>
      <c r="G215" s="29"/>
      <c r="H215" s="28"/>
    </row>
    <row r="216" spans="5:8" ht="13.5" customHeight="1">
      <c r="E216" s="28"/>
      <c r="F216" s="28"/>
      <c r="G216" s="29"/>
      <c r="H216" s="28"/>
    </row>
    <row r="217" spans="5:8" ht="13.5" customHeight="1">
      <c r="E217" s="28"/>
      <c r="F217" s="28"/>
      <c r="G217" s="29"/>
      <c r="H217" s="28"/>
    </row>
    <row r="218" spans="5:8" ht="13.5" customHeight="1">
      <c r="E218" s="28"/>
      <c r="F218" s="28"/>
      <c r="G218" s="29"/>
      <c r="H218" s="28"/>
    </row>
    <row r="219" spans="5:8" ht="13.5" customHeight="1">
      <c r="E219" s="28"/>
      <c r="F219" s="28"/>
      <c r="G219" s="29"/>
      <c r="H219" s="28"/>
    </row>
    <row r="220" spans="5:8" ht="13.5" customHeight="1">
      <c r="E220" s="28"/>
      <c r="F220" s="28"/>
      <c r="G220" s="29"/>
      <c r="H220" s="28"/>
    </row>
    <row r="221" spans="5:8" ht="13.5" customHeight="1">
      <c r="E221" s="28"/>
      <c r="F221" s="28"/>
      <c r="G221" s="29"/>
      <c r="H221" s="28"/>
    </row>
    <row r="222" spans="5:8" ht="13.5" customHeight="1">
      <c r="E222" s="28"/>
      <c r="F222" s="28"/>
      <c r="G222" s="29"/>
      <c r="H222" s="28"/>
    </row>
    <row r="223" spans="5:8" ht="13.5" customHeight="1">
      <c r="E223" s="28"/>
      <c r="F223" s="28"/>
      <c r="G223" s="29"/>
      <c r="H223" s="28"/>
    </row>
    <row r="224" spans="5:8" ht="13.5" customHeight="1">
      <c r="E224" s="28"/>
      <c r="F224" s="28"/>
      <c r="G224" s="29"/>
      <c r="H224" s="28"/>
    </row>
    <row r="225" spans="5:8" ht="13.5" customHeight="1">
      <c r="E225" s="28"/>
      <c r="F225" s="28"/>
      <c r="G225" s="29"/>
      <c r="H225" s="28"/>
    </row>
    <row r="226" spans="5:8" ht="13.5" customHeight="1">
      <c r="E226" s="28"/>
      <c r="F226" s="28"/>
      <c r="G226" s="29"/>
      <c r="H226" s="28"/>
    </row>
    <row r="227" spans="5:8" ht="13.5" customHeight="1">
      <c r="E227" s="28"/>
      <c r="F227" s="28"/>
      <c r="G227" s="29"/>
      <c r="H227" s="28"/>
    </row>
    <row r="228" spans="5:8" ht="13.5" customHeight="1">
      <c r="E228" s="28"/>
      <c r="F228" s="28"/>
      <c r="G228" s="29"/>
      <c r="H228" s="28"/>
    </row>
    <row r="229" spans="5:8" ht="13.5" customHeight="1">
      <c r="E229" s="28"/>
      <c r="F229" s="28"/>
      <c r="G229" s="29"/>
      <c r="H229" s="28"/>
    </row>
    <row r="230" spans="5:8" ht="13.5" customHeight="1">
      <c r="E230" s="28"/>
      <c r="F230" s="28"/>
      <c r="G230" s="29"/>
      <c r="H230" s="28"/>
    </row>
    <row r="231" spans="5:8" ht="13.5" customHeight="1">
      <c r="E231" s="28"/>
      <c r="F231" s="28"/>
      <c r="G231" s="29"/>
      <c r="H231" s="28"/>
    </row>
    <row r="232" spans="5:8" ht="13.5" customHeight="1">
      <c r="E232" s="28"/>
      <c r="F232" s="28"/>
      <c r="G232" s="29"/>
      <c r="H232" s="28"/>
    </row>
    <row r="233" spans="5:8" ht="13.5" customHeight="1">
      <c r="E233" s="28"/>
      <c r="F233" s="28"/>
      <c r="G233" s="29"/>
      <c r="H233" s="28"/>
    </row>
    <row r="234" spans="5:8" ht="13.5" customHeight="1">
      <c r="E234" s="28"/>
      <c r="F234" s="28"/>
      <c r="G234" s="29"/>
      <c r="H234" s="28"/>
    </row>
    <row r="235" spans="5:8" ht="13.5" customHeight="1">
      <c r="E235" s="28"/>
      <c r="F235" s="28"/>
      <c r="G235" s="29"/>
      <c r="H235" s="28"/>
    </row>
    <row r="236" spans="5:8" ht="13.5" customHeight="1">
      <c r="E236" s="28"/>
      <c r="F236" s="28"/>
      <c r="G236" s="29"/>
      <c r="H236" s="28"/>
    </row>
    <row r="237" spans="5:8" ht="13.5" customHeight="1">
      <c r="E237" s="28"/>
      <c r="F237" s="28"/>
      <c r="G237" s="29"/>
      <c r="H237" s="28"/>
    </row>
    <row r="238" spans="5:8" ht="13.5" customHeight="1">
      <c r="E238" s="28"/>
      <c r="F238" s="28"/>
      <c r="G238" s="29"/>
      <c r="H238" s="28"/>
    </row>
    <row r="239" spans="5:8" ht="13.5" customHeight="1">
      <c r="E239" s="28"/>
      <c r="F239" s="28"/>
      <c r="G239" s="29"/>
      <c r="H239" s="28"/>
    </row>
    <row r="240" spans="5:8" ht="13.5" customHeight="1">
      <c r="E240" s="28"/>
      <c r="F240" s="28"/>
      <c r="G240" s="29"/>
      <c r="H240" s="28"/>
    </row>
    <row r="241" spans="5:8" ht="13.5" customHeight="1">
      <c r="E241" s="28"/>
      <c r="F241" s="28"/>
      <c r="G241" s="29"/>
      <c r="H241" s="28"/>
    </row>
    <row r="242" spans="5:8" ht="13.5" customHeight="1">
      <c r="E242" s="28"/>
      <c r="F242" s="28"/>
      <c r="G242" s="29"/>
      <c r="H242" s="28"/>
    </row>
    <row r="243" spans="5:8" ht="13.5" customHeight="1">
      <c r="E243" s="28"/>
      <c r="F243" s="28"/>
      <c r="G243" s="29"/>
      <c r="H243" s="28"/>
    </row>
    <row r="244" spans="5:8" ht="13.5" customHeight="1">
      <c r="E244" s="28"/>
      <c r="F244" s="28"/>
      <c r="G244" s="29"/>
      <c r="H244" s="28"/>
    </row>
    <row r="245" spans="5:8" ht="13.5" customHeight="1">
      <c r="E245" s="28"/>
      <c r="F245" s="28"/>
      <c r="G245" s="29"/>
      <c r="H245" s="28"/>
    </row>
    <row r="246" spans="5:8" ht="13.5" customHeight="1">
      <c r="E246" s="28"/>
      <c r="F246" s="28"/>
      <c r="G246" s="29"/>
      <c r="H246" s="28"/>
    </row>
    <row r="247" spans="5:8" ht="13.5" customHeight="1">
      <c r="E247" s="28"/>
      <c r="F247" s="28"/>
      <c r="G247" s="29"/>
      <c r="H247" s="28"/>
    </row>
    <row r="248" spans="5:8" ht="13.5" customHeight="1">
      <c r="E248" s="28"/>
      <c r="F248" s="28"/>
      <c r="G248" s="29"/>
      <c r="H248" s="28"/>
    </row>
    <row r="249" spans="5:8" ht="13.5" customHeight="1">
      <c r="E249" s="28"/>
      <c r="F249" s="28"/>
      <c r="G249" s="29"/>
      <c r="H249" s="28"/>
    </row>
    <row r="250" spans="5:8" ht="13.5" customHeight="1">
      <c r="E250" s="28"/>
      <c r="F250" s="28"/>
      <c r="G250" s="29"/>
      <c r="H250" s="28"/>
    </row>
    <row r="251" spans="5:8" ht="13.5" customHeight="1">
      <c r="E251" s="28"/>
      <c r="F251" s="28"/>
      <c r="G251" s="29"/>
      <c r="H251" s="28"/>
    </row>
    <row r="252" spans="5:8" ht="13.5" customHeight="1">
      <c r="E252" s="28"/>
      <c r="F252" s="28"/>
      <c r="G252" s="29"/>
      <c r="H252" s="28"/>
    </row>
    <row r="253" spans="5:8" ht="13.5" customHeight="1">
      <c r="E253" s="28"/>
      <c r="F253" s="28"/>
      <c r="G253" s="29"/>
      <c r="H253" s="28"/>
    </row>
    <row r="254" spans="5:8" ht="13.5" customHeight="1">
      <c r="E254" s="28"/>
      <c r="F254" s="28"/>
      <c r="G254" s="29"/>
      <c r="H254" s="28"/>
    </row>
    <row r="255" spans="5:8" ht="13.5" customHeight="1">
      <c r="E255" s="28"/>
      <c r="F255" s="28"/>
      <c r="G255" s="29"/>
      <c r="H255" s="28"/>
    </row>
    <row r="256" spans="5:8" ht="13.5" customHeight="1">
      <c r="E256" s="28"/>
      <c r="F256" s="28"/>
      <c r="G256" s="29"/>
      <c r="H256" s="28"/>
    </row>
    <row r="257" spans="5:8" ht="13.5" customHeight="1">
      <c r="E257" s="28"/>
      <c r="F257" s="28"/>
      <c r="G257" s="29"/>
      <c r="H257" s="28"/>
    </row>
    <row r="258" spans="5:8" ht="13.5" customHeight="1">
      <c r="E258" s="28"/>
      <c r="F258" s="28"/>
      <c r="G258" s="29"/>
      <c r="H258" s="28"/>
    </row>
    <row r="259" spans="5:8" ht="13.5" customHeight="1">
      <c r="E259" s="28"/>
      <c r="F259" s="28"/>
      <c r="G259" s="29"/>
      <c r="H259" s="28"/>
    </row>
    <row r="260" spans="5:8" ht="13.5" customHeight="1">
      <c r="E260" s="28"/>
      <c r="F260" s="28"/>
      <c r="G260" s="29"/>
      <c r="H260" s="28"/>
    </row>
    <row r="261" spans="5:8" ht="13.5" customHeight="1">
      <c r="E261" s="28"/>
      <c r="F261" s="28"/>
      <c r="G261" s="29"/>
      <c r="H261" s="28"/>
    </row>
    <row r="262" spans="5:8" ht="13.5" customHeight="1">
      <c r="E262" s="28"/>
      <c r="F262" s="28"/>
      <c r="G262" s="29"/>
      <c r="H262" s="28"/>
    </row>
    <row r="263" spans="5:8" ht="13.5" customHeight="1">
      <c r="E263" s="28"/>
      <c r="F263" s="28"/>
      <c r="G263" s="29"/>
      <c r="H263" s="28"/>
    </row>
    <row r="264" spans="5:8" ht="13.5" customHeight="1">
      <c r="E264" s="28"/>
      <c r="F264" s="28"/>
      <c r="G264" s="29"/>
      <c r="H264" s="28"/>
    </row>
    <row r="265" spans="5:8" ht="13.5" customHeight="1">
      <c r="E265" s="28"/>
      <c r="F265" s="28"/>
      <c r="G265" s="29"/>
      <c r="H265" s="28"/>
    </row>
    <row r="266" spans="5:8" ht="13.5" customHeight="1">
      <c r="E266" s="28"/>
      <c r="F266" s="28"/>
      <c r="G266" s="29"/>
      <c r="H266" s="28"/>
    </row>
    <row r="267" spans="5:8" ht="13.5" customHeight="1">
      <c r="E267" s="28"/>
      <c r="F267" s="28"/>
      <c r="G267" s="29"/>
      <c r="H267" s="28"/>
    </row>
    <row r="268" spans="5:8" ht="13.5" customHeight="1">
      <c r="E268" s="28"/>
      <c r="F268" s="28"/>
      <c r="G268" s="29"/>
      <c r="H268" s="28"/>
    </row>
    <row r="269" spans="5:8" ht="13.5" customHeight="1">
      <c r="E269" s="28"/>
      <c r="F269" s="28"/>
      <c r="G269" s="29"/>
      <c r="H269" s="28"/>
    </row>
    <row r="270" spans="5:8" ht="13.5" customHeight="1">
      <c r="E270" s="28"/>
      <c r="F270" s="28"/>
      <c r="G270" s="29"/>
      <c r="H270" s="28"/>
    </row>
    <row r="271" spans="5:8" ht="13.5" customHeight="1">
      <c r="E271" s="28"/>
      <c r="F271" s="28"/>
      <c r="G271" s="29"/>
      <c r="H271" s="28"/>
    </row>
    <row r="272" spans="5:8" ht="13.5" customHeight="1">
      <c r="E272" s="28"/>
      <c r="F272" s="28"/>
      <c r="G272" s="29"/>
      <c r="H272" s="28"/>
    </row>
    <row r="273" spans="5:8" ht="13.5" customHeight="1">
      <c r="E273" s="28"/>
      <c r="F273" s="28"/>
      <c r="G273" s="29"/>
      <c r="H273" s="28"/>
    </row>
    <row r="274" spans="5:8" ht="13.5" customHeight="1">
      <c r="E274" s="28"/>
      <c r="F274" s="28"/>
      <c r="G274" s="29"/>
      <c r="H274" s="28"/>
    </row>
    <row r="275" spans="5:8" ht="13.5" customHeight="1">
      <c r="E275" s="28"/>
      <c r="F275" s="28"/>
      <c r="G275" s="29"/>
      <c r="H275" s="28"/>
    </row>
    <row r="276" spans="5:8" ht="13.5" customHeight="1">
      <c r="E276" s="28"/>
      <c r="F276" s="28"/>
      <c r="G276" s="29"/>
      <c r="H276" s="28"/>
    </row>
    <row r="277" spans="5:8" ht="13.5" customHeight="1">
      <c r="E277" s="28"/>
      <c r="F277" s="28"/>
      <c r="G277" s="29"/>
      <c r="H277" s="28"/>
    </row>
    <row r="278" spans="5:8" ht="13.5" customHeight="1">
      <c r="E278" s="28"/>
      <c r="F278" s="28"/>
      <c r="G278" s="29"/>
      <c r="H278" s="28"/>
    </row>
    <row r="279" spans="5:8" ht="13.5" customHeight="1">
      <c r="E279" s="28"/>
      <c r="F279" s="28"/>
      <c r="G279" s="29"/>
      <c r="H279" s="28"/>
    </row>
    <row r="280" spans="5:8" ht="13.5" customHeight="1">
      <c r="E280" s="28"/>
      <c r="F280" s="28"/>
      <c r="G280" s="29"/>
      <c r="H280" s="28"/>
    </row>
    <row r="281" spans="5:8" ht="13.5" customHeight="1">
      <c r="E281" s="28"/>
      <c r="F281" s="28"/>
      <c r="G281" s="29"/>
      <c r="H281" s="28"/>
    </row>
    <row r="282" spans="5:8" ht="13.5" customHeight="1">
      <c r="E282" s="28"/>
      <c r="F282" s="28"/>
      <c r="G282" s="29"/>
      <c r="H282" s="28"/>
    </row>
    <row r="283" spans="5:8" ht="13.5" customHeight="1">
      <c r="E283" s="28"/>
      <c r="F283" s="28"/>
      <c r="G283" s="29"/>
      <c r="H283" s="28"/>
    </row>
    <row r="284" spans="5:8" ht="13.5" customHeight="1">
      <c r="E284" s="28"/>
      <c r="F284" s="28"/>
      <c r="G284" s="29"/>
      <c r="H284" s="28"/>
    </row>
    <row r="285" spans="5:8" ht="13.5" customHeight="1">
      <c r="E285" s="28"/>
      <c r="F285" s="28"/>
      <c r="G285" s="29"/>
      <c r="H285" s="28"/>
    </row>
    <row r="286" spans="5:8" ht="13.5" customHeight="1">
      <c r="E286" s="28"/>
      <c r="F286" s="28"/>
      <c r="G286" s="29"/>
      <c r="H286" s="28"/>
    </row>
    <row r="287" spans="5:8" ht="13.5" customHeight="1">
      <c r="E287" s="28"/>
      <c r="F287" s="28"/>
      <c r="G287" s="29"/>
      <c r="H287" s="28"/>
    </row>
    <row r="288" spans="5:8" ht="13.5" customHeight="1">
      <c r="E288" s="28"/>
      <c r="F288" s="28"/>
      <c r="G288" s="29"/>
      <c r="H288" s="28"/>
    </row>
    <row r="289" spans="5:8" ht="13.5" customHeight="1">
      <c r="E289" s="28"/>
      <c r="F289" s="28"/>
      <c r="G289" s="29"/>
      <c r="H289" s="28"/>
    </row>
    <row r="290" spans="5:8" ht="13.5" customHeight="1">
      <c r="E290" s="28"/>
      <c r="F290" s="28"/>
      <c r="G290" s="29"/>
      <c r="H290" s="28"/>
    </row>
    <row r="291" spans="5:8" ht="13.5" customHeight="1">
      <c r="E291" s="28"/>
      <c r="F291" s="28"/>
      <c r="G291" s="29"/>
      <c r="H291" s="28"/>
    </row>
    <row r="292" spans="5:8" ht="13.5" customHeight="1">
      <c r="E292" s="28"/>
      <c r="F292" s="28"/>
      <c r="G292" s="29"/>
      <c r="H292" s="28"/>
    </row>
    <row r="293" spans="5:8" ht="13.5" customHeight="1">
      <c r="E293" s="28"/>
      <c r="F293" s="28"/>
      <c r="G293" s="29"/>
      <c r="H293" s="28"/>
    </row>
    <row r="294" spans="5:8" ht="13.5" customHeight="1">
      <c r="E294" s="28"/>
      <c r="F294" s="28"/>
      <c r="G294" s="29"/>
      <c r="H294" s="28"/>
    </row>
    <row r="295" spans="5:8" ht="13.5" customHeight="1">
      <c r="E295" s="28"/>
      <c r="F295" s="28"/>
      <c r="G295" s="29"/>
      <c r="H295" s="28"/>
    </row>
    <row r="296" spans="5:8" ht="13.5" customHeight="1">
      <c r="E296" s="28"/>
      <c r="F296" s="28"/>
      <c r="G296" s="29"/>
      <c r="H296" s="28"/>
    </row>
    <row r="297" spans="5:8" ht="13.5" customHeight="1">
      <c r="E297" s="28"/>
      <c r="F297" s="28"/>
      <c r="G297" s="29"/>
      <c r="H297" s="28"/>
    </row>
    <row r="298" spans="5:8" ht="13.5" customHeight="1">
      <c r="E298" s="28"/>
      <c r="F298" s="28"/>
      <c r="G298" s="29"/>
      <c r="H298" s="28"/>
    </row>
    <row r="299" spans="5:8" ht="13.5" customHeight="1">
      <c r="E299" s="28"/>
      <c r="F299" s="28"/>
      <c r="G299" s="29"/>
      <c r="H299" s="28"/>
    </row>
    <row r="300" spans="5:8" ht="13.5" customHeight="1">
      <c r="E300" s="28"/>
      <c r="F300" s="28"/>
      <c r="G300" s="29"/>
      <c r="H300" s="28"/>
    </row>
    <row r="301" spans="5:8" ht="13.5" customHeight="1">
      <c r="E301" s="28"/>
      <c r="F301" s="28"/>
      <c r="G301" s="29"/>
      <c r="H301" s="28"/>
    </row>
    <row r="302" spans="5:8" ht="13.5" customHeight="1">
      <c r="E302" s="28"/>
      <c r="F302" s="28"/>
      <c r="G302" s="29"/>
      <c r="H302" s="28"/>
    </row>
    <row r="303" spans="5:8" ht="13.5" customHeight="1">
      <c r="E303" s="28"/>
      <c r="F303" s="28"/>
      <c r="G303" s="29"/>
      <c r="H303" s="28"/>
    </row>
    <row r="304" spans="5:8" ht="13.5" customHeight="1">
      <c r="E304" s="28"/>
      <c r="F304" s="28"/>
      <c r="G304" s="29"/>
      <c r="H304" s="28"/>
    </row>
    <row r="305" spans="5:8" ht="13.5" customHeight="1">
      <c r="E305" s="28"/>
      <c r="F305" s="28"/>
      <c r="G305" s="29"/>
      <c r="H305" s="28"/>
    </row>
    <row r="306" spans="5:8" ht="13.5" customHeight="1">
      <c r="E306" s="28"/>
      <c r="F306" s="28"/>
      <c r="G306" s="29"/>
      <c r="H306" s="28"/>
    </row>
    <row r="307" spans="5:8" ht="13.5" customHeight="1">
      <c r="E307" s="28"/>
      <c r="F307" s="28"/>
      <c r="G307" s="29"/>
      <c r="H307" s="28"/>
    </row>
    <row r="308" spans="5:8" ht="13.5" customHeight="1">
      <c r="E308" s="28"/>
      <c r="F308" s="28"/>
      <c r="G308" s="29"/>
      <c r="H308" s="28"/>
    </row>
    <row r="309" spans="5:8" ht="13.5" customHeight="1">
      <c r="E309" s="28"/>
      <c r="F309" s="28"/>
      <c r="G309" s="29"/>
      <c r="H309" s="28"/>
    </row>
    <row r="310" spans="5:8" ht="13.5" customHeight="1">
      <c r="E310" s="28"/>
      <c r="F310" s="28"/>
      <c r="G310" s="29"/>
      <c r="H310" s="28"/>
    </row>
    <row r="311" spans="5:8" ht="13.5" customHeight="1">
      <c r="E311" s="28"/>
      <c r="F311" s="28"/>
      <c r="G311" s="29"/>
      <c r="H311" s="28"/>
    </row>
    <row r="312" spans="5:8" ht="13.5" customHeight="1">
      <c r="E312" s="28"/>
      <c r="F312" s="28"/>
      <c r="G312" s="29"/>
      <c r="H312" s="28"/>
    </row>
    <row r="313" spans="5:8" ht="13.5" customHeight="1">
      <c r="E313" s="28"/>
      <c r="F313" s="28"/>
      <c r="G313" s="29"/>
      <c r="H313" s="28"/>
    </row>
    <row r="314" spans="5:8" ht="13.5" customHeight="1">
      <c r="E314" s="28"/>
      <c r="F314" s="28"/>
      <c r="G314" s="29"/>
      <c r="H314" s="28"/>
    </row>
    <row r="315" spans="5:8" ht="13.5" customHeight="1">
      <c r="E315" s="28"/>
      <c r="F315" s="28"/>
      <c r="G315" s="29"/>
      <c r="H315" s="28"/>
    </row>
    <row r="316" spans="5:8" ht="13.5" customHeight="1">
      <c r="E316" s="28"/>
      <c r="F316" s="28"/>
      <c r="G316" s="29"/>
      <c r="H316" s="28"/>
    </row>
    <row r="317" spans="5:8" ht="13.5" customHeight="1">
      <c r="E317" s="28"/>
      <c r="F317" s="28"/>
      <c r="G317" s="29"/>
      <c r="H317" s="28"/>
    </row>
    <row r="318" spans="5:8" ht="13.5" customHeight="1">
      <c r="E318" s="28"/>
      <c r="F318" s="28"/>
      <c r="G318" s="29"/>
      <c r="H318" s="28"/>
    </row>
    <row r="319" spans="5:8" ht="13.5" customHeight="1">
      <c r="E319" s="28"/>
      <c r="F319" s="28"/>
      <c r="G319" s="29"/>
      <c r="H319" s="28"/>
    </row>
    <row r="320" spans="5:8" ht="13.5" customHeight="1">
      <c r="E320" s="28"/>
      <c r="F320" s="28"/>
      <c r="G320" s="29"/>
      <c r="H320" s="28"/>
    </row>
    <row r="321" spans="5:8" ht="13.5" customHeight="1">
      <c r="E321" s="28"/>
      <c r="F321" s="28"/>
      <c r="G321" s="29"/>
      <c r="H321" s="28"/>
    </row>
    <row r="322" spans="5:8" ht="13.5" customHeight="1">
      <c r="E322" s="28"/>
      <c r="F322" s="28"/>
      <c r="G322" s="29"/>
      <c r="H322" s="28"/>
    </row>
    <row r="323" spans="5:8" ht="13.5" customHeight="1">
      <c r="E323" s="28"/>
      <c r="F323" s="28"/>
      <c r="G323" s="29"/>
      <c r="H323" s="28"/>
    </row>
    <row r="324" spans="5:8" ht="13.5" customHeight="1">
      <c r="E324" s="28"/>
      <c r="F324" s="28"/>
      <c r="G324" s="29"/>
      <c r="H324" s="28"/>
    </row>
    <row r="325" spans="5:8" ht="13.5" customHeight="1">
      <c r="E325" s="28"/>
      <c r="F325" s="28"/>
      <c r="G325" s="29"/>
      <c r="H325" s="28"/>
    </row>
    <row r="326" spans="5:8" ht="13.5" customHeight="1">
      <c r="E326" s="28"/>
      <c r="F326" s="28"/>
      <c r="G326" s="29"/>
      <c r="H326" s="28"/>
    </row>
    <row r="327" spans="5:8" ht="13.5" customHeight="1">
      <c r="E327" s="28"/>
      <c r="F327" s="28"/>
      <c r="G327" s="29"/>
      <c r="H327" s="28"/>
    </row>
    <row r="328" spans="5:8" ht="13.5" customHeight="1">
      <c r="E328" s="28"/>
      <c r="F328" s="28"/>
      <c r="G328" s="29"/>
      <c r="H328" s="28"/>
    </row>
    <row r="329" spans="5:8" ht="13.5" customHeight="1">
      <c r="E329" s="28"/>
      <c r="F329" s="28"/>
      <c r="G329" s="29"/>
      <c r="H329" s="28"/>
    </row>
    <row r="330" spans="5:8" ht="13.5" customHeight="1">
      <c r="E330" s="28"/>
      <c r="F330" s="28"/>
      <c r="G330" s="29"/>
      <c r="H330" s="28"/>
    </row>
    <row r="331" spans="5:8" ht="13.5" customHeight="1">
      <c r="E331" s="28"/>
      <c r="F331" s="28"/>
      <c r="G331" s="29"/>
      <c r="H331" s="28"/>
    </row>
    <row r="332" spans="5:8" ht="13.5" customHeight="1">
      <c r="E332" s="28"/>
      <c r="F332" s="28"/>
      <c r="G332" s="29"/>
      <c r="H332" s="28"/>
    </row>
    <row r="333" spans="5:8" ht="13.5" customHeight="1">
      <c r="E333" s="28"/>
      <c r="F333" s="28"/>
      <c r="G333" s="29"/>
      <c r="H333" s="28"/>
    </row>
    <row r="334" spans="5:8" ht="13.5" customHeight="1">
      <c r="E334" s="28"/>
      <c r="F334" s="28"/>
      <c r="G334" s="29"/>
      <c r="H334" s="28"/>
    </row>
    <row r="335" spans="5:8" ht="13.5" customHeight="1">
      <c r="E335" s="28"/>
      <c r="F335" s="28"/>
      <c r="G335" s="29"/>
      <c r="H335" s="28"/>
    </row>
    <row r="336" spans="5:8" ht="13.5" customHeight="1">
      <c r="E336" s="28"/>
      <c r="F336" s="28"/>
      <c r="G336" s="29"/>
      <c r="H336" s="28"/>
    </row>
    <row r="337" spans="5:8" ht="13.5" customHeight="1">
      <c r="E337" s="28"/>
      <c r="F337" s="28"/>
      <c r="G337" s="29"/>
      <c r="H337" s="28"/>
    </row>
    <row r="338" spans="5:8" ht="13.5" customHeight="1">
      <c r="E338" s="28"/>
      <c r="F338" s="28"/>
      <c r="G338" s="29"/>
      <c r="H338" s="28"/>
    </row>
    <row r="339" spans="5:8" ht="13.5" customHeight="1">
      <c r="E339" s="28"/>
      <c r="F339" s="28"/>
      <c r="G339" s="29"/>
      <c r="H339" s="28"/>
    </row>
    <row r="340" spans="5:8" ht="13.5" customHeight="1">
      <c r="E340" s="28"/>
      <c r="F340" s="28"/>
      <c r="G340" s="29"/>
      <c r="H340" s="28"/>
    </row>
    <row r="341" spans="5:8" ht="13.5" customHeight="1">
      <c r="E341" s="28"/>
      <c r="F341" s="28"/>
      <c r="G341" s="29"/>
      <c r="H341" s="28"/>
    </row>
    <row r="342" spans="5:8" ht="13.5" customHeight="1">
      <c r="E342" s="28"/>
      <c r="F342" s="28"/>
      <c r="G342" s="29"/>
      <c r="H342" s="28"/>
    </row>
    <row r="343" spans="5:8" ht="13.5" customHeight="1">
      <c r="E343" s="28"/>
      <c r="F343" s="28"/>
      <c r="G343" s="29"/>
      <c r="H343" s="28"/>
    </row>
    <row r="344" spans="5:8" ht="13.5" customHeight="1">
      <c r="E344" s="28"/>
      <c r="F344" s="28"/>
      <c r="G344" s="29"/>
      <c r="H344" s="28"/>
    </row>
    <row r="345" spans="5:8" ht="13.5" customHeight="1">
      <c r="E345" s="28"/>
      <c r="F345" s="28"/>
      <c r="G345" s="29"/>
      <c r="H345" s="28"/>
    </row>
    <row r="346" spans="5:8" ht="13.5" customHeight="1">
      <c r="E346" s="28"/>
      <c r="F346" s="28"/>
      <c r="G346" s="29"/>
      <c r="H346" s="28"/>
    </row>
    <row r="347" spans="5:8" ht="13.5" customHeight="1">
      <c r="E347" s="28"/>
      <c r="F347" s="28"/>
      <c r="G347" s="29"/>
      <c r="H347" s="28"/>
    </row>
    <row r="348" spans="5:8" ht="13.5" customHeight="1">
      <c r="E348" s="28"/>
      <c r="F348" s="28"/>
      <c r="G348" s="29"/>
      <c r="H348" s="28"/>
    </row>
    <row r="349" spans="5:8" ht="13.5" customHeight="1">
      <c r="E349" s="28"/>
      <c r="F349" s="28"/>
      <c r="G349" s="29"/>
      <c r="H349" s="28"/>
    </row>
    <row r="350" spans="5:8" ht="13.5" customHeight="1">
      <c r="E350" s="28"/>
      <c r="F350" s="28"/>
      <c r="G350" s="29"/>
      <c r="H350" s="28"/>
    </row>
    <row r="351" spans="5:8" ht="13.5" customHeight="1">
      <c r="E351" s="28"/>
      <c r="F351" s="28"/>
      <c r="G351" s="29"/>
      <c r="H351" s="28"/>
    </row>
    <row r="352" spans="5:8" ht="13.5" customHeight="1">
      <c r="E352" s="28"/>
      <c r="F352" s="28"/>
      <c r="G352" s="29"/>
      <c r="H352" s="28"/>
    </row>
    <row r="353" spans="5:8" ht="13.5" customHeight="1">
      <c r="E353" s="28"/>
      <c r="F353" s="28"/>
      <c r="G353" s="29"/>
      <c r="H353" s="28"/>
    </row>
    <row r="354" spans="5:8" ht="13.5" customHeight="1">
      <c r="E354" s="28"/>
      <c r="F354" s="28"/>
      <c r="G354" s="29"/>
      <c r="H354" s="28"/>
    </row>
    <row r="355" spans="5:8" ht="13.5" customHeight="1">
      <c r="E355" s="28"/>
      <c r="F355" s="28"/>
      <c r="G355" s="29"/>
      <c r="H355" s="28"/>
    </row>
    <row r="356" spans="5:8" ht="13.5" customHeight="1">
      <c r="E356" s="28"/>
      <c r="F356" s="28"/>
      <c r="G356" s="29"/>
      <c r="H356" s="28"/>
    </row>
    <row r="357" spans="5:8" ht="13.5" customHeight="1">
      <c r="E357" s="28"/>
      <c r="F357" s="28"/>
      <c r="G357" s="29"/>
      <c r="H357" s="28"/>
    </row>
    <row r="358" spans="5:8" ht="13.5" customHeight="1">
      <c r="E358" s="28"/>
      <c r="F358" s="28"/>
      <c r="G358" s="29"/>
      <c r="H358" s="28"/>
    </row>
    <row r="359" spans="5:8" ht="13.5" customHeight="1">
      <c r="E359" s="28"/>
      <c r="F359" s="28"/>
      <c r="G359" s="29"/>
      <c r="H359" s="28"/>
    </row>
    <row r="360" spans="5:8" ht="13.5" customHeight="1">
      <c r="E360" s="28"/>
      <c r="F360" s="28"/>
      <c r="G360" s="29"/>
      <c r="H360" s="28"/>
    </row>
    <row r="361" spans="5:8" ht="13.5" customHeight="1">
      <c r="E361" s="28"/>
      <c r="F361" s="28"/>
      <c r="G361" s="29"/>
      <c r="H361" s="28"/>
    </row>
    <row r="362" spans="5:8" ht="13.5" customHeight="1">
      <c r="E362" s="28"/>
      <c r="F362" s="28"/>
      <c r="G362" s="29"/>
      <c r="H362" s="28"/>
    </row>
    <row r="363" spans="5:8" ht="13.5" customHeight="1">
      <c r="E363" s="28"/>
      <c r="F363" s="28"/>
      <c r="G363" s="29"/>
      <c r="H363" s="28"/>
    </row>
    <row r="364" spans="5:8" ht="13.5" customHeight="1">
      <c r="E364" s="28"/>
      <c r="F364" s="28"/>
      <c r="G364" s="29"/>
      <c r="H364" s="28"/>
    </row>
    <row r="365" spans="5:8" ht="13.5" customHeight="1">
      <c r="E365" s="28"/>
      <c r="F365" s="28"/>
      <c r="G365" s="29"/>
      <c r="H365" s="28"/>
    </row>
    <row r="366" spans="5:8" ht="13.5" customHeight="1">
      <c r="E366" s="28"/>
      <c r="F366" s="28"/>
      <c r="G366" s="29"/>
      <c r="H366" s="28"/>
    </row>
    <row r="367" spans="5:8" ht="13.5" customHeight="1">
      <c r="E367" s="28"/>
      <c r="F367" s="28"/>
      <c r="G367" s="29"/>
      <c r="H367" s="28"/>
    </row>
    <row r="368" spans="5:8" ht="13.5" customHeight="1">
      <c r="E368" s="28"/>
      <c r="F368" s="28"/>
      <c r="G368" s="29"/>
      <c r="H368" s="28"/>
    </row>
    <row r="369" spans="5:8" ht="13.5" customHeight="1">
      <c r="E369" s="28"/>
      <c r="F369" s="28"/>
      <c r="G369" s="29"/>
      <c r="H369" s="28"/>
    </row>
    <row r="370" spans="5:8" ht="13.5" customHeight="1">
      <c r="E370" s="28"/>
      <c r="F370" s="28"/>
      <c r="G370" s="29"/>
      <c r="H370" s="28"/>
    </row>
    <row r="371" spans="5:8" ht="13.5" customHeight="1">
      <c r="E371" s="28"/>
      <c r="F371" s="28"/>
      <c r="G371" s="29"/>
      <c r="H371" s="28"/>
    </row>
    <row r="372" spans="5:8" ht="13.5" customHeight="1">
      <c r="E372" s="28"/>
      <c r="F372" s="28"/>
      <c r="G372" s="29"/>
      <c r="H372" s="28"/>
    </row>
    <row r="373" spans="5:8" ht="13.5" customHeight="1">
      <c r="E373" s="28"/>
      <c r="F373" s="28"/>
      <c r="G373" s="29"/>
      <c r="H373" s="28"/>
    </row>
    <row r="374" spans="5:8" ht="13.5" customHeight="1">
      <c r="E374" s="28"/>
      <c r="F374" s="28"/>
      <c r="G374" s="29"/>
      <c r="H374" s="28"/>
    </row>
    <row r="375" spans="5:8" ht="13.5" customHeight="1">
      <c r="E375" s="28"/>
      <c r="F375" s="28"/>
      <c r="G375" s="29"/>
      <c r="H375" s="28"/>
    </row>
    <row r="376" spans="5:8" ht="13.5" customHeight="1">
      <c r="E376" s="28"/>
      <c r="F376" s="28"/>
      <c r="G376" s="29"/>
      <c r="H376" s="28"/>
    </row>
    <row r="377" spans="5:8" ht="13.5" customHeight="1">
      <c r="E377" s="28"/>
      <c r="F377" s="28"/>
      <c r="G377" s="29"/>
      <c r="H377" s="28"/>
    </row>
    <row r="378" spans="5:8" ht="13.5" customHeight="1">
      <c r="E378" s="28"/>
      <c r="F378" s="28"/>
      <c r="G378" s="29"/>
      <c r="H378" s="28"/>
    </row>
    <row r="379" spans="5:8" ht="13.5" customHeight="1">
      <c r="E379" s="28"/>
      <c r="F379" s="28"/>
      <c r="G379" s="29"/>
      <c r="H379" s="28"/>
    </row>
    <row r="380" spans="5:8" ht="13.5" customHeight="1">
      <c r="E380" s="28"/>
      <c r="F380" s="28"/>
      <c r="G380" s="29"/>
      <c r="H380" s="28"/>
    </row>
    <row r="381" spans="5:8" ht="13.5" customHeight="1">
      <c r="E381" s="28"/>
      <c r="F381" s="28"/>
      <c r="G381" s="29"/>
      <c r="H381" s="28"/>
    </row>
    <row r="382" spans="5:8" ht="13.5" customHeight="1">
      <c r="E382" s="28"/>
      <c r="F382" s="28"/>
      <c r="G382" s="29"/>
      <c r="H382" s="28"/>
    </row>
    <row r="383" spans="5:8" ht="13.5" customHeight="1">
      <c r="E383" s="28"/>
      <c r="F383" s="28"/>
      <c r="G383" s="29"/>
      <c r="H383" s="28"/>
    </row>
    <row r="384" spans="5:8" ht="13.5" customHeight="1">
      <c r="E384" s="28"/>
      <c r="F384" s="28"/>
      <c r="G384" s="29"/>
      <c r="H384" s="28"/>
    </row>
    <row r="385" spans="5:8" ht="13.5" customHeight="1">
      <c r="E385" s="28"/>
      <c r="F385" s="28"/>
      <c r="G385" s="29"/>
      <c r="H385" s="28"/>
    </row>
    <row r="386" spans="5:8" ht="13.5" customHeight="1">
      <c r="E386" s="28"/>
      <c r="F386" s="28"/>
      <c r="G386" s="29"/>
      <c r="H386" s="28"/>
    </row>
    <row r="387" spans="5:8" ht="13.5" customHeight="1">
      <c r="E387" s="28"/>
      <c r="F387" s="28"/>
      <c r="G387" s="29"/>
      <c r="H387" s="28"/>
    </row>
    <row r="388" spans="5:8" ht="13.5" customHeight="1">
      <c r="E388" s="28"/>
      <c r="F388" s="28"/>
      <c r="G388" s="29"/>
      <c r="H388" s="28"/>
    </row>
    <row r="389" spans="5:8" ht="13.5" customHeight="1">
      <c r="E389" s="28"/>
      <c r="F389" s="28"/>
      <c r="G389" s="29"/>
      <c r="H389" s="28"/>
    </row>
    <row r="390" spans="5:8" ht="13.5" customHeight="1">
      <c r="E390" s="28"/>
      <c r="F390" s="28"/>
      <c r="G390" s="29"/>
      <c r="H390" s="28"/>
    </row>
    <row r="391" spans="5:8" ht="13.5" customHeight="1">
      <c r="E391" s="28"/>
      <c r="F391" s="28"/>
      <c r="G391" s="29"/>
      <c r="H391" s="28"/>
    </row>
    <row r="392" spans="5:8" ht="13.5" customHeight="1">
      <c r="E392" s="28"/>
      <c r="F392" s="28"/>
      <c r="G392" s="29"/>
      <c r="H392" s="28"/>
    </row>
    <row r="393" spans="5:8" ht="13.5" customHeight="1">
      <c r="E393" s="28"/>
      <c r="F393" s="28"/>
      <c r="G393" s="29"/>
      <c r="H393" s="28"/>
    </row>
    <row r="394" spans="5:8" ht="13.5" customHeight="1">
      <c r="E394" s="28"/>
      <c r="F394" s="28"/>
      <c r="G394" s="29"/>
      <c r="H394" s="28"/>
    </row>
    <row r="395" spans="5:8" ht="13.5" customHeight="1">
      <c r="E395" s="28"/>
      <c r="F395" s="28"/>
      <c r="G395" s="29"/>
      <c r="H395" s="28"/>
    </row>
    <row r="396" spans="5:8" ht="13.5" customHeight="1">
      <c r="E396" s="28"/>
      <c r="F396" s="28"/>
      <c r="G396" s="29"/>
      <c r="H396" s="28"/>
    </row>
    <row r="397" spans="5:8" ht="13.5" customHeight="1">
      <c r="E397" s="28"/>
      <c r="F397" s="28"/>
      <c r="G397" s="29"/>
      <c r="H397" s="28"/>
    </row>
    <row r="398" spans="5:8" ht="13.5" customHeight="1">
      <c r="E398" s="28"/>
      <c r="F398" s="28"/>
      <c r="G398" s="29"/>
      <c r="H398" s="28"/>
    </row>
    <row r="399" spans="5:8" ht="13.5" customHeight="1">
      <c r="E399" s="28"/>
      <c r="F399" s="28"/>
      <c r="G399" s="29"/>
      <c r="H399" s="28"/>
    </row>
    <row r="400" spans="5:8" ht="13.5" customHeight="1">
      <c r="E400" s="28"/>
      <c r="F400" s="28"/>
      <c r="G400" s="29"/>
      <c r="H400" s="28"/>
    </row>
    <row r="401" spans="5:8" ht="13.5" customHeight="1">
      <c r="E401" s="28"/>
      <c r="F401" s="28"/>
      <c r="G401" s="29"/>
      <c r="H401" s="28"/>
    </row>
    <row r="402" spans="5:8" ht="13.5" customHeight="1">
      <c r="E402" s="28"/>
      <c r="F402" s="28"/>
      <c r="G402" s="29"/>
      <c r="H402" s="28"/>
    </row>
    <row r="403" spans="5:8" ht="13.5" customHeight="1">
      <c r="E403" s="28"/>
      <c r="F403" s="28"/>
      <c r="G403" s="29"/>
      <c r="H403" s="28"/>
    </row>
    <row r="404" spans="5:8" ht="13.5" customHeight="1">
      <c r="E404" s="28"/>
      <c r="F404" s="28"/>
      <c r="G404" s="29"/>
      <c r="H404" s="28"/>
    </row>
    <row r="405" spans="5:8" ht="13.5" customHeight="1">
      <c r="E405" s="28"/>
      <c r="F405" s="28"/>
      <c r="G405" s="29"/>
      <c r="H405" s="28"/>
    </row>
    <row r="406" spans="5:8" ht="13.5" customHeight="1">
      <c r="E406" s="28"/>
      <c r="F406" s="28"/>
      <c r="G406" s="29"/>
      <c r="H406" s="28"/>
    </row>
    <row r="407" spans="5:8" ht="13.5" customHeight="1">
      <c r="E407" s="28"/>
      <c r="F407" s="28"/>
      <c r="G407" s="29"/>
      <c r="H407" s="28"/>
    </row>
    <row r="408" spans="5:8" ht="13.5" customHeight="1">
      <c r="E408" s="28"/>
      <c r="F408" s="28"/>
      <c r="G408" s="29"/>
      <c r="H408" s="28"/>
    </row>
    <row r="409" spans="5:8" ht="13.5" customHeight="1">
      <c r="E409" s="28"/>
      <c r="F409" s="28"/>
      <c r="G409" s="29"/>
      <c r="H409" s="28"/>
    </row>
    <row r="410" spans="5:8" ht="13.5" customHeight="1">
      <c r="E410" s="28"/>
      <c r="F410" s="28"/>
      <c r="G410" s="29"/>
      <c r="H410" s="28"/>
    </row>
    <row r="411" spans="5:8" ht="13.5" customHeight="1">
      <c r="E411" s="28"/>
      <c r="F411" s="28"/>
      <c r="G411" s="29"/>
      <c r="H411" s="28"/>
    </row>
    <row r="412" spans="5:8" ht="13.5" customHeight="1">
      <c r="E412" s="28"/>
      <c r="F412" s="28"/>
      <c r="G412" s="29"/>
      <c r="H412" s="28"/>
    </row>
    <row r="413" spans="5:8" ht="13.5" customHeight="1">
      <c r="E413" s="28"/>
      <c r="F413" s="28"/>
      <c r="G413" s="29"/>
      <c r="H413" s="28"/>
    </row>
    <row r="414" spans="5:8" ht="13.5" customHeight="1">
      <c r="E414" s="28"/>
      <c r="F414" s="28"/>
      <c r="G414" s="29"/>
      <c r="H414" s="28"/>
    </row>
    <row r="415" spans="5:8" ht="13.5" customHeight="1">
      <c r="E415" s="28"/>
      <c r="F415" s="28"/>
      <c r="G415" s="29"/>
      <c r="H415" s="28"/>
    </row>
    <row r="416" spans="5:8" ht="13.5" customHeight="1">
      <c r="E416" s="28"/>
      <c r="F416" s="28"/>
      <c r="G416" s="29"/>
      <c r="H416" s="28"/>
    </row>
    <row r="417" spans="5:8" ht="13.5" customHeight="1">
      <c r="E417" s="28"/>
      <c r="F417" s="28"/>
      <c r="G417" s="29"/>
      <c r="H417" s="28"/>
    </row>
    <row r="418" spans="5:8" ht="13.5" customHeight="1">
      <c r="E418" s="28"/>
      <c r="F418" s="28"/>
      <c r="G418" s="29"/>
      <c r="H418" s="28"/>
    </row>
    <row r="419" spans="5:8" ht="13.5" customHeight="1">
      <c r="E419" s="28"/>
      <c r="F419" s="28"/>
      <c r="G419" s="29"/>
      <c r="H419" s="28"/>
    </row>
    <row r="420" spans="5:8" ht="13.5" customHeight="1">
      <c r="E420" s="28"/>
      <c r="F420" s="28"/>
      <c r="G420" s="29"/>
      <c r="H420" s="28"/>
    </row>
    <row r="421" spans="5:8" ht="13.5" customHeight="1">
      <c r="E421" s="28"/>
      <c r="F421" s="28"/>
      <c r="G421" s="29"/>
      <c r="H421" s="28"/>
    </row>
    <row r="422" spans="5:8" ht="13.5" customHeight="1">
      <c r="E422" s="28"/>
      <c r="F422" s="28"/>
      <c r="G422" s="29"/>
      <c r="H422" s="28"/>
    </row>
    <row r="423" spans="5:8" ht="13.5" customHeight="1">
      <c r="E423" s="28"/>
      <c r="F423" s="28"/>
      <c r="G423" s="29"/>
      <c r="H423" s="28"/>
    </row>
    <row r="424" spans="5:8" ht="13.5" customHeight="1">
      <c r="E424" s="28"/>
      <c r="F424" s="28"/>
      <c r="G424" s="29"/>
      <c r="H424" s="28"/>
    </row>
    <row r="425" spans="5:8" ht="13.5" customHeight="1">
      <c r="E425" s="28"/>
      <c r="F425" s="28"/>
      <c r="G425" s="29"/>
      <c r="H425" s="28"/>
    </row>
    <row r="426" spans="5:8" ht="13.5" customHeight="1">
      <c r="E426" s="28"/>
      <c r="F426" s="28"/>
      <c r="G426" s="29"/>
      <c r="H426" s="28"/>
    </row>
    <row r="427" spans="5:8" ht="13.5" customHeight="1">
      <c r="E427" s="28"/>
      <c r="F427" s="28"/>
      <c r="G427" s="29"/>
      <c r="H427" s="28"/>
    </row>
    <row r="428" spans="5:8" ht="13.5" customHeight="1">
      <c r="E428" s="28"/>
      <c r="F428" s="28"/>
      <c r="G428" s="29"/>
      <c r="H428" s="28"/>
    </row>
    <row r="429" spans="5:8" ht="13.5" customHeight="1">
      <c r="E429" s="28"/>
      <c r="F429" s="28"/>
      <c r="G429" s="29"/>
      <c r="H429" s="28"/>
    </row>
    <row r="430" spans="5:8" ht="13.5" customHeight="1">
      <c r="E430" s="28"/>
      <c r="F430" s="28"/>
      <c r="G430" s="29"/>
      <c r="H430" s="28"/>
    </row>
    <row r="431" spans="5:8" ht="13.5" customHeight="1">
      <c r="E431" s="28"/>
      <c r="F431" s="28"/>
      <c r="G431" s="29"/>
      <c r="H431" s="28"/>
    </row>
    <row r="432" spans="5:8" ht="13.5" customHeight="1">
      <c r="E432" s="28"/>
      <c r="F432" s="28"/>
      <c r="G432" s="29"/>
      <c r="H432" s="28"/>
    </row>
    <row r="433" spans="5:8" ht="13.5" customHeight="1">
      <c r="E433" s="28"/>
      <c r="F433" s="28"/>
      <c r="G433" s="29"/>
      <c r="H433" s="28"/>
    </row>
    <row r="434" spans="5:8" ht="13.5" customHeight="1">
      <c r="E434" s="28"/>
      <c r="F434" s="28"/>
      <c r="G434" s="29"/>
      <c r="H434" s="28"/>
    </row>
    <row r="435" spans="5:8" ht="13.5" customHeight="1">
      <c r="E435" s="28"/>
      <c r="F435" s="28"/>
      <c r="G435" s="29"/>
      <c r="H435" s="28"/>
    </row>
    <row r="436" spans="5:8" ht="13.5" customHeight="1">
      <c r="E436" s="28"/>
      <c r="F436" s="28"/>
      <c r="G436" s="29"/>
      <c r="H436" s="28"/>
    </row>
    <row r="437" spans="5:8" ht="13.5" customHeight="1">
      <c r="E437" s="28"/>
      <c r="F437" s="28"/>
      <c r="G437" s="29"/>
      <c r="H437" s="28"/>
    </row>
    <row r="438" spans="5:8" ht="13.5" customHeight="1">
      <c r="E438" s="28"/>
      <c r="F438" s="28"/>
      <c r="G438" s="29"/>
      <c r="H438" s="28"/>
    </row>
    <row r="439" spans="5:8" ht="13.5" customHeight="1">
      <c r="E439" s="28"/>
      <c r="F439" s="28"/>
      <c r="G439" s="29"/>
      <c r="H439" s="28"/>
    </row>
    <row r="440" spans="5:8" ht="13.5" customHeight="1">
      <c r="E440" s="28"/>
      <c r="F440" s="28"/>
      <c r="G440" s="29"/>
      <c r="H440" s="28"/>
    </row>
    <row r="441" spans="5:8" ht="13.5" customHeight="1">
      <c r="E441" s="28"/>
      <c r="F441" s="28"/>
      <c r="G441" s="29"/>
      <c r="H441" s="28"/>
    </row>
    <row r="442" spans="5:8" ht="13.5" customHeight="1">
      <c r="E442" s="28"/>
      <c r="F442" s="28"/>
      <c r="G442" s="29"/>
      <c r="H442" s="28"/>
    </row>
    <row r="443" spans="5:8" ht="13.5" customHeight="1">
      <c r="E443" s="28"/>
      <c r="F443" s="28"/>
      <c r="G443" s="29"/>
      <c r="H443" s="28"/>
    </row>
    <row r="444" spans="5:8" ht="13.5" customHeight="1">
      <c r="E444" s="28"/>
      <c r="F444" s="28"/>
      <c r="G444" s="29"/>
      <c r="H444" s="28"/>
    </row>
    <row r="445" spans="5:8" ht="13.5" customHeight="1">
      <c r="E445" s="28"/>
      <c r="F445" s="28"/>
      <c r="G445" s="29"/>
      <c r="H445" s="28"/>
    </row>
    <row r="446" spans="5:8" ht="13.5" customHeight="1">
      <c r="E446" s="28"/>
      <c r="F446" s="28"/>
      <c r="G446" s="29"/>
      <c r="H446" s="28"/>
    </row>
    <row r="447" spans="5:8" ht="13.5" customHeight="1">
      <c r="E447" s="28"/>
      <c r="F447" s="28"/>
      <c r="G447" s="29"/>
      <c r="H447" s="28"/>
    </row>
    <row r="448" spans="5:8" ht="13.5" customHeight="1">
      <c r="E448" s="28"/>
      <c r="F448" s="28"/>
      <c r="G448" s="29"/>
      <c r="H448" s="28"/>
    </row>
    <row r="449" spans="5:8" ht="13.5" customHeight="1">
      <c r="E449" s="28"/>
      <c r="F449" s="28"/>
      <c r="G449" s="29"/>
      <c r="H449" s="28"/>
    </row>
    <row r="450" spans="5:8" ht="13.5" customHeight="1">
      <c r="E450" s="28"/>
      <c r="F450" s="28"/>
      <c r="G450" s="29"/>
      <c r="H450" s="28"/>
    </row>
    <row r="451" spans="5:8" ht="13.5" customHeight="1">
      <c r="E451" s="28"/>
      <c r="F451" s="28"/>
      <c r="G451" s="29"/>
      <c r="H451" s="28"/>
    </row>
    <row r="452" spans="5:8" ht="13.5" customHeight="1">
      <c r="E452" s="28"/>
      <c r="F452" s="28"/>
      <c r="G452" s="29"/>
      <c r="H452" s="28"/>
    </row>
    <row r="453" spans="5:8" ht="13.5" customHeight="1">
      <c r="E453" s="28"/>
      <c r="F453" s="28"/>
      <c r="G453" s="29"/>
      <c r="H453" s="28"/>
    </row>
    <row r="454" spans="5:8" ht="13.5" customHeight="1">
      <c r="E454" s="28"/>
      <c r="F454" s="28"/>
      <c r="G454" s="29"/>
      <c r="H454" s="28"/>
    </row>
    <row r="455" spans="5:8" ht="13.5" customHeight="1">
      <c r="E455" s="28"/>
      <c r="F455" s="28"/>
      <c r="G455" s="29"/>
      <c r="H455" s="28"/>
    </row>
    <row r="456" spans="5:8" ht="13.5" customHeight="1">
      <c r="E456" s="28"/>
      <c r="F456" s="28"/>
      <c r="G456" s="29"/>
      <c r="H456" s="28"/>
    </row>
    <row r="457" spans="5:8" ht="13.5" customHeight="1">
      <c r="E457" s="28"/>
      <c r="F457" s="28"/>
      <c r="G457" s="29"/>
      <c r="H457" s="28"/>
    </row>
    <row r="458" spans="5:8" ht="13.5" customHeight="1">
      <c r="E458" s="28"/>
      <c r="F458" s="28"/>
      <c r="G458" s="29"/>
      <c r="H458" s="28"/>
    </row>
    <row r="459" spans="5:8" ht="13.5" customHeight="1">
      <c r="E459" s="28"/>
      <c r="F459" s="28"/>
      <c r="G459" s="29"/>
      <c r="H459" s="28"/>
    </row>
    <row r="460" spans="5:8" ht="13.5" customHeight="1">
      <c r="E460" s="28"/>
      <c r="F460" s="28"/>
      <c r="G460" s="29"/>
      <c r="H460" s="28"/>
    </row>
    <row r="461" spans="5:8" ht="13.5" customHeight="1">
      <c r="E461" s="28"/>
      <c r="F461" s="28"/>
      <c r="G461" s="29"/>
      <c r="H461" s="28"/>
    </row>
    <row r="462" spans="5:8" ht="13.5" customHeight="1">
      <c r="E462" s="28"/>
      <c r="F462" s="28"/>
      <c r="G462" s="29"/>
      <c r="H462" s="28"/>
    </row>
    <row r="463" spans="5:8" ht="13.5" customHeight="1">
      <c r="E463" s="28"/>
      <c r="F463" s="28"/>
      <c r="G463" s="29"/>
      <c r="H463" s="28"/>
    </row>
    <row r="464" spans="5:8" ht="13.5" customHeight="1">
      <c r="E464" s="28"/>
      <c r="F464" s="28"/>
      <c r="G464" s="29"/>
      <c r="H464" s="28"/>
    </row>
    <row r="465" spans="5:8" ht="13.5" customHeight="1">
      <c r="E465" s="28"/>
      <c r="F465" s="28"/>
      <c r="G465" s="29"/>
      <c r="H465" s="28"/>
    </row>
    <row r="466" spans="5:8" ht="13.5" customHeight="1">
      <c r="E466" s="28"/>
      <c r="F466" s="28"/>
      <c r="G466" s="29"/>
      <c r="H466" s="28"/>
    </row>
    <row r="467" spans="5:8" ht="13.5" customHeight="1">
      <c r="E467" s="28"/>
      <c r="F467" s="28"/>
      <c r="G467" s="29"/>
      <c r="H467" s="28"/>
    </row>
    <row r="468" spans="5:8" ht="13.5" customHeight="1">
      <c r="E468" s="28"/>
      <c r="F468" s="28"/>
      <c r="G468" s="29"/>
      <c r="H468" s="28"/>
    </row>
    <row r="469" spans="5:8" ht="13.5" customHeight="1">
      <c r="E469" s="28"/>
      <c r="F469" s="28"/>
      <c r="G469" s="29"/>
      <c r="H469" s="28"/>
    </row>
    <row r="470" spans="5:8" ht="13.5" customHeight="1">
      <c r="E470" s="28"/>
      <c r="F470" s="28"/>
      <c r="G470" s="29"/>
      <c r="H470" s="28"/>
    </row>
    <row r="471" spans="5:8" ht="13.5" customHeight="1">
      <c r="E471" s="28"/>
      <c r="F471" s="28"/>
      <c r="G471" s="29"/>
      <c r="H471" s="28"/>
    </row>
    <row r="472" spans="5:8" ht="13.5" customHeight="1">
      <c r="E472" s="28"/>
      <c r="F472" s="28"/>
      <c r="G472" s="29"/>
      <c r="H472" s="28"/>
    </row>
    <row r="473" spans="5:8" ht="13.5" customHeight="1">
      <c r="E473" s="28"/>
      <c r="F473" s="28"/>
      <c r="G473" s="29"/>
      <c r="H473" s="28"/>
    </row>
    <row r="474" spans="5:8" ht="13.5" customHeight="1">
      <c r="E474" s="28"/>
      <c r="F474" s="28"/>
      <c r="G474" s="29"/>
      <c r="H474" s="28"/>
    </row>
    <row r="475" spans="5:8" ht="13.5" customHeight="1">
      <c r="E475" s="28"/>
      <c r="F475" s="28"/>
      <c r="G475" s="29"/>
      <c r="H475" s="28"/>
    </row>
    <row r="476" spans="5:8" ht="13.5" customHeight="1">
      <c r="E476" s="28"/>
      <c r="F476" s="28"/>
      <c r="G476" s="29"/>
      <c r="H476" s="28"/>
    </row>
    <row r="477" spans="5:8" ht="13.5" customHeight="1">
      <c r="E477" s="28"/>
      <c r="F477" s="28"/>
      <c r="G477" s="29"/>
      <c r="H477" s="28"/>
    </row>
    <row r="478" spans="5:8" ht="13.5" customHeight="1">
      <c r="E478" s="28"/>
      <c r="F478" s="28"/>
      <c r="G478" s="29"/>
      <c r="H478" s="28"/>
    </row>
    <row r="479" spans="5:8" ht="13.5" customHeight="1">
      <c r="E479" s="28"/>
      <c r="F479" s="28"/>
      <c r="G479" s="29"/>
      <c r="H479" s="28"/>
    </row>
    <row r="480" spans="5:8" ht="13.5" customHeight="1">
      <c r="E480" s="28"/>
      <c r="F480" s="28"/>
      <c r="G480" s="29"/>
      <c r="H480" s="28"/>
    </row>
    <row r="481" spans="5:8" ht="13.5" customHeight="1">
      <c r="E481" s="28"/>
      <c r="F481" s="28"/>
      <c r="G481" s="29"/>
      <c r="H481" s="28"/>
    </row>
    <row r="482" spans="5:8" ht="13.5" customHeight="1">
      <c r="E482" s="28"/>
      <c r="F482" s="28"/>
      <c r="G482" s="29"/>
      <c r="H482" s="28"/>
    </row>
    <row r="483" spans="5:8" ht="13.5" customHeight="1">
      <c r="E483" s="28"/>
      <c r="F483" s="28"/>
      <c r="G483" s="29"/>
      <c r="H483" s="28"/>
    </row>
    <row r="484" spans="5:8" ht="13.5" customHeight="1">
      <c r="E484" s="28"/>
      <c r="F484" s="28"/>
      <c r="G484" s="29"/>
      <c r="H484" s="28"/>
    </row>
    <row r="485" spans="5:8" ht="13.5" customHeight="1">
      <c r="E485" s="28"/>
      <c r="F485" s="28"/>
      <c r="G485" s="29"/>
      <c r="H485" s="28"/>
    </row>
    <row r="486" spans="5:8" ht="13.5" customHeight="1">
      <c r="E486" s="28"/>
      <c r="F486" s="28"/>
      <c r="G486" s="29"/>
      <c r="H486" s="28"/>
    </row>
    <row r="487" spans="5:8" ht="13.5" customHeight="1">
      <c r="E487" s="28"/>
      <c r="F487" s="28"/>
      <c r="G487" s="29"/>
      <c r="H487" s="28"/>
    </row>
    <row r="488" spans="5:8" ht="13.5" customHeight="1">
      <c r="E488" s="28"/>
      <c r="F488" s="28"/>
      <c r="G488" s="29"/>
      <c r="H488" s="28"/>
    </row>
    <row r="489" spans="5:8" ht="13.5" customHeight="1">
      <c r="E489" s="28"/>
      <c r="F489" s="28"/>
      <c r="G489" s="29"/>
      <c r="H489" s="28"/>
    </row>
    <row r="490" spans="5:8" ht="13.5" customHeight="1">
      <c r="E490" s="28"/>
      <c r="F490" s="28"/>
      <c r="G490" s="29"/>
      <c r="H490" s="28"/>
    </row>
    <row r="491" spans="5:8" ht="13.5" customHeight="1">
      <c r="E491" s="28"/>
      <c r="F491" s="28"/>
      <c r="G491" s="29"/>
      <c r="H491" s="28"/>
    </row>
    <row r="492" spans="5:8" ht="13.5" customHeight="1">
      <c r="E492" s="28"/>
      <c r="F492" s="28"/>
      <c r="G492" s="29"/>
      <c r="H492" s="28"/>
    </row>
    <row r="493" spans="5:8" ht="13.5" customHeight="1">
      <c r="E493" s="28"/>
      <c r="F493" s="28"/>
      <c r="G493" s="29"/>
      <c r="H493" s="28"/>
    </row>
    <row r="494" spans="5:8" ht="13.5" customHeight="1">
      <c r="E494" s="28"/>
      <c r="F494" s="28"/>
      <c r="G494" s="29"/>
      <c r="H494" s="28"/>
    </row>
    <row r="495" spans="5:8" ht="13.5" customHeight="1">
      <c r="E495" s="28"/>
      <c r="F495" s="28"/>
      <c r="G495" s="29"/>
      <c r="H495" s="28"/>
    </row>
    <row r="496" spans="5:8" ht="13.5" customHeight="1">
      <c r="E496" s="28"/>
      <c r="F496" s="28"/>
      <c r="G496" s="29"/>
      <c r="H496" s="28"/>
    </row>
    <row r="497" spans="5:8" ht="13.5" customHeight="1">
      <c r="E497" s="28"/>
      <c r="F497" s="28"/>
      <c r="G497" s="29"/>
      <c r="H497" s="28"/>
    </row>
    <row r="498" spans="5:8" ht="13.5" customHeight="1">
      <c r="E498" s="28"/>
      <c r="F498" s="28"/>
      <c r="G498" s="29"/>
      <c r="H498" s="28"/>
    </row>
    <row r="499" spans="5:8" ht="13.5" customHeight="1">
      <c r="E499" s="28"/>
      <c r="F499" s="28"/>
      <c r="G499" s="29"/>
      <c r="H499" s="28"/>
    </row>
    <row r="500" spans="5:8" ht="13.5" customHeight="1">
      <c r="E500" s="28"/>
      <c r="F500" s="28"/>
      <c r="G500" s="29"/>
      <c r="H500" s="28"/>
    </row>
    <row r="501" spans="5:8" ht="13.5" customHeight="1">
      <c r="E501" s="28"/>
      <c r="F501" s="28"/>
      <c r="G501" s="29"/>
      <c r="H501" s="28"/>
    </row>
    <row r="502" spans="5:8" ht="13.5" customHeight="1">
      <c r="E502" s="28"/>
      <c r="F502" s="28"/>
      <c r="G502" s="29"/>
      <c r="H502" s="28"/>
    </row>
    <row r="503" spans="5:8" ht="13.5" customHeight="1">
      <c r="E503" s="28"/>
      <c r="F503" s="28"/>
      <c r="G503" s="29"/>
      <c r="H503" s="28"/>
    </row>
    <row r="504" spans="5:8" ht="13.5" customHeight="1">
      <c r="E504" s="28"/>
      <c r="F504" s="28"/>
      <c r="G504" s="29"/>
      <c r="H504" s="28"/>
    </row>
    <row r="505" spans="5:8" ht="13.5" customHeight="1">
      <c r="E505" s="28"/>
      <c r="F505" s="28"/>
      <c r="G505" s="29"/>
      <c r="H505" s="28"/>
    </row>
    <row r="506" spans="5:8" ht="13.5" customHeight="1">
      <c r="E506" s="28"/>
      <c r="F506" s="28"/>
      <c r="G506" s="29"/>
      <c r="H506" s="28"/>
    </row>
    <row r="507" spans="5:8" ht="13.5" customHeight="1">
      <c r="E507" s="28"/>
      <c r="F507" s="28"/>
      <c r="G507" s="29"/>
      <c r="H507" s="28"/>
    </row>
    <row r="508" spans="5:8" ht="13.5" customHeight="1">
      <c r="E508" s="28"/>
      <c r="F508" s="28"/>
      <c r="G508" s="29"/>
      <c r="H508" s="28"/>
    </row>
    <row r="509" spans="5:8" ht="13.5" customHeight="1">
      <c r="E509" s="28"/>
      <c r="F509" s="28"/>
      <c r="G509" s="29"/>
      <c r="H509" s="28"/>
    </row>
    <row r="510" spans="5:8" ht="13.5" customHeight="1">
      <c r="E510" s="28"/>
      <c r="F510" s="28"/>
      <c r="G510" s="29"/>
      <c r="H510" s="28"/>
    </row>
    <row r="511" spans="5:8" ht="13.5" customHeight="1">
      <c r="E511" s="28"/>
      <c r="F511" s="28"/>
      <c r="G511" s="29"/>
      <c r="H511" s="28"/>
    </row>
    <row r="512" spans="5:8" ht="13.5" customHeight="1">
      <c r="E512" s="28"/>
      <c r="F512" s="28"/>
      <c r="G512" s="29"/>
      <c r="H512" s="28"/>
    </row>
    <row r="513" spans="5:8" ht="13.5" customHeight="1">
      <c r="E513" s="28"/>
      <c r="F513" s="28"/>
      <c r="G513" s="29"/>
      <c r="H513" s="28"/>
    </row>
    <row r="514" spans="5:8" ht="13.5" customHeight="1">
      <c r="E514" s="28"/>
      <c r="F514" s="28"/>
      <c r="G514" s="29"/>
      <c r="H514" s="28"/>
    </row>
    <row r="515" spans="5:8" ht="13.5" customHeight="1">
      <c r="E515" s="28"/>
      <c r="F515" s="28"/>
      <c r="G515" s="29"/>
      <c r="H515" s="28"/>
    </row>
    <row r="516" spans="5:8" ht="13.5" customHeight="1">
      <c r="E516" s="28"/>
      <c r="F516" s="28"/>
      <c r="G516" s="29"/>
      <c r="H516" s="28"/>
    </row>
    <row r="517" spans="5:8" ht="13.5" customHeight="1">
      <c r="E517" s="28"/>
      <c r="F517" s="28"/>
      <c r="G517" s="29"/>
      <c r="H517" s="28"/>
    </row>
    <row r="518" spans="5:8" ht="13.5" customHeight="1">
      <c r="E518" s="28"/>
      <c r="F518" s="28"/>
      <c r="G518" s="29"/>
      <c r="H518" s="28"/>
    </row>
    <row r="519" spans="5:8" ht="13.5" customHeight="1">
      <c r="E519" s="28"/>
      <c r="F519" s="28"/>
      <c r="G519" s="29"/>
      <c r="H519" s="28"/>
    </row>
    <row r="520" spans="5:8" ht="13.5" customHeight="1">
      <c r="E520" s="28"/>
      <c r="F520" s="28"/>
      <c r="G520" s="29"/>
      <c r="H520" s="28"/>
    </row>
    <row r="521" spans="5:8" ht="13.5" customHeight="1">
      <c r="E521" s="28"/>
      <c r="F521" s="28"/>
      <c r="G521" s="29"/>
      <c r="H521" s="28"/>
    </row>
    <row r="522" spans="5:8" ht="13.5" customHeight="1">
      <c r="E522" s="28"/>
      <c r="F522" s="28"/>
      <c r="G522" s="29"/>
      <c r="H522" s="28"/>
    </row>
    <row r="523" spans="5:8" ht="13.5" customHeight="1">
      <c r="E523" s="28"/>
      <c r="F523" s="28"/>
      <c r="G523" s="29"/>
      <c r="H523" s="28"/>
    </row>
    <row r="524" spans="5:8" ht="13.5" customHeight="1">
      <c r="E524" s="28"/>
      <c r="F524" s="28"/>
      <c r="G524" s="29"/>
      <c r="H524" s="28"/>
    </row>
    <row r="525" spans="5:8" ht="13.5" customHeight="1">
      <c r="E525" s="28"/>
      <c r="F525" s="28"/>
      <c r="G525" s="29"/>
      <c r="H525" s="28"/>
    </row>
    <row r="526" spans="5:8" ht="13.5" customHeight="1">
      <c r="E526" s="28"/>
      <c r="F526" s="28"/>
      <c r="G526" s="29"/>
      <c r="H526" s="28"/>
    </row>
    <row r="527" spans="5:8" ht="13.5" customHeight="1">
      <c r="E527" s="28"/>
      <c r="F527" s="28"/>
      <c r="G527" s="29"/>
      <c r="H527" s="28"/>
    </row>
    <row r="528" spans="5:8" ht="13.5" customHeight="1">
      <c r="E528" s="28"/>
      <c r="F528" s="28"/>
      <c r="G528" s="29"/>
      <c r="H528" s="28"/>
    </row>
    <row r="529" spans="5:8" ht="13.5" customHeight="1">
      <c r="E529" s="28"/>
      <c r="F529" s="28"/>
      <c r="G529" s="29"/>
      <c r="H529" s="28"/>
    </row>
    <row r="530" spans="5:8" ht="13.5" customHeight="1">
      <c r="E530" s="28"/>
      <c r="F530" s="28"/>
      <c r="G530" s="29"/>
      <c r="H530" s="28"/>
    </row>
    <row r="531" spans="5:8" ht="13.5" customHeight="1">
      <c r="E531" s="28"/>
      <c r="F531" s="28"/>
      <c r="G531" s="29"/>
      <c r="H531" s="28"/>
    </row>
    <row r="532" spans="5:8" ht="13.5" customHeight="1">
      <c r="E532" s="28"/>
      <c r="F532" s="28"/>
      <c r="G532" s="29"/>
      <c r="H532" s="28"/>
    </row>
    <row r="533" spans="5:8" ht="13.5" customHeight="1">
      <c r="E533" s="28"/>
      <c r="F533" s="28"/>
      <c r="G533" s="29"/>
      <c r="H533" s="28"/>
    </row>
    <row r="534" spans="5:8" ht="13.5" customHeight="1">
      <c r="E534" s="28"/>
      <c r="F534" s="28"/>
      <c r="G534" s="29"/>
      <c r="H534" s="28"/>
    </row>
    <row r="535" spans="5:8" ht="13.5" customHeight="1">
      <c r="E535" s="28"/>
      <c r="F535" s="28"/>
      <c r="G535" s="29"/>
      <c r="H535" s="28"/>
    </row>
    <row r="536" spans="5:8" ht="13.5" customHeight="1">
      <c r="E536" s="28"/>
      <c r="F536" s="28"/>
      <c r="G536" s="29"/>
      <c r="H536" s="28"/>
    </row>
    <row r="537" spans="5:8" ht="13.5" customHeight="1">
      <c r="E537" s="28"/>
      <c r="F537" s="28"/>
      <c r="G537" s="29"/>
      <c r="H537" s="28"/>
    </row>
    <row r="538" spans="5:8" ht="13.5" customHeight="1">
      <c r="E538" s="28"/>
      <c r="F538" s="28"/>
      <c r="G538" s="29"/>
      <c r="H538" s="28"/>
    </row>
    <row r="539" spans="5:8" ht="13.5" customHeight="1">
      <c r="E539" s="28"/>
      <c r="F539" s="28"/>
      <c r="G539" s="29"/>
      <c r="H539" s="28"/>
    </row>
    <row r="540" spans="5:8" ht="13.5" customHeight="1">
      <c r="E540" s="28"/>
      <c r="F540" s="28"/>
      <c r="G540" s="29"/>
      <c r="H540" s="28"/>
    </row>
    <row r="541" spans="5:8" ht="13.5" customHeight="1">
      <c r="E541" s="28"/>
      <c r="F541" s="28"/>
      <c r="G541" s="29"/>
      <c r="H541" s="28"/>
    </row>
    <row r="542" spans="5:8" ht="13.5" customHeight="1">
      <c r="E542" s="28"/>
      <c r="F542" s="28"/>
      <c r="G542" s="29"/>
      <c r="H542" s="28"/>
    </row>
    <row r="543" spans="5:8" ht="13.5" customHeight="1">
      <c r="E543" s="28"/>
      <c r="F543" s="28"/>
      <c r="G543" s="29"/>
      <c r="H543" s="28"/>
    </row>
    <row r="544" spans="5:8" ht="13.5" customHeight="1">
      <c r="E544" s="28"/>
      <c r="F544" s="28"/>
      <c r="G544" s="29"/>
      <c r="H544" s="28"/>
    </row>
    <row r="545" spans="5:8" ht="13.5" customHeight="1">
      <c r="E545" s="28"/>
      <c r="F545" s="28"/>
      <c r="G545" s="29"/>
      <c r="H545" s="28"/>
    </row>
    <row r="546" spans="5:8" ht="13.5" customHeight="1">
      <c r="E546" s="28"/>
      <c r="F546" s="28"/>
      <c r="G546" s="29"/>
      <c r="H546" s="28"/>
    </row>
    <row r="547" spans="5:8" ht="13.5" customHeight="1">
      <c r="E547" s="28"/>
      <c r="F547" s="28"/>
      <c r="G547" s="29"/>
      <c r="H547" s="28"/>
    </row>
    <row r="548" spans="5:8" ht="13.5" customHeight="1">
      <c r="E548" s="28"/>
      <c r="F548" s="28"/>
      <c r="G548" s="29"/>
      <c r="H548" s="28"/>
    </row>
    <row r="549" spans="5:8" ht="13.5" customHeight="1">
      <c r="E549" s="28"/>
      <c r="F549" s="28"/>
      <c r="G549" s="29"/>
      <c r="H549" s="28"/>
    </row>
    <row r="550" spans="5:8" ht="13.5" customHeight="1">
      <c r="E550" s="28"/>
      <c r="F550" s="28"/>
      <c r="G550" s="29"/>
      <c r="H550" s="28"/>
    </row>
    <row r="551" spans="5:8" ht="13.5" customHeight="1">
      <c r="E551" s="28"/>
      <c r="F551" s="28"/>
      <c r="G551" s="29"/>
      <c r="H551" s="28"/>
    </row>
    <row r="552" spans="5:8" ht="13.5" customHeight="1">
      <c r="E552" s="28"/>
      <c r="F552" s="28"/>
      <c r="G552" s="29"/>
      <c r="H552" s="28"/>
    </row>
    <row r="553" spans="5:8" ht="13.5" customHeight="1">
      <c r="E553" s="28"/>
      <c r="F553" s="28"/>
      <c r="G553" s="29"/>
      <c r="H553" s="28"/>
    </row>
    <row r="554" spans="5:8" ht="13.5" customHeight="1">
      <c r="E554" s="28"/>
      <c r="F554" s="28"/>
      <c r="G554" s="29"/>
      <c r="H554" s="28"/>
    </row>
    <row r="555" spans="5:8" ht="13.5" customHeight="1">
      <c r="E555" s="28"/>
      <c r="F555" s="28"/>
      <c r="G555" s="29"/>
      <c r="H555" s="28"/>
    </row>
    <row r="556" spans="5:8" ht="13.5" customHeight="1">
      <c r="E556" s="28"/>
      <c r="F556" s="28"/>
      <c r="G556" s="29"/>
      <c r="H556" s="28"/>
    </row>
    <row r="557" spans="5:8" ht="13.5" customHeight="1">
      <c r="E557" s="28"/>
      <c r="F557" s="28"/>
      <c r="G557" s="29"/>
      <c r="H557" s="28"/>
    </row>
    <row r="558" spans="5:8" ht="13.5" customHeight="1">
      <c r="E558" s="28"/>
      <c r="F558" s="28"/>
      <c r="G558" s="29"/>
      <c r="H558" s="28"/>
    </row>
    <row r="559" spans="5:8" ht="13.5" customHeight="1">
      <c r="E559" s="28"/>
      <c r="F559" s="28"/>
      <c r="G559" s="29"/>
      <c r="H559" s="28"/>
    </row>
    <row r="560" spans="5:8" ht="13.5" customHeight="1">
      <c r="E560" s="28"/>
      <c r="F560" s="28"/>
      <c r="G560" s="29"/>
      <c r="H560" s="28"/>
    </row>
    <row r="561" spans="5:8" ht="13.5" customHeight="1">
      <c r="E561" s="28"/>
      <c r="F561" s="28"/>
      <c r="G561" s="29"/>
      <c r="H561" s="28"/>
    </row>
    <row r="562" spans="5:8" ht="13.5" customHeight="1">
      <c r="E562" s="28"/>
      <c r="F562" s="28"/>
      <c r="G562" s="29"/>
      <c r="H562" s="28"/>
    </row>
    <row r="563" spans="5:8" ht="13.5" customHeight="1">
      <c r="E563" s="28"/>
      <c r="F563" s="28"/>
      <c r="G563" s="29"/>
      <c r="H563" s="28"/>
    </row>
    <row r="564" spans="5:8" ht="13.5" customHeight="1">
      <c r="E564" s="28"/>
      <c r="F564" s="28"/>
      <c r="G564" s="29"/>
      <c r="H564" s="28"/>
    </row>
    <row r="565" spans="5:8" ht="13.5" customHeight="1">
      <c r="E565" s="28"/>
      <c r="F565" s="28"/>
      <c r="G565" s="29"/>
      <c r="H565" s="28"/>
    </row>
    <row r="566" spans="5:8" ht="13.5" customHeight="1">
      <c r="E566" s="28"/>
      <c r="F566" s="28"/>
      <c r="G566" s="29"/>
      <c r="H566" s="28"/>
    </row>
    <row r="567" spans="5:8" ht="13.5" customHeight="1">
      <c r="E567" s="28"/>
      <c r="F567" s="28"/>
      <c r="G567" s="29"/>
      <c r="H567" s="28"/>
    </row>
    <row r="568" spans="5:8" ht="13.5" customHeight="1">
      <c r="E568" s="28"/>
      <c r="F568" s="28"/>
      <c r="G568" s="29"/>
      <c r="H568" s="28"/>
    </row>
    <row r="569" spans="5:8" ht="13.5" customHeight="1">
      <c r="E569" s="28"/>
      <c r="F569" s="28"/>
      <c r="G569" s="29"/>
      <c r="H569" s="28"/>
    </row>
    <row r="570" spans="5:8" ht="13.5" customHeight="1">
      <c r="E570" s="28"/>
      <c r="F570" s="28"/>
      <c r="G570" s="29"/>
      <c r="H570" s="28"/>
    </row>
    <row r="571" spans="5:8" ht="13.5" customHeight="1">
      <c r="E571" s="28"/>
      <c r="F571" s="28"/>
      <c r="G571" s="29"/>
      <c r="H571" s="28"/>
    </row>
    <row r="572" spans="5:8" ht="13.5" customHeight="1">
      <c r="E572" s="28"/>
      <c r="F572" s="28"/>
      <c r="G572" s="29"/>
      <c r="H572" s="28"/>
    </row>
    <row r="573" spans="5:8" ht="13.5" customHeight="1">
      <c r="E573" s="28"/>
      <c r="F573" s="28"/>
      <c r="G573" s="29"/>
      <c r="H573" s="28"/>
    </row>
    <row r="574" spans="5:8" ht="13.5" customHeight="1">
      <c r="E574" s="28"/>
      <c r="F574" s="28"/>
      <c r="G574" s="29"/>
      <c r="H574" s="28"/>
    </row>
    <row r="575" spans="5:8" ht="13.5" customHeight="1">
      <c r="E575" s="28"/>
      <c r="F575" s="28"/>
      <c r="G575" s="29"/>
      <c r="H575" s="28"/>
    </row>
    <row r="576" spans="5:8" ht="13.5" customHeight="1">
      <c r="E576" s="28"/>
      <c r="F576" s="28"/>
      <c r="G576" s="29"/>
      <c r="H576" s="28"/>
    </row>
    <row r="577" spans="5:8" ht="13.5" customHeight="1">
      <c r="E577" s="28"/>
      <c r="F577" s="28"/>
      <c r="G577" s="29"/>
      <c r="H577" s="28"/>
    </row>
    <row r="578" spans="5:8" ht="13.5" customHeight="1">
      <c r="E578" s="28"/>
      <c r="F578" s="28"/>
      <c r="G578" s="29"/>
      <c r="H578" s="28"/>
    </row>
    <row r="579" spans="5:8" ht="13.5" customHeight="1">
      <c r="E579" s="28"/>
      <c r="F579" s="28"/>
      <c r="G579" s="29"/>
      <c r="H579" s="28"/>
    </row>
    <row r="580" spans="5:8" ht="13.5" customHeight="1">
      <c r="E580" s="28"/>
      <c r="F580" s="28"/>
      <c r="G580" s="29"/>
      <c r="H580" s="28"/>
    </row>
    <row r="581" spans="5:8" ht="13.5" customHeight="1">
      <c r="E581" s="28"/>
      <c r="F581" s="28"/>
      <c r="G581" s="29"/>
      <c r="H581" s="28"/>
    </row>
    <row r="582" spans="5:8" ht="13.5" customHeight="1">
      <c r="E582" s="28"/>
      <c r="F582" s="28"/>
      <c r="G582" s="29"/>
      <c r="H582" s="28"/>
    </row>
    <row r="583" spans="5:8" ht="13.5" customHeight="1">
      <c r="E583" s="28"/>
      <c r="F583" s="28"/>
      <c r="G583" s="29"/>
      <c r="H583" s="28"/>
    </row>
    <row r="584" spans="5:8" ht="13.5" customHeight="1">
      <c r="E584" s="28"/>
      <c r="F584" s="28"/>
      <c r="G584" s="29"/>
      <c r="H584" s="28"/>
    </row>
    <row r="585" spans="5:8" ht="13.5" customHeight="1">
      <c r="E585" s="28"/>
      <c r="F585" s="28"/>
      <c r="G585" s="29"/>
      <c r="H585" s="28"/>
    </row>
    <row r="586" spans="5:8" ht="13.5" customHeight="1">
      <c r="E586" s="28"/>
      <c r="F586" s="28"/>
      <c r="G586" s="29"/>
      <c r="H586" s="28"/>
    </row>
    <row r="587" spans="5:8" ht="13.5" customHeight="1">
      <c r="E587" s="28"/>
      <c r="F587" s="28"/>
      <c r="G587" s="29"/>
      <c r="H587" s="28"/>
    </row>
    <row r="588" spans="5:8" ht="13.5" customHeight="1">
      <c r="E588" s="28"/>
      <c r="F588" s="28"/>
      <c r="G588" s="29"/>
      <c r="H588" s="28"/>
    </row>
    <row r="589" spans="5:8" ht="13.5" customHeight="1">
      <c r="E589" s="28"/>
      <c r="F589" s="28"/>
      <c r="G589" s="29"/>
      <c r="H589" s="28"/>
    </row>
    <row r="590" spans="5:8" ht="13.5" customHeight="1">
      <c r="E590" s="28"/>
      <c r="F590" s="28"/>
      <c r="G590" s="29"/>
      <c r="H590" s="28"/>
    </row>
    <row r="591" spans="5:8" ht="13.5" customHeight="1">
      <c r="E591" s="28"/>
      <c r="F591" s="28"/>
      <c r="G591" s="29"/>
      <c r="H591" s="28"/>
    </row>
    <row r="592" spans="5:8" ht="13.5" customHeight="1">
      <c r="E592" s="28"/>
      <c r="F592" s="28"/>
      <c r="G592" s="29"/>
      <c r="H592" s="28"/>
    </row>
    <row r="593" spans="5:8" ht="13.5" customHeight="1">
      <c r="E593" s="28"/>
      <c r="F593" s="28"/>
      <c r="G593" s="29"/>
      <c r="H593" s="28"/>
    </row>
    <row r="594" spans="5:8" ht="13.5" customHeight="1">
      <c r="E594" s="28"/>
      <c r="F594" s="28"/>
      <c r="G594" s="29"/>
      <c r="H594" s="28"/>
    </row>
    <row r="595" spans="5:8" ht="13.5" customHeight="1">
      <c r="E595" s="28"/>
      <c r="F595" s="28"/>
      <c r="G595" s="29"/>
      <c r="H595" s="28"/>
    </row>
    <row r="596" spans="5:8" ht="13.5" customHeight="1">
      <c r="E596" s="28"/>
      <c r="F596" s="28"/>
      <c r="G596" s="29"/>
      <c r="H596" s="28"/>
    </row>
    <row r="597" spans="5:8" ht="13.5" customHeight="1">
      <c r="E597" s="28"/>
      <c r="F597" s="28"/>
      <c r="G597" s="29"/>
      <c r="H597" s="28"/>
    </row>
    <row r="598" spans="5:8" ht="13.5" customHeight="1">
      <c r="E598" s="28"/>
      <c r="F598" s="28"/>
      <c r="G598" s="29"/>
      <c r="H598" s="28"/>
    </row>
    <row r="599" spans="5:8" ht="13.5" customHeight="1">
      <c r="E599" s="28"/>
      <c r="F599" s="28"/>
      <c r="G599" s="29"/>
      <c r="H599" s="28"/>
    </row>
    <row r="600" spans="5:8" ht="13.5" customHeight="1">
      <c r="E600" s="28"/>
      <c r="F600" s="28"/>
      <c r="G600" s="29"/>
      <c r="H600" s="28"/>
    </row>
    <row r="601" spans="5:8" ht="13.5" customHeight="1">
      <c r="E601" s="28"/>
      <c r="F601" s="28"/>
      <c r="G601" s="29"/>
      <c r="H601" s="28"/>
    </row>
    <row r="602" spans="5:8" ht="13.5" customHeight="1">
      <c r="E602" s="28"/>
      <c r="F602" s="28"/>
      <c r="G602" s="29"/>
      <c r="H602" s="28"/>
    </row>
    <row r="603" spans="5:8" ht="13.5" customHeight="1">
      <c r="E603" s="28"/>
      <c r="F603" s="28"/>
      <c r="G603" s="29"/>
      <c r="H603" s="28"/>
    </row>
    <row r="604" spans="5:8" ht="13.5" customHeight="1">
      <c r="E604" s="28"/>
      <c r="F604" s="28"/>
      <c r="G604" s="29"/>
      <c r="H604" s="28"/>
    </row>
    <row r="605" spans="5:8" ht="13.5" customHeight="1">
      <c r="E605" s="28"/>
      <c r="F605" s="28"/>
      <c r="G605" s="29"/>
      <c r="H605" s="28"/>
    </row>
    <row r="606" spans="5:8" ht="13.5" customHeight="1">
      <c r="E606" s="28"/>
      <c r="F606" s="28"/>
      <c r="G606" s="29"/>
      <c r="H606" s="28"/>
    </row>
    <row r="607" spans="5:8" ht="13.5" customHeight="1">
      <c r="E607" s="28"/>
      <c r="F607" s="28"/>
      <c r="G607" s="29"/>
      <c r="H607" s="28"/>
    </row>
    <row r="608" spans="5:8" ht="13.5" customHeight="1">
      <c r="E608" s="28"/>
      <c r="F608" s="28"/>
      <c r="G608" s="29"/>
      <c r="H608" s="28"/>
    </row>
    <row r="609" spans="5:8" ht="13.5" customHeight="1">
      <c r="E609" s="28"/>
      <c r="F609" s="28"/>
      <c r="G609" s="29"/>
      <c r="H609" s="28"/>
    </row>
    <row r="610" spans="5:8" ht="13.5" customHeight="1">
      <c r="E610" s="28"/>
      <c r="F610" s="28"/>
      <c r="G610" s="29"/>
      <c r="H610" s="28"/>
    </row>
    <row r="611" spans="5:8" ht="13.5" customHeight="1">
      <c r="E611" s="28"/>
      <c r="F611" s="28"/>
      <c r="G611" s="29"/>
      <c r="H611" s="28"/>
    </row>
    <row r="612" spans="5:8" ht="13.5" customHeight="1">
      <c r="E612" s="28"/>
      <c r="F612" s="28"/>
      <c r="G612" s="29"/>
      <c r="H612" s="28"/>
    </row>
    <row r="613" spans="5:8" ht="13.5" customHeight="1">
      <c r="E613" s="28"/>
      <c r="F613" s="28"/>
      <c r="G613" s="29"/>
      <c r="H613" s="28"/>
    </row>
    <row r="614" spans="5:8" ht="13.5" customHeight="1">
      <c r="E614" s="28"/>
      <c r="F614" s="28"/>
      <c r="G614" s="29"/>
      <c r="H614" s="28"/>
    </row>
    <row r="615" spans="5:8" ht="13.5" customHeight="1">
      <c r="E615" s="28"/>
      <c r="F615" s="28"/>
      <c r="G615" s="29"/>
      <c r="H615" s="28"/>
    </row>
    <row r="616" spans="5:8" ht="13.5" customHeight="1">
      <c r="E616" s="28"/>
      <c r="F616" s="28"/>
      <c r="G616" s="29"/>
      <c r="H616" s="28"/>
    </row>
    <row r="617" spans="5:8" ht="13.5" customHeight="1">
      <c r="E617" s="28"/>
      <c r="F617" s="28"/>
      <c r="G617" s="29"/>
      <c r="H617" s="28"/>
    </row>
    <row r="618" spans="5:8" ht="13.5" customHeight="1">
      <c r="E618" s="28"/>
      <c r="F618" s="28"/>
      <c r="G618" s="29"/>
      <c r="H618" s="28"/>
    </row>
    <row r="619" spans="5:8" ht="13.5" customHeight="1">
      <c r="E619" s="28"/>
      <c r="F619" s="28"/>
      <c r="G619" s="29"/>
      <c r="H619" s="28"/>
    </row>
    <row r="620" spans="5:8" ht="13.5" customHeight="1">
      <c r="E620" s="28"/>
      <c r="F620" s="28"/>
      <c r="G620" s="29"/>
      <c r="H620" s="28"/>
    </row>
    <row r="621" spans="5:8" ht="13.5" customHeight="1">
      <c r="E621" s="28"/>
      <c r="F621" s="28"/>
      <c r="G621" s="29"/>
      <c r="H621" s="28"/>
    </row>
    <row r="622" spans="5:8" ht="13.5" customHeight="1">
      <c r="E622" s="28"/>
      <c r="F622" s="28"/>
      <c r="G622" s="29"/>
      <c r="H622" s="28"/>
    </row>
    <row r="623" spans="5:8" ht="13.5" customHeight="1">
      <c r="E623" s="28"/>
      <c r="F623" s="28"/>
      <c r="G623" s="29"/>
      <c r="H623" s="28"/>
    </row>
    <row r="624" spans="5:8" ht="13.5" customHeight="1">
      <c r="E624" s="28"/>
      <c r="F624" s="28"/>
      <c r="G624" s="29"/>
      <c r="H624" s="28"/>
    </row>
    <row r="625" spans="5:8" ht="13.5" customHeight="1">
      <c r="E625" s="28"/>
      <c r="F625" s="28"/>
      <c r="G625" s="29"/>
      <c r="H625" s="28"/>
    </row>
    <row r="626" spans="5:8" ht="13.5" customHeight="1">
      <c r="E626" s="28"/>
      <c r="F626" s="28"/>
      <c r="G626" s="29"/>
      <c r="H626" s="28"/>
    </row>
    <row r="627" spans="5:8" ht="13.5" customHeight="1">
      <c r="E627" s="28"/>
      <c r="F627" s="28"/>
      <c r="G627" s="29"/>
      <c r="H627" s="28"/>
    </row>
    <row r="628" spans="5:8" ht="13.5" customHeight="1">
      <c r="E628" s="28"/>
      <c r="F628" s="28"/>
      <c r="G628" s="29"/>
      <c r="H628" s="28"/>
    </row>
    <row r="629" spans="5:8" ht="13.5" customHeight="1">
      <c r="E629" s="28"/>
      <c r="F629" s="28"/>
      <c r="G629" s="29"/>
      <c r="H629" s="28"/>
    </row>
    <row r="630" spans="5:8" ht="13.5" customHeight="1">
      <c r="E630" s="28"/>
      <c r="F630" s="28"/>
      <c r="G630" s="29"/>
      <c r="H630" s="28"/>
    </row>
    <row r="631" spans="5:8" ht="13.5" customHeight="1">
      <c r="E631" s="28"/>
      <c r="F631" s="28"/>
      <c r="G631" s="29"/>
      <c r="H631" s="28"/>
    </row>
    <row r="632" spans="5:8" ht="13.5" customHeight="1">
      <c r="E632" s="28"/>
      <c r="F632" s="28"/>
      <c r="G632" s="29"/>
      <c r="H632" s="28"/>
    </row>
    <row r="633" spans="5:8" ht="13.5" customHeight="1">
      <c r="E633" s="28"/>
      <c r="F633" s="28"/>
      <c r="G633" s="29"/>
      <c r="H633" s="28"/>
    </row>
    <row r="634" spans="5:8" ht="13.5" customHeight="1">
      <c r="E634" s="28"/>
      <c r="F634" s="28"/>
      <c r="G634" s="29"/>
      <c r="H634" s="28"/>
    </row>
    <row r="635" spans="5:8" ht="13.5" customHeight="1">
      <c r="E635" s="28"/>
      <c r="F635" s="28"/>
      <c r="G635" s="29"/>
      <c r="H635" s="28"/>
    </row>
    <row r="636" spans="5:8" ht="13.5" customHeight="1">
      <c r="E636" s="28"/>
      <c r="F636" s="28"/>
      <c r="G636" s="29"/>
      <c r="H636" s="28"/>
    </row>
    <row r="637" spans="5:8" ht="13.5" customHeight="1">
      <c r="E637" s="28"/>
      <c r="F637" s="28"/>
      <c r="G637" s="29"/>
      <c r="H637" s="28"/>
    </row>
    <row r="638" spans="5:8" ht="13.5" customHeight="1">
      <c r="E638" s="28"/>
      <c r="F638" s="28"/>
      <c r="G638" s="29"/>
      <c r="H638" s="28"/>
    </row>
    <row r="639" spans="5:8" ht="13.5" customHeight="1">
      <c r="E639" s="28"/>
      <c r="F639" s="28"/>
      <c r="G639" s="29"/>
      <c r="H639" s="28"/>
    </row>
    <row r="640" spans="5:8" ht="13.5" customHeight="1">
      <c r="E640" s="28"/>
      <c r="F640" s="28"/>
      <c r="G640" s="29"/>
      <c r="H640" s="28"/>
    </row>
    <row r="641" spans="5:8" ht="13.5" customHeight="1">
      <c r="E641" s="28"/>
      <c r="F641" s="28"/>
      <c r="G641" s="29"/>
      <c r="H641" s="28"/>
    </row>
    <row r="642" spans="5:8" ht="13.5" customHeight="1">
      <c r="E642" s="28"/>
      <c r="F642" s="28"/>
      <c r="G642" s="29"/>
      <c r="H642" s="28"/>
    </row>
    <row r="643" spans="5:8" ht="13.5" customHeight="1">
      <c r="E643" s="28"/>
      <c r="F643" s="28"/>
      <c r="G643" s="29"/>
      <c r="H643" s="28"/>
    </row>
    <row r="644" spans="5:8" ht="13.5" customHeight="1">
      <c r="E644" s="28"/>
      <c r="F644" s="28"/>
      <c r="G644" s="29"/>
      <c r="H644" s="28"/>
    </row>
    <row r="645" spans="5:8" ht="13.5" customHeight="1">
      <c r="E645" s="28"/>
      <c r="F645" s="28"/>
      <c r="G645" s="29"/>
      <c r="H645" s="28"/>
    </row>
    <row r="646" spans="5:8" ht="13.5" customHeight="1">
      <c r="E646" s="28"/>
      <c r="F646" s="28"/>
      <c r="G646" s="29"/>
      <c r="H646" s="28"/>
    </row>
    <row r="647" spans="5:8" ht="13.5" customHeight="1">
      <c r="E647" s="28"/>
      <c r="F647" s="28"/>
      <c r="G647" s="29"/>
      <c r="H647" s="28"/>
    </row>
    <row r="648" spans="5:8" ht="13.5" customHeight="1">
      <c r="E648" s="28"/>
      <c r="F648" s="28"/>
      <c r="G648" s="29"/>
      <c r="H648" s="28"/>
    </row>
    <row r="649" spans="5:8" ht="13.5" customHeight="1">
      <c r="E649" s="28"/>
      <c r="F649" s="28"/>
      <c r="G649" s="29"/>
      <c r="H649" s="28"/>
    </row>
    <row r="650" spans="5:8" ht="13.5" customHeight="1">
      <c r="E650" s="28"/>
      <c r="F650" s="28"/>
      <c r="G650" s="29"/>
      <c r="H650" s="28"/>
    </row>
    <row r="651" spans="5:8" ht="13.5" customHeight="1">
      <c r="E651" s="28"/>
      <c r="F651" s="28"/>
      <c r="G651" s="29"/>
      <c r="H651" s="28"/>
    </row>
    <row r="652" spans="5:8" ht="13.5" customHeight="1">
      <c r="E652" s="28"/>
      <c r="F652" s="28"/>
      <c r="G652" s="29"/>
      <c r="H652" s="28"/>
    </row>
    <row r="653" spans="5:8" ht="13.5" customHeight="1">
      <c r="E653" s="28"/>
      <c r="F653" s="28"/>
      <c r="G653" s="29"/>
      <c r="H653" s="28"/>
    </row>
    <row r="654" spans="5:8" ht="13.5" customHeight="1">
      <c r="E654" s="28"/>
      <c r="F654" s="28"/>
      <c r="G654" s="29"/>
      <c r="H654" s="28"/>
    </row>
    <row r="655" spans="5:8" ht="13.5" customHeight="1">
      <c r="E655" s="28"/>
      <c r="F655" s="28"/>
      <c r="G655" s="29"/>
      <c r="H655" s="28"/>
    </row>
    <row r="656" spans="5:8" ht="13.5" customHeight="1">
      <c r="E656" s="28"/>
      <c r="F656" s="28"/>
      <c r="G656" s="29"/>
      <c r="H656" s="28"/>
    </row>
    <row r="657" spans="5:8" ht="13.5" customHeight="1">
      <c r="E657" s="28"/>
      <c r="F657" s="28"/>
      <c r="G657" s="29"/>
      <c r="H657" s="28"/>
    </row>
    <row r="658" spans="5:8" ht="13.5" customHeight="1">
      <c r="E658" s="28"/>
      <c r="F658" s="28"/>
      <c r="G658" s="29"/>
      <c r="H658" s="28"/>
    </row>
    <row r="659" spans="5:8" ht="13.5" customHeight="1">
      <c r="E659" s="28"/>
      <c r="F659" s="28"/>
      <c r="G659" s="29"/>
      <c r="H659" s="28"/>
    </row>
    <row r="660" spans="5:8" ht="13.5" customHeight="1">
      <c r="E660" s="28"/>
      <c r="F660" s="28"/>
      <c r="G660" s="29"/>
      <c r="H660" s="28"/>
    </row>
    <row r="661" spans="5:8" ht="13.5" customHeight="1">
      <c r="E661" s="28"/>
      <c r="F661" s="28"/>
      <c r="G661" s="29"/>
      <c r="H661" s="28"/>
    </row>
    <row r="662" spans="5:8" ht="13.5" customHeight="1">
      <c r="E662" s="28"/>
      <c r="F662" s="28"/>
      <c r="G662" s="29"/>
      <c r="H662" s="28"/>
    </row>
    <row r="663" spans="5:8" ht="13.5" customHeight="1">
      <c r="E663" s="28"/>
      <c r="F663" s="28"/>
      <c r="G663" s="29"/>
      <c r="H663" s="28"/>
    </row>
    <row r="664" spans="5:8" ht="13.5" customHeight="1">
      <c r="E664" s="28"/>
      <c r="F664" s="28"/>
      <c r="G664" s="29"/>
      <c r="H664" s="28"/>
    </row>
    <row r="665" spans="5:8" ht="13.5" customHeight="1">
      <c r="E665" s="28"/>
      <c r="F665" s="28"/>
      <c r="G665" s="29"/>
      <c r="H665" s="28"/>
    </row>
    <row r="666" spans="5:8" ht="13.5" customHeight="1">
      <c r="E666" s="28"/>
      <c r="F666" s="28"/>
      <c r="G666" s="29"/>
      <c r="H666" s="28"/>
    </row>
    <row r="667" spans="5:8" ht="13.5" customHeight="1">
      <c r="E667" s="28"/>
      <c r="F667" s="28"/>
      <c r="G667" s="29"/>
      <c r="H667" s="28"/>
    </row>
    <row r="668" spans="5:8" ht="13.5" customHeight="1">
      <c r="E668" s="28"/>
      <c r="F668" s="28"/>
      <c r="G668" s="29"/>
      <c r="H668" s="28"/>
    </row>
    <row r="669" spans="5:8" ht="13.5" customHeight="1">
      <c r="E669" s="28"/>
      <c r="F669" s="28"/>
      <c r="G669" s="29"/>
      <c r="H669" s="28"/>
    </row>
    <row r="670" spans="5:8" ht="13.5" customHeight="1">
      <c r="E670" s="28"/>
      <c r="F670" s="28"/>
      <c r="G670" s="29"/>
      <c r="H670" s="28"/>
    </row>
    <row r="671" spans="5:8" ht="13.5" customHeight="1">
      <c r="E671" s="28"/>
      <c r="F671" s="28"/>
      <c r="G671" s="29"/>
      <c r="H671" s="28"/>
    </row>
    <row r="672" spans="5:8" ht="13.5" customHeight="1">
      <c r="E672" s="28"/>
      <c r="F672" s="28"/>
      <c r="G672" s="29"/>
      <c r="H672" s="28"/>
    </row>
    <row r="673" spans="5:8" ht="13.5" customHeight="1">
      <c r="E673" s="28"/>
      <c r="F673" s="28"/>
      <c r="G673" s="29"/>
      <c r="H673" s="28"/>
    </row>
    <row r="674" spans="5:8" ht="13.5" customHeight="1">
      <c r="E674" s="28"/>
      <c r="F674" s="28"/>
      <c r="G674" s="29"/>
      <c r="H674" s="28"/>
    </row>
    <row r="675" spans="5:8" ht="13.5" customHeight="1">
      <c r="E675" s="28"/>
      <c r="F675" s="28"/>
      <c r="G675" s="29"/>
      <c r="H675" s="28"/>
    </row>
    <row r="676" spans="5:8" ht="13.5" customHeight="1">
      <c r="E676" s="28"/>
      <c r="F676" s="28"/>
      <c r="G676" s="29"/>
      <c r="H676" s="28"/>
    </row>
    <row r="677" spans="5:8" ht="13.5" customHeight="1">
      <c r="E677" s="28"/>
      <c r="F677" s="28"/>
      <c r="G677" s="29"/>
      <c r="H677" s="28"/>
    </row>
    <row r="678" spans="5:8" ht="13.5" customHeight="1">
      <c r="E678" s="28"/>
      <c r="F678" s="28"/>
      <c r="G678" s="29"/>
      <c r="H678" s="28"/>
    </row>
    <row r="679" spans="5:8" ht="13.5" customHeight="1">
      <c r="E679" s="28"/>
      <c r="F679" s="28"/>
      <c r="G679" s="29"/>
      <c r="H679" s="28"/>
    </row>
    <row r="680" spans="5:8" ht="13.5" customHeight="1">
      <c r="E680" s="28"/>
      <c r="F680" s="28"/>
      <c r="G680" s="29"/>
      <c r="H680" s="28"/>
    </row>
    <row r="681" spans="5:8" ht="13.5" customHeight="1">
      <c r="E681" s="28"/>
      <c r="F681" s="28"/>
      <c r="G681" s="29"/>
      <c r="H681" s="28"/>
    </row>
    <row r="682" spans="5:8" ht="13.5" customHeight="1">
      <c r="E682" s="28"/>
      <c r="F682" s="28"/>
      <c r="G682" s="29"/>
      <c r="H682" s="28"/>
    </row>
    <row r="683" spans="5:8" ht="13.5" customHeight="1">
      <c r="E683" s="28"/>
      <c r="F683" s="28"/>
      <c r="G683" s="29"/>
      <c r="H683" s="28"/>
    </row>
    <row r="684" spans="5:8" ht="13.5" customHeight="1">
      <c r="E684" s="28"/>
      <c r="F684" s="28"/>
      <c r="G684" s="29"/>
      <c r="H684" s="28"/>
    </row>
    <row r="685" spans="5:8" ht="13.5" customHeight="1">
      <c r="E685" s="28"/>
      <c r="F685" s="28"/>
      <c r="G685" s="29"/>
      <c r="H685" s="28"/>
    </row>
    <row r="686" spans="5:8" ht="13.5" customHeight="1">
      <c r="E686" s="28"/>
      <c r="F686" s="28"/>
      <c r="G686" s="29"/>
      <c r="H686" s="28"/>
    </row>
    <row r="687" spans="5:8" ht="13.5" customHeight="1">
      <c r="E687" s="28"/>
      <c r="F687" s="28"/>
      <c r="G687" s="29"/>
      <c r="H687" s="28"/>
    </row>
    <row r="688" spans="5:8" ht="13.5" customHeight="1">
      <c r="E688" s="28"/>
      <c r="F688" s="28"/>
      <c r="G688" s="29"/>
      <c r="H688" s="28"/>
    </row>
    <row r="689" spans="5:8" ht="13.5" customHeight="1">
      <c r="E689" s="28"/>
      <c r="F689" s="28"/>
      <c r="G689" s="29"/>
      <c r="H689" s="28"/>
    </row>
    <row r="690" spans="5:8" ht="13.5" customHeight="1">
      <c r="E690" s="28"/>
      <c r="F690" s="28"/>
      <c r="G690" s="29"/>
      <c r="H690" s="28"/>
    </row>
    <row r="691" spans="5:8" ht="13.5" customHeight="1">
      <c r="E691" s="28"/>
      <c r="F691" s="28"/>
      <c r="G691" s="29"/>
      <c r="H691" s="28"/>
    </row>
    <row r="692" spans="5:8" ht="13.5" customHeight="1">
      <c r="E692" s="28"/>
      <c r="F692" s="28"/>
      <c r="G692" s="29"/>
      <c r="H692" s="28"/>
    </row>
    <row r="693" spans="5:8" ht="13.5" customHeight="1">
      <c r="E693" s="28"/>
      <c r="F693" s="28"/>
      <c r="G693" s="29"/>
      <c r="H693" s="28"/>
    </row>
    <row r="694" spans="5:8" ht="13.5" customHeight="1">
      <c r="E694" s="28"/>
      <c r="F694" s="28"/>
      <c r="G694" s="29"/>
      <c r="H694" s="28"/>
    </row>
    <row r="695" spans="5:8" ht="13.5" customHeight="1">
      <c r="E695" s="28"/>
      <c r="F695" s="28"/>
      <c r="G695" s="29"/>
      <c r="H695" s="28"/>
    </row>
    <row r="696" spans="5:8" ht="13.5" customHeight="1">
      <c r="E696" s="28"/>
      <c r="F696" s="28"/>
      <c r="G696" s="29"/>
      <c r="H696" s="28"/>
    </row>
    <row r="697" spans="5:8" ht="13.5" customHeight="1">
      <c r="E697" s="28"/>
      <c r="F697" s="28"/>
      <c r="G697" s="29"/>
      <c r="H697" s="28"/>
    </row>
    <row r="698" spans="5:8" ht="13.5" customHeight="1">
      <c r="E698" s="28"/>
      <c r="F698" s="28"/>
      <c r="G698" s="29"/>
      <c r="H698" s="28"/>
    </row>
    <row r="699" spans="5:8" ht="13.5" customHeight="1">
      <c r="E699" s="28"/>
      <c r="F699" s="28"/>
      <c r="G699" s="29"/>
      <c r="H699" s="28"/>
    </row>
    <row r="700" spans="5:8" ht="13.5" customHeight="1">
      <c r="E700" s="28"/>
      <c r="F700" s="28"/>
      <c r="G700" s="29"/>
      <c r="H700" s="28"/>
    </row>
    <row r="701" spans="5:8" ht="13.5" customHeight="1">
      <c r="E701" s="28"/>
      <c r="F701" s="28"/>
      <c r="G701" s="29"/>
      <c r="H701" s="28"/>
    </row>
    <row r="702" spans="5:8" ht="13.5" customHeight="1">
      <c r="E702" s="28"/>
      <c r="F702" s="28"/>
      <c r="G702" s="29"/>
      <c r="H702" s="28"/>
    </row>
    <row r="703" spans="5:8" ht="13.5" customHeight="1">
      <c r="E703" s="28"/>
      <c r="F703" s="28"/>
      <c r="G703" s="29"/>
      <c r="H703" s="28"/>
    </row>
    <row r="704" spans="5:8" ht="13.5" customHeight="1">
      <c r="E704" s="28"/>
      <c r="F704" s="28"/>
      <c r="G704" s="29"/>
      <c r="H704" s="28"/>
    </row>
    <row r="705" spans="5:8" ht="13.5" customHeight="1">
      <c r="E705" s="28"/>
      <c r="F705" s="28"/>
      <c r="G705" s="29"/>
      <c r="H705" s="28"/>
    </row>
    <row r="706" spans="5:8" ht="13.5" customHeight="1">
      <c r="E706" s="28"/>
      <c r="F706" s="28"/>
      <c r="G706" s="29"/>
      <c r="H706" s="28"/>
    </row>
    <row r="707" spans="5:8" ht="13.5" customHeight="1">
      <c r="E707" s="28"/>
      <c r="F707" s="28"/>
      <c r="G707" s="29"/>
      <c r="H707" s="28"/>
    </row>
    <row r="708" spans="5:8" ht="13.5" customHeight="1">
      <c r="E708" s="28"/>
      <c r="F708" s="28"/>
      <c r="G708" s="29"/>
      <c r="H708" s="28"/>
    </row>
    <row r="709" spans="5:8" ht="13.5" customHeight="1">
      <c r="E709" s="28"/>
      <c r="F709" s="28"/>
      <c r="G709" s="29"/>
      <c r="H709" s="28"/>
    </row>
    <row r="710" spans="5:8" ht="13.5" customHeight="1">
      <c r="E710" s="28"/>
      <c r="F710" s="28"/>
      <c r="G710" s="29"/>
      <c r="H710" s="28"/>
    </row>
    <row r="711" spans="5:8" ht="13.5" customHeight="1">
      <c r="E711" s="28"/>
      <c r="F711" s="28"/>
      <c r="G711" s="29"/>
      <c r="H711" s="28"/>
    </row>
    <row r="712" spans="5:8" ht="13.5" customHeight="1">
      <c r="E712" s="28"/>
      <c r="F712" s="28"/>
      <c r="G712" s="29"/>
      <c r="H712" s="28"/>
    </row>
    <row r="713" spans="5:8" ht="13.5" customHeight="1">
      <c r="E713" s="28"/>
      <c r="F713" s="28"/>
      <c r="G713" s="29"/>
      <c r="H713" s="28"/>
    </row>
    <row r="714" spans="5:8" ht="13.5" customHeight="1">
      <c r="E714" s="28"/>
      <c r="F714" s="28"/>
      <c r="G714" s="29"/>
      <c r="H714" s="28"/>
    </row>
    <row r="715" spans="5:8" ht="13.5" customHeight="1">
      <c r="E715" s="28"/>
      <c r="F715" s="28"/>
      <c r="G715" s="29"/>
      <c r="H715" s="28"/>
    </row>
    <row r="716" spans="5:8" ht="13.5" customHeight="1">
      <c r="E716" s="28"/>
      <c r="F716" s="28"/>
      <c r="G716" s="29"/>
      <c r="H716" s="28"/>
    </row>
    <row r="717" spans="5:8" ht="13.5" customHeight="1">
      <c r="E717" s="28"/>
      <c r="F717" s="28"/>
      <c r="G717" s="29"/>
      <c r="H717" s="28"/>
    </row>
    <row r="718" spans="5:8" ht="13.5" customHeight="1">
      <c r="E718" s="28"/>
      <c r="F718" s="28"/>
      <c r="G718" s="29"/>
      <c r="H718" s="28"/>
    </row>
    <row r="719" spans="5:8" ht="13.5" customHeight="1">
      <c r="E719" s="28"/>
      <c r="F719" s="28"/>
      <c r="G719" s="29"/>
      <c r="H719" s="28"/>
    </row>
    <row r="720" spans="5:8" ht="13.5" customHeight="1">
      <c r="E720" s="28"/>
      <c r="F720" s="28"/>
      <c r="G720" s="29"/>
      <c r="H720" s="28"/>
    </row>
    <row r="721" spans="5:8" ht="13.5" customHeight="1">
      <c r="E721" s="28"/>
      <c r="F721" s="28"/>
      <c r="G721" s="29"/>
      <c r="H721" s="28"/>
    </row>
    <row r="722" spans="5:8" ht="13.5" customHeight="1">
      <c r="E722" s="28"/>
      <c r="F722" s="28"/>
      <c r="G722" s="29"/>
      <c r="H722" s="28"/>
    </row>
    <row r="723" spans="5:8" ht="13.5" customHeight="1">
      <c r="E723" s="28"/>
      <c r="F723" s="28"/>
      <c r="G723" s="29"/>
      <c r="H723" s="28"/>
    </row>
    <row r="724" spans="5:8" ht="13.5" customHeight="1">
      <c r="E724" s="28"/>
      <c r="F724" s="28"/>
      <c r="G724" s="29"/>
      <c r="H724" s="28"/>
    </row>
    <row r="725" spans="5:8" ht="13.5" customHeight="1">
      <c r="E725" s="28"/>
      <c r="F725" s="28"/>
      <c r="G725" s="29"/>
      <c r="H725" s="28"/>
    </row>
    <row r="726" spans="5:8" ht="13.5" customHeight="1">
      <c r="E726" s="28"/>
      <c r="F726" s="28"/>
      <c r="G726" s="29"/>
      <c r="H726" s="28"/>
    </row>
    <row r="727" spans="5:8" ht="13.5" customHeight="1">
      <c r="E727" s="28"/>
      <c r="F727" s="28"/>
      <c r="G727" s="29"/>
      <c r="H727" s="28"/>
    </row>
    <row r="728" spans="5:8" ht="13.5" customHeight="1">
      <c r="E728" s="28"/>
      <c r="F728" s="28"/>
      <c r="G728" s="29"/>
      <c r="H728" s="28"/>
    </row>
    <row r="729" spans="5:8" ht="13.5" customHeight="1">
      <c r="E729" s="28"/>
      <c r="F729" s="28"/>
      <c r="G729" s="29"/>
      <c r="H729" s="28"/>
    </row>
    <row r="730" spans="5:8" ht="13.5" customHeight="1">
      <c r="E730" s="28"/>
      <c r="F730" s="28"/>
      <c r="G730" s="29"/>
      <c r="H730" s="28"/>
    </row>
    <row r="731" spans="5:8" ht="13.5" customHeight="1">
      <c r="E731" s="28"/>
      <c r="F731" s="28"/>
      <c r="G731" s="29"/>
      <c r="H731" s="28"/>
    </row>
    <row r="732" spans="5:8" ht="13.5" customHeight="1">
      <c r="E732" s="28"/>
      <c r="F732" s="28"/>
      <c r="G732" s="29"/>
      <c r="H732" s="28"/>
    </row>
    <row r="733" spans="5:8" ht="13.5" customHeight="1">
      <c r="E733" s="28"/>
      <c r="F733" s="28"/>
      <c r="G733" s="29"/>
      <c r="H733" s="28"/>
    </row>
    <row r="734" spans="5:8" ht="13.5" customHeight="1">
      <c r="E734" s="28"/>
      <c r="F734" s="28"/>
      <c r="G734" s="29"/>
      <c r="H734" s="28"/>
    </row>
    <row r="735" spans="5:8" ht="13.5" customHeight="1">
      <c r="E735" s="28"/>
      <c r="F735" s="28"/>
      <c r="G735" s="29"/>
      <c r="H735" s="28"/>
    </row>
    <row r="736" spans="5:8" ht="13.5" customHeight="1">
      <c r="E736" s="28"/>
      <c r="F736" s="28"/>
      <c r="G736" s="29"/>
      <c r="H736" s="28"/>
    </row>
    <row r="737" spans="5:8" ht="13.5" customHeight="1">
      <c r="E737" s="28"/>
      <c r="F737" s="28"/>
      <c r="G737" s="29"/>
      <c r="H737" s="28"/>
    </row>
    <row r="738" spans="5:8" ht="13.5" customHeight="1">
      <c r="E738" s="28"/>
      <c r="F738" s="28"/>
      <c r="G738" s="29"/>
      <c r="H738" s="28"/>
    </row>
    <row r="739" spans="5:8" ht="13.5" customHeight="1">
      <c r="E739" s="28"/>
      <c r="F739" s="28"/>
      <c r="G739" s="29"/>
      <c r="H739" s="28"/>
    </row>
    <row r="740" spans="5:8" ht="13.5" customHeight="1">
      <c r="E740" s="28"/>
      <c r="F740" s="28"/>
      <c r="G740" s="29"/>
      <c r="H740" s="28"/>
    </row>
    <row r="741" spans="5:8" ht="13.5" customHeight="1">
      <c r="E741" s="28"/>
      <c r="F741" s="28"/>
      <c r="G741" s="29"/>
      <c r="H741" s="28"/>
    </row>
    <row r="742" spans="5:8" ht="13.5" customHeight="1">
      <c r="E742" s="28"/>
      <c r="F742" s="28"/>
      <c r="G742" s="29"/>
      <c r="H742" s="28"/>
    </row>
    <row r="743" spans="5:8" ht="13.5" customHeight="1">
      <c r="E743" s="28"/>
      <c r="F743" s="28"/>
      <c r="G743" s="29"/>
      <c r="H743" s="28"/>
    </row>
    <row r="744" spans="5:8" ht="13.5" customHeight="1">
      <c r="E744" s="28"/>
      <c r="F744" s="28"/>
      <c r="G744" s="29"/>
      <c r="H744" s="28"/>
    </row>
    <row r="745" spans="5:8" ht="13.5" customHeight="1">
      <c r="E745" s="28"/>
      <c r="F745" s="28"/>
      <c r="G745" s="29"/>
      <c r="H745" s="28"/>
    </row>
    <row r="746" spans="5:8" ht="13.5" customHeight="1">
      <c r="E746" s="28"/>
      <c r="F746" s="28"/>
      <c r="G746" s="29"/>
      <c r="H746" s="28"/>
    </row>
    <row r="747" spans="5:8" ht="13.5" customHeight="1">
      <c r="E747" s="28"/>
      <c r="F747" s="28"/>
      <c r="G747" s="29"/>
      <c r="H747" s="28"/>
    </row>
    <row r="748" spans="5:8" ht="13.5" customHeight="1">
      <c r="E748" s="28"/>
      <c r="F748" s="28"/>
      <c r="G748" s="29"/>
      <c r="H748" s="28"/>
    </row>
    <row r="749" spans="5:8" ht="13.5" customHeight="1">
      <c r="E749" s="28"/>
      <c r="F749" s="28"/>
      <c r="G749" s="29"/>
      <c r="H749" s="28"/>
    </row>
    <row r="750" spans="5:8" ht="13.5" customHeight="1">
      <c r="E750" s="28"/>
      <c r="F750" s="28"/>
      <c r="G750" s="29"/>
      <c r="H750" s="28"/>
    </row>
    <row r="751" spans="5:8" ht="13.5" customHeight="1">
      <c r="E751" s="28"/>
      <c r="F751" s="28"/>
      <c r="G751" s="29"/>
      <c r="H751" s="28"/>
    </row>
    <row r="752" spans="5:8" ht="13.5" customHeight="1">
      <c r="E752" s="28"/>
      <c r="F752" s="28"/>
      <c r="G752" s="29"/>
      <c r="H752" s="28"/>
    </row>
    <row r="753" spans="5:8" ht="13.5" customHeight="1">
      <c r="E753" s="28"/>
      <c r="F753" s="28"/>
      <c r="G753" s="29"/>
      <c r="H753" s="28"/>
    </row>
    <row r="754" spans="5:8" ht="13.5" customHeight="1">
      <c r="E754" s="28"/>
      <c r="F754" s="28"/>
      <c r="G754" s="29"/>
      <c r="H754" s="28"/>
    </row>
    <row r="755" spans="5:8" ht="13.5" customHeight="1">
      <c r="E755" s="28"/>
      <c r="F755" s="28"/>
      <c r="G755" s="29"/>
      <c r="H755" s="28"/>
    </row>
    <row r="756" spans="5:8" ht="13.5" customHeight="1">
      <c r="E756" s="28"/>
      <c r="F756" s="28"/>
      <c r="G756" s="29"/>
      <c r="H756" s="28"/>
    </row>
    <row r="757" spans="5:8" ht="13.5" customHeight="1">
      <c r="E757" s="28"/>
      <c r="F757" s="28"/>
      <c r="G757" s="29"/>
      <c r="H757" s="28"/>
    </row>
    <row r="758" spans="5:8" ht="13.5" customHeight="1">
      <c r="E758" s="28"/>
      <c r="F758" s="28"/>
      <c r="G758" s="29"/>
      <c r="H758" s="28"/>
    </row>
    <row r="759" spans="5:8" ht="13.5" customHeight="1">
      <c r="E759" s="28"/>
      <c r="F759" s="28"/>
      <c r="G759" s="29"/>
      <c r="H759" s="28"/>
    </row>
    <row r="760" spans="5:8" ht="13.5" customHeight="1">
      <c r="E760" s="28"/>
      <c r="F760" s="28"/>
      <c r="G760" s="29"/>
      <c r="H760" s="28"/>
    </row>
    <row r="761" spans="5:8" ht="13.5" customHeight="1">
      <c r="E761" s="28"/>
      <c r="F761" s="28"/>
      <c r="G761" s="29"/>
      <c r="H761" s="28"/>
    </row>
    <row r="762" spans="5:8" ht="13.5" customHeight="1">
      <c r="E762" s="28"/>
      <c r="F762" s="28"/>
      <c r="G762" s="29"/>
      <c r="H762" s="28"/>
    </row>
    <row r="763" spans="5:8" ht="13.5" customHeight="1">
      <c r="E763" s="28"/>
      <c r="F763" s="28"/>
      <c r="G763" s="29"/>
      <c r="H763" s="28"/>
    </row>
    <row r="764" spans="5:8" ht="13.5" customHeight="1">
      <c r="E764" s="28"/>
      <c r="F764" s="28"/>
      <c r="G764" s="29"/>
      <c r="H764" s="28"/>
    </row>
    <row r="765" spans="5:8" ht="13.5" customHeight="1">
      <c r="E765" s="28"/>
      <c r="F765" s="28"/>
      <c r="G765" s="29"/>
      <c r="H765" s="28"/>
    </row>
    <row r="766" spans="5:8" ht="13.5" customHeight="1">
      <c r="E766" s="28"/>
      <c r="F766" s="28"/>
      <c r="G766" s="29"/>
      <c r="H766" s="28"/>
    </row>
    <row r="767" spans="5:8" ht="13.5" customHeight="1">
      <c r="E767" s="28"/>
      <c r="F767" s="28"/>
      <c r="G767" s="29"/>
      <c r="H767" s="28"/>
    </row>
    <row r="768" spans="5:8" ht="13.5" customHeight="1">
      <c r="E768" s="28"/>
      <c r="F768" s="28"/>
      <c r="G768" s="29"/>
      <c r="H768" s="28"/>
    </row>
    <row r="769" spans="5:8" ht="13.5" customHeight="1">
      <c r="E769" s="28"/>
      <c r="F769" s="28"/>
      <c r="G769" s="29"/>
      <c r="H769" s="28"/>
    </row>
    <row r="770" spans="5:8" ht="13.5" customHeight="1">
      <c r="E770" s="28"/>
      <c r="F770" s="28"/>
      <c r="G770" s="29"/>
      <c r="H770" s="28"/>
    </row>
    <row r="771" spans="5:8" ht="13.5" customHeight="1">
      <c r="E771" s="28"/>
      <c r="F771" s="28"/>
      <c r="G771" s="29"/>
      <c r="H771" s="28"/>
    </row>
    <row r="772" spans="5:8" ht="13.5" customHeight="1">
      <c r="E772" s="28"/>
      <c r="F772" s="28"/>
      <c r="G772" s="29"/>
      <c r="H772" s="28"/>
    </row>
    <row r="773" spans="5:8" ht="13.5" customHeight="1">
      <c r="E773" s="28"/>
      <c r="F773" s="28"/>
      <c r="G773" s="29"/>
      <c r="H773" s="28"/>
    </row>
    <row r="774" spans="5:8" ht="13.5" customHeight="1">
      <c r="E774" s="28"/>
      <c r="F774" s="28"/>
      <c r="G774" s="29"/>
      <c r="H774" s="28"/>
    </row>
    <row r="775" spans="5:8" ht="13.5" customHeight="1">
      <c r="E775" s="28"/>
      <c r="F775" s="28"/>
      <c r="G775" s="29"/>
      <c r="H775" s="28"/>
    </row>
    <row r="776" spans="5:8" ht="13.5" customHeight="1">
      <c r="E776" s="28"/>
      <c r="F776" s="28"/>
      <c r="G776" s="29"/>
      <c r="H776" s="28"/>
    </row>
    <row r="777" spans="5:8" ht="13.5" customHeight="1">
      <c r="E777" s="28"/>
      <c r="F777" s="28"/>
      <c r="G777" s="29"/>
      <c r="H777" s="28"/>
    </row>
    <row r="778" spans="5:8" ht="13.5" customHeight="1">
      <c r="E778" s="28"/>
      <c r="F778" s="28"/>
      <c r="G778" s="29"/>
      <c r="H778" s="28"/>
    </row>
    <row r="779" spans="5:8" ht="13.5" customHeight="1">
      <c r="E779" s="28"/>
      <c r="F779" s="28"/>
      <c r="G779" s="29"/>
      <c r="H779" s="28"/>
    </row>
    <row r="780" spans="5:8" ht="13.5" customHeight="1">
      <c r="E780" s="28"/>
      <c r="F780" s="28"/>
      <c r="G780" s="29"/>
      <c r="H780" s="28"/>
    </row>
    <row r="781" spans="5:8" ht="13.5" customHeight="1">
      <c r="E781" s="28"/>
      <c r="F781" s="28"/>
      <c r="G781" s="29"/>
      <c r="H781" s="28"/>
    </row>
    <row r="782" spans="5:8" ht="13.5" customHeight="1">
      <c r="E782" s="28"/>
      <c r="F782" s="28"/>
      <c r="G782" s="29"/>
      <c r="H782" s="28"/>
    </row>
    <row r="783" spans="5:8" ht="13.5" customHeight="1">
      <c r="E783" s="28"/>
      <c r="F783" s="28"/>
      <c r="G783" s="29"/>
      <c r="H783" s="28"/>
    </row>
    <row r="784" spans="5:8" ht="13.5" customHeight="1">
      <c r="E784" s="28"/>
      <c r="F784" s="28"/>
      <c r="G784" s="29"/>
      <c r="H784" s="28"/>
    </row>
    <row r="785" spans="5:8" ht="13.5" customHeight="1">
      <c r="E785" s="28"/>
      <c r="F785" s="28"/>
      <c r="G785" s="29"/>
      <c r="H785" s="28"/>
    </row>
    <row r="786" spans="5:8" ht="13.5" customHeight="1">
      <c r="E786" s="28"/>
      <c r="F786" s="28"/>
      <c r="G786" s="29"/>
      <c r="H786" s="28"/>
    </row>
    <row r="787" spans="5:8" ht="13.5" customHeight="1">
      <c r="E787" s="28"/>
      <c r="F787" s="28"/>
      <c r="G787" s="29"/>
      <c r="H787" s="28"/>
    </row>
    <row r="788" spans="5:8" ht="13.5" customHeight="1">
      <c r="E788" s="28"/>
      <c r="F788" s="28"/>
      <c r="G788" s="29"/>
      <c r="H788" s="28"/>
    </row>
    <row r="789" spans="5:8" ht="13.5" customHeight="1">
      <c r="E789" s="28"/>
      <c r="F789" s="28"/>
      <c r="G789" s="29"/>
      <c r="H789" s="28"/>
    </row>
    <row r="790" spans="5:8" ht="13.5" customHeight="1">
      <c r="E790" s="28"/>
      <c r="F790" s="28"/>
      <c r="G790" s="29"/>
      <c r="H790" s="28"/>
    </row>
    <row r="791" spans="5:8" ht="13.5" customHeight="1">
      <c r="E791" s="28"/>
      <c r="F791" s="28"/>
      <c r="G791" s="29"/>
      <c r="H791" s="28"/>
    </row>
    <row r="792" spans="5:8" ht="13.5" customHeight="1">
      <c r="E792" s="28"/>
      <c r="F792" s="28"/>
      <c r="G792" s="29"/>
      <c r="H792" s="28"/>
    </row>
    <row r="793" spans="5:8" ht="13.5" customHeight="1">
      <c r="E793" s="28"/>
      <c r="F793" s="28"/>
      <c r="G793" s="29"/>
      <c r="H793" s="28"/>
    </row>
    <row r="794" spans="5:8" ht="13.5" customHeight="1">
      <c r="E794" s="28"/>
      <c r="F794" s="28"/>
      <c r="G794" s="29"/>
      <c r="H794" s="28"/>
    </row>
    <row r="795" spans="5:8" ht="13.5" customHeight="1">
      <c r="E795" s="28"/>
      <c r="F795" s="28"/>
      <c r="G795" s="29"/>
      <c r="H795" s="28"/>
    </row>
    <row r="796" spans="5:8" ht="13.5" customHeight="1">
      <c r="E796" s="28"/>
      <c r="F796" s="28"/>
      <c r="G796" s="29"/>
      <c r="H796" s="28"/>
    </row>
    <row r="797" spans="5:8" ht="13.5" customHeight="1">
      <c r="E797" s="28"/>
      <c r="F797" s="28"/>
      <c r="G797" s="29"/>
      <c r="H797" s="28"/>
    </row>
    <row r="798" spans="5:8" ht="13.5" customHeight="1">
      <c r="E798" s="28"/>
      <c r="F798" s="28"/>
      <c r="G798" s="29"/>
      <c r="H798" s="28"/>
    </row>
    <row r="799" spans="5:8" ht="13.5" customHeight="1">
      <c r="E799" s="28"/>
      <c r="F799" s="28"/>
      <c r="G799" s="29"/>
      <c r="H799" s="28"/>
    </row>
    <row r="800" spans="5:8" ht="13.5" customHeight="1">
      <c r="E800" s="28"/>
      <c r="F800" s="28"/>
      <c r="G800" s="29"/>
      <c r="H800" s="28"/>
    </row>
    <row r="801" spans="5:8" ht="13.5" customHeight="1">
      <c r="E801" s="28"/>
      <c r="F801" s="28"/>
      <c r="G801" s="29"/>
      <c r="H801" s="28"/>
    </row>
    <row r="802" spans="5:8" ht="13.5" customHeight="1">
      <c r="E802" s="28"/>
      <c r="F802" s="28"/>
      <c r="G802" s="29"/>
      <c r="H802" s="28"/>
    </row>
    <row r="803" spans="5:8" ht="13.5" customHeight="1">
      <c r="E803" s="28"/>
      <c r="F803" s="28"/>
      <c r="G803" s="29"/>
      <c r="H803" s="28"/>
    </row>
    <row r="804" spans="5:8" ht="13.5" customHeight="1">
      <c r="E804" s="28"/>
      <c r="F804" s="28"/>
      <c r="G804" s="29"/>
      <c r="H804" s="28"/>
    </row>
    <row r="805" spans="5:8" ht="13.5" customHeight="1">
      <c r="E805" s="28"/>
      <c r="F805" s="28"/>
      <c r="G805" s="29"/>
      <c r="H805" s="28"/>
    </row>
    <row r="806" spans="5:8" ht="13.5" customHeight="1">
      <c r="E806" s="28"/>
      <c r="F806" s="28"/>
      <c r="G806" s="29"/>
      <c r="H806" s="28"/>
    </row>
    <row r="807" spans="5:8" ht="13.5" customHeight="1">
      <c r="E807" s="28"/>
      <c r="F807" s="28"/>
      <c r="G807" s="29"/>
      <c r="H807" s="28"/>
    </row>
    <row r="808" spans="5:8" ht="13.5" customHeight="1">
      <c r="E808" s="28"/>
      <c r="F808" s="28"/>
      <c r="G808" s="29"/>
      <c r="H808" s="28"/>
    </row>
    <row r="809" spans="5:8" ht="13.5" customHeight="1">
      <c r="E809" s="28"/>
      <c r="F809" s="28"/>
      <c r="G809" s="29"/>
      <c r="H809" s="28"/>
    </row>
    <row r="810" spans="5:8" ht="13.5" customHeight="1">
      <c r="E810" s="28"/>
      <c r="F810" s="28"/>
      <c r="G810" s="29"/>
      <c r="H810" s="28"/>
    </row>
    <row r="811" spans="5:8" ht="13.5" customHeight="1">
      <c r="E811" s="28"/>
      <c r="F811" s="28"/>
      <c r="G811" s="29"/>
      <c r="H811" s="28"/>
    </row>
    <row r="812" spans="5:8" ht="13.5" customHeight="1">
      <c r="E812" s="28"/>
      <c r="F812" s="28"/>
      <c r="G812" s="29"/>
      <c r="H812" s="28"/>
    </row>
    <row r="813" spans="5:8" ht="13.5" customHeight="1">
      <c r="E813" s="28"/>
      <c r="F813" s="28"/>
      <c r="G813" s="29"/>
      <c r="H813" s="28"/>
    </row>
    <row r="814" spans="5:8" ht="13.5" customHeight="1">
      <c r="E814" s="28"/>
      <c r="F814" s="28"/>
      <c r="G814" s="29"/>
      <c r="H814" s="28"/>
    </row>
    <row r="815" spans="5:8" ht="13.5" customHeight="1">
      <c r="E815" s="28"/>
      <c r="F815" s="28"/>
      <c r="G815" s="29"/>
      <c r="H815" s="28"/>
    </row>
    <row r="816" spans="5:8" ht="13.5" customHeight="1">
      <c r="E816" s="28"/>
      <c r="F816" s="28"/>
      <c r="G816" s="29"/>
      <c r="H816" s="28"/>
    </row>
    <row r="817" spans="5:8" ht="13.5" customHeight="1">
      <c r="E817" s="28"/>
      <c r="F817" s="28"/>
      <c r="G817" s="29"/>
      <c r="H817" s="28"/>
    </row>
    <row r="818" spans="5:8" ht="13.5" customHeight="1">
      <c r="E818" s="28"/>
      <c r="F818" s="28"/>
      <c r="G818" s="29"/>
      <c r="H818" s="28"/>
    </row>
    <row r="819" spans="5:8" ht="13.5" customHeight="1">
      <c r="E819" s="28"/>
      <c r="F819" s="28"/>
      <c r="G819" s="29"/>
      <c r="H819" s="28"/>
    </row>
    <row r="820" spans="5:8" ht="13.5" customHeight="1">
      <c r="E820" s="28"/>
      <c r="F820" s="28"/>
      <c r="G820" s="29"/>
      <c r="H820" s="28"/>
    </row>
    <row r="821" spans="5:8" ht="13.5" customHeight="1">
      <c r="E821" s="28"/>
      <c r="F821" s="28"/>
      <c r="G821" s="29"/>
      <c r="H821" s="28"/>
    </row>
    <row r="822" spans="5:8" ht="13.5" customHeight="1">
      <c r="E822" s="28"/>
      <c r="F822" s="28"/>
      <c r="G822" s="29"/>
      <c r="H822" s="28"/>
    </row>
    <row r="823" spans="5:8" ht="13.5" customHeight="1">
      <c r="E823" s="28"/>
      <c r="F823" s="28"/>
      <c r="G823" s="29"/>
      <c r="H823" s="28"/>
    </row>
    <row r="824" spans="5:8" ht="13.5" customHeight="1">
      <c r="E824" s="28"/>
      <c r="F824" s="28"/>
      <c r="G824" s="29"/>
      <c r="H824" s="28"/>
    </row>
    <row r="825" spans="5:8" ht="13.5" customHeight="1">
      <c r="E825" s="28"/>
      <c r="F825" s="28"/>
      <c r="G825" s="29"/>
      <c r="H825" s="28"/>
    </row>
    <row r="826" spans="5:8" ht="13.5" customHeight="1">
      <c r="E826" s="28"/>
      <c r="F826" s="28"/>
      <c r="G826" s="29"/>
      <c r="H826" s="28"/>
    </row>
    <row r="827" spans="5:8" ht="13.5" customHeight="1">
      <c r="E827" s="28"/>
      <c r="F827" s="28"/>
      <c r="G827" s="29"/>
      <c r="H827" s="28"/>
    </row>
    <row r="828" spans="5:8" ht="13.5" customHeight="1">
      <c r="E828" s="28"/>
      <c r="F828" s="28"/>
      <c r="G828" s="29"/>
      <c r="H828" s="28"/>
    </row>
    <row r="829" spans="5:8" ht="13.5" customHeight="1">
      <c r="E829" s="28"/>
      <c r="F829" s="28"/>
      <c r="G829" s="29"/>
      <c r="H829" s="28"/>
    </row>
    <row r="830" spans="5:8" ht="13.5" customHeight="1">
      <c r="E830" s="28"/>
      <c r="F830" s="28"/>
      <c r="G830" s="29"/>
      <c r="H830" s="28"/>
    </row>
    <row r="831" spans="5:8" ht="13.5" customHeight="1">
      <c r="E831" s="28"/>
      <c r="F831" s="28"/>
      <c r="G831" s="29"/>
      <c r="H831" s="28"/>
    </row>
    <row r="832" spans="5:8" ht="13.5" customHeight="1">
      <c r="E832" s="28"/>
      <c r="F832" s="28"/>
      <c r="G832" s="29"/>
      <c r="H832" s="28"/>
    </row>
    <row r="833" spans="5:8" ht="13.5" customHeight="1">
      <c r="E833" s="28"/>
      <c r="F833" s="28"/>
      <c r="G833" s="29"/>
      <c r="H833" s="28"/>
    </row>
    <row r="834" spans="5:8" ht="13.5" customHeight="1">
      <c r="E834" s="28"/>
      <c r="F834" s="28"/>
      <c r="G834" s="29"/>
      <c r="H834" s="28"/>
    </row>
    <row r="835" spans="5:8" ht="13.5" customHeight="1">
      <c r="E835" s="28"/>
      <c r="F835" s="28"/>
      <c r="G835" s="29"/>
      <c r="H835" s="28"/>
    </row>
    <row r="836" spans="5:8" ht="13.5" customHeight="1">
      <c r="E836" s="28"/>
      <c r="F836" s="28"/>
      <c r="G836" s="29"/>
      <c r="H836" s="28"/>
    </row>
    <row r="837" spans="5:8" ht="13.5" customHeight="1">
      <c r="E837" s="28"/>
      <c r="F837" s="28"/>
      <c r="G837" s="29"/>
      <c r="H837" s="28"/>
    </row>
    <row r="838" spans="5:8" ht="13.5" customHeight="1">
      <c r="E838" s="28"/>
      <c r="F838" s="28"/>
      <c r="G838" s="29"/>
      <c r="H838" s="28"/>
    </row>
    <row r="839" spans="5:8" ht="13.5" customHeight="1">
      <c r="E839" s="28"/>
      <c r="F839" s="28"/>
      <c r="G839" s="29"/>
      <c r="H839" s="28"/>
    </row>
    <row r="840" spans="5:8" ht="13.5" customHeight="1">
      <c r="E840" s="28"/>
      <c r="F840" s="28"/>
      <c r="G840" s="29"/>
      <c r="H840" s="28"/>
    </row>
    <row r="841" spans="5:8" ht="13.5" customHeight="1">
      <c r="E841" s="28"/>
      <c r="F841" s="28"/>
      <c r="G841" s="29"/>
      <c r="H841" s="28"/>
    </row>
    <row r="842" spans="5:8" ht="13.5" customHeight="1">
      <c r="E842" s="28"/>
      <c r="F842" s="28"/>
      <c r="G842" s="29"/>
      <c r="H842" s="28"/>
    </row>
    <row r="843" spans="5:8" ht="13.5" customHeight="1">
      <c r="E843" s="28"/>
      <c r="F843" s="28"/>
      <c r="G843" s="29"/>
      <c r="H843" s="28"/>
    </row>
    <row r="844" spans="5:8" ht="13.5" customHeight="1">
      <c r="E844" s="28"/>
      <c r="F844" s="28"/>
      <c r="G844" s="29"/>
      <c r="H844" s="28"/>
    </row>
    <row r="845" spans="5:8" ht="13.5" customHeight="1">
      <c r="E845" s="28"/>
      <c r="F845" s="28"/>
      <c r="G845" s="29"/>
      <c r="H845" s="28"/>
    </row>
    <row r="846" spans="5:8" ht="13.5" customHeight="1">
      <c r="E846" s="28"/>
      <c r="F846" s="28"/>
      <c r="G846" s="29"/>
      <c r="H846" s="28"/>
    </row>
    <row r="847" spans="5:8" ht="13.5" customHeight="1">
      <c r="E847" s="28"/>
      <c r="F847" s="28"/>
      <c r="G847" s="29"/>
      <c r="H847" s="28"/>
    </row>
    <row r="848" spans="5:8" ht="13.5" customHeight="1">
      <c r="E848" s="28"/>
      <c r="F848" s="28"/>
      <c r="G848" s="29"/>
      <c r="H848" s="28"/>
    </row>
    <row r="849" spans="5:8" ht="13.5" customHeight="1">
      <c r="E849" s="28"/>
      <c r="F849" s="28"/>
      <c r="G849" s="29"/>
      <c r="H849" s="28"/>
    </row>
    <row r="850" spans="5:8" ht="13.5" customHeight="1">
      <c r="E850" s="28"/>
      <c r="F850" s="28"/>
      <c r="G850" s="29"/>
      <c r="H850" s="28"/>
    </row>
    <row r="851" spans="5:8" ht="13.5" customHeight="1">
      <c r="E851" s="28"/>
      <c r="F851" s="28"/>
      <c r="G851" s="29"/>
      <c r="H851" s="28"/>
    </row>
    <row r="852" spans="5:8" ht="13.5" customHeight="1">
      <c r="E852" s="28"/>
      <c r="F852" s="28"/>
      <c r="G852" s="29"/>
      <c r="H852" s="28"/>
    </row>
    <row r="853" spans="5:8" ht="13.5" customHeight="1">
      <c r="E853" s="28"/>
      <c r="F853" s="28"/>
      <c r="G853" s="29"/>
      <c r="H853" s="28"/>
    </row>
    <row r="854" spans="5:8" ht="13.5" customHeight="1">
      <c r="E854" s="28"/>
      <c r="F854" s="28"/>
      <c r="G854" s="29"/>
      <c r="H854" s="28"/>
    </row>
    <row r="855" spans="5:8" ht="13.5" customHeight="1">
      <c r="E855" s="28"/>
      <c r="F855" s="28"/>
      <c r="G855" s="29"/>
      <c r="H855" s="28"/>
    </row>
    <row r="856" spans="5:8" ht="13.5" customHeight="1">
      <c r="E856" s="28"/>
      <c r="F856" s="28"/>
      <c r="G856" s="29"/>
      <c r="H856" s="28"/>
    </row>
    <row r="857" spans="5:8" ht="13.5" customHeight="1">
      <c r="E857" s="28"/>
      <c r="F857" s="28"/>
      <c r="G857" s="29"/>
      <c r="H857" s="28"/>
    </row>
    <row r="858" spans="5:8" ht="13.5" customHeight="1">
      <c r="E858" s="28"/>
      <c r="F858" s="28"/>
      <c r="G858" s="29"/>
      <c r="H858" s="28"/>
    </row>
    <row r="859" spans="5:8" ht="13.5" customHeight="1">
      <c r="E859" s="28"/>
      <c r="F859" s="28"/>
      <c r="G859" s="29"/>
      <c r="H859" s="28"/>
    </row>
    <row r="860" spans="5:8" ht="13.5" customHeight="1">
      <c r="E860" s="28"/>
      <c r="F860" s="28"/>
      <c r="G860" s="29"/>
      <c r="H860" s="28"/>
    </row>
    <row r="861" spans="5:8" ht="13.5" customHeight="1">
      <c r="E861" s="28"/>
      <c r="F861" s="28"/>
      <c r="G861" s="29"/>
      <c r="H861" s="28"/>
    </row>
    <row r="862" spans="5:8" ht="13.5" customHeight="1">
      <c r="E862" s="28"/>
      <c r="F862" s="28"/>
      <c r="G862" s="29"/>
      <c r="H862" s="28"/>
    </row>
    <row r="863" spans="5:8" ht="13.5" customHeight="1">
      <c r="E863" s="28"/>
      <c r="F863" s="28"/>
      <c r="G863" s="29"/>
      <c r="H863" s="28"/>
    </row>
    <row r="864" spans="5:8" ht="13.5" customHeight="1">
      <c r="E864" s="28"/>
      <c r="F864" s="28"/>
      <c r="G864" s="29"/>
      <c r="H864" s="28"/>
    </row>
    <row r="865" spans="5:8" ht="13.5" customHeight="1">
      <c r="E865" s="28"/>
      <c r="F865" s="28"/>
      <c r="G865" s="29"/>
      <c r="H865" s="28"/>
    </row>
    <row r="866" spans="5:8" ht="13.5" customHeight="1">
      <c r="E866" s="28"/>
      <c r="F866" s="28"/>
      <c r="G866" s="29"/>
      <c r="H866" s="28"/>
    </row>
    <row r="867" spans="5:8" ht="13.5" customHeight="1">
      <c r="E867" s="28"/>
      <c r="F867" s="28"/>
      <c r="G867" s="29"/>
      <c r="H867" s="28"/>
    </row>
    <row r="868" spans="5:8" ht="13.5" customHeight="1">
      <c r="E868" s="28"/>
      <c r="F868" s="28"/>
      <c r="G868" s="29"/>
      <c r="H868" s="28"/>
    </row>
    <row r="869" spans="5:8" ht="13.5" customHeight="1">
      <c r="E869" s="28"/>
      <c r="F869" s="28"/>
      <c r="G869" s="29"/>
      <c r="H869" s="28"/>
    </row>
    <row r="870" spans="5:8" ht="13.5" customHeight="1">
      <c r="E870" s="28"/>
      <c r="F870" s="28"/>
      <c r="G870" s="29"/>
      <c r="H870" s="28"/>
    </row>
    <row r="871" spans="5:8" ht="13.5" customHeight="1">
      <c r="E871" s="28"/>
      <c r="F871" s="28"/>
      <c r="G871" s="29"/>
      <c r="H871" s="28"/>
    </row>
    <row r="872" spans="5:8" ht="13.5" customHeight="1">
      <c r="E872" s="28"/>
      <c r="F872" s="28"/>
      <c r="G872" s="29"/>
      <c r="H872" s="28"/>
    </row>
    <row r="873" spans="5:8" ht="13.5" customHeight="1">
      <c r="E873" s="28"/>
      <c r="F873" s="28"/>
      <c r="G873" s="29"/>
      <c r="H873" s="28"/>
    </row>
    <row r="874" spans="5:8" ht="13.5" customHeight="1">
      <c r="E874" s="28"/>
      <c r="F874" s="28"/>
      <c r="G874" s="29"/>
      <c r="H874" s="28"/>
    </row>
    <row r="875" spans="5:8" ht="13.5" customHeight="1">
      <c r="E875" s="28"/>
      <c r="F875" s="28"/>
      <c r="G875" s="29"/>
      <c r="H875" s="28"/>
    </row>
    <row r="876" spans="5:8" ht="13.5" customHeight="1">
      <c r="E876" s="28"/>
      <c r="F876" s="28"/>
      <c r="G876" s="29"/>
      <c r="H876" s="28"/>
    </row>
    <row r="877" spans="5:8" ht="13.5" customHeight="1">
      <c r="E877" s="28"/>
      <c r="F877" s="28"/>
      <c r="G877" s="29"/>
      <c r="H877" s="28"/>
    </row>
    <row r="878" spans="5:8" ht="13.5" customHeight="1">
      <c r="E878" s="28"/>
      <c r="F878" s="28"/>
      <c r="G878" s="29"/>
      <c r="H878" s="28"/>
    </row>
    <row r="879" spans="5:8" ht="13.5" customHeight="1">
      <c r="E879" s="28"/>
      <c r="F879" s="28"/>
      <c r="G879" s="29"/>
      <c r="H879" s="28"/>
    </row>
    <row r="880" spans="5:8" ht="13.5" customHeight="1">
      <c r="E880" s="28"/>
      <c r="F880" s="28"/>
      <c r="G880" s="29"/>
      <c r="H880" s="28"/>
    </row>
    <row r="881" spans="5:8" ht="13.5" customHeight="1">
      <c r="E881" s="28"/>
      <c r="F881" s="28"/>
      <c r="G881" s="29"/>
      <c r="H881" s="28"/>
    </row>
    <row r="882" spans="5:8" ht="13.5" customHeight="1">
      <c r="E882" s="28"/>
      <c r="F882" s="28"/>
      <c r="G882" s="29"/>
      <c r="H882" s="28"/>
    </row>
    <row r="883" spans="5:8" ht="13.5" customHeight="1">
      <c r="E883" s="28"/>
      <c r="F883" s="28"/>
      <c r="G883" s="29"/>
      <c r="H883" s="28"/>
    </row>
    <row r="884" spans="5:8" ht="13.5" customHeight="1">
      <c r="E884" s="28"/>
      <c r="F884" s="28"/>
      <c r="G884" s="29"/>
      <c r="H884" s="28"/>
    </row>
    <row r="885" spans="5:8" ht="13.5" customHeight="1">
      <c r="E885" s="28"/>
      <c r="F885" s="28"/>
      <c r="G885" s="29"/>
      <c r="H885" s="28"/>
    </row>
    <row r="886" spans="5:8" ht="13.5" customHeight="1">
      <c r="E886" s="28"/>
      <c r="F886" s="28"/>
      <c r="G886" s="29"/>
      <c r="H886" s="28"/>
    </row>
    <row r="887" spans="5:8" ht="13.5" customHeight="1">
      <c r="E887" s="28"/>
      <c r="F887" s="28"/>
      <c r="G887" s="29"/>
      <c r="H887" s="28"/>
    </row>
    <row r="888" spans="5:8" ht="13.5" customHeight="1">
      <c r="E888" s="28"/>
      <c r="F888" s="28"/>
      <c r="G888" s="29"/>
      <c r="H888" s="28"/>
    </row>
    <row r="889" spans="5:8" ht="13.5" customHeight="1">
      <c r="E889" s="28"/>
      <c r="F889" s="28"/>
      <c r="G889" s="29"/>
      <c r="H889" s="28"/>
    </row>
    <row r="890" spans="5:8" ht="13.5" customHeight="1">
      <c r="E890" s="28"/>
      <c r="F890" s="28"/>
      <c r="G890" s="29"/>
      <c r="H890" s="28"/>
    </row>
    <row r="891" spans="5:8" ht="13.5" customHeight="1">
      <c r="E891" s="28"/>
      <c r="F891" s="28"/>
      <c r="G891" s="29"/>
      <c r="H891" s="28"/>
    </row>
    <row r="892" spans="5:8" ht="13.5" customHeight="1">
      <c r="E892" s="28"/>
      <c r="F892" s="28"/>
      <c r="G892" s="29"/>
      <c r="H892" s="28"/>
    </row>
    <row r="893" spans="5:8" ht="13.5" customHeight="1">
      <c r="E893" s="28"/>
      <c r="F893" s="28"/>
      <c r="G893" s="29"/>
      <c r="H893" s="28"/>
    </row>
    <row r="894" spans="5:8" ht="13.5" customHeight="1">
      <c r="E894" s="28"/>
      <c r="F894" s="28"/>
      <c r="G894" s="29"/>
      <c r="H894" s="28"/>
    </row>
    <row r="895" spans="5:8" ht="13.5" customHeight="1">
      <c r="E895" s="28"/>
      <c r="F895" s="28"/>
      <c r="G895" s="29"/>
      <c r="H895" s="28"/>
    </row>
    <row r="896" spans="5:8" ht="13.5" customHeight="1">
      <c r="E896" s="28"/>
      <c r="F896" s="28"/>
      <c r="G896" s="29"/>
      <c r="H896" s="28"/>
    </row>
    <row r="897" spans="5:8" ht="13.5" customHeight="1">
      <c r="E897" s="28"/>
      <c r="F897" s="28"/>
      <c r="G897" s="29"/>
      <c r="H897" s="28"/>
    </row>
    <row r="898" spans="5:8" ht="13.5" customHeight="1">
      <c r="E898" s="28"/>
      <c r="F898" s="28"/>
      <c r="G898" s="29"/>
      <c r="H898" s="28"/>
    </row>
    <row r="899" spans="5:8" ht="13.5" customHeight="1">
      <c r="E899" s="28"/>
      <c r="F899" s="28"/>
      <c r="G899" s="29"/>
      <c r="H899" s="28"/>
    </row>
    <row r="900" spans="5:8" ht="13.5" customHeight="1">
      <c r="E900" s="28"/>
      <c r="F900" s="28"/>
      <c r="G900" s="29"/>
      <c r="H900" s="28"/>
    </row>
    <row r="901" spans="5:8" ht="13.5" customHeight="1">
      <c r="E901" s="28"/>
      <c r="F901" s="28"/>
      <c r="G901" s="29"/>
      <c r="H901" s="28"/>
    </row>
    <row r="902" spans="5:8" ht="13.5" customHeight="1">
      <c r="E902" s="28"/>
      <c r="F902" s="28"/>
      <c r="G902" s="29"/>
      <c r="H902" s="28"/>
    </row>
    <row r="903" spans="5:8" ht="13.5" customHeight="1">
      <c r="E903" s="28"/>
      <c r="F903" s="28"/>
      <c r="G903" s="29"/>
      <c r="H903" s="28"/>
    </row>
    <row r="904" spans="5:8" ht="13.5" customHeight="1">
      <c r="E904" s="28"/>
      <c r="F904" s="28"/>
      <c r="G904" s="29"/>
      <c r="H904" s="28"/>
    </row>
    <row r="905" spans="5:8" ht="13.5" customHeight="1">
      <c r="E905" s="28"/>
      <c r="F905" s="28"/>
      <c r="G905" s="29"/>
      <c r="H905" s="28"/>
    </row>
    <row r="906" spans="5:8" ht="13.5" customHeight="1">
      <c r="E906" s="28"/>
      <c r="F906" s="28"/>
      <c r="G906" s="29"/>
      <c r="H906" s="28"/>
    </row>
    <row r="907" spans="5:8" ht="13.5" customHeight="1">
      <c r="E907" s="28"/>
      <c r="F907" s="28"/>
      <c r="G907" s="29"/>
      <c r="H907" s="28"/>
    </row>
    <row r="908" spans="5:8" ht="13.5" customHeight="1">
      <c r="E908" s="28"/>
      <c r="F908" s="28"/>
      <c r="G908" s="29"/>
      <c r="H908" s="28"/>
    </row>
    <row r="909" spans="5:8" ht="13.5" customHeight="1">
      <c r="E909" s="28"/>
      <c r="F909" s="28"/>
      <c r="G909" s="29"/>
      <c r="H909" s="28"/>
    </row>
    <row r="910" spans="5:8" ht="13.5" customHeight="1">
      <c r="E910" s="28"/>
      <c r="F910" s="28"/>
      <c r="G910" s="29"/>
      <c r="H910" s="28"/>
    </row>
    <row r="911" spans="5:8" ht="13.5" customHeight="1">
      <c r="E911" s="28"/>
      <c r="F911" s="28"/>
      <c r="G911" s="29"/>
      <c r="H911" s="28"/>
    </row>
    <row r="912" spans="5:8" ht="13.5" customHeight="1">
      <c r="E912" s="28"/>
      <c r="F912" s="28"/>
      <c r="G912" s="29"/>
      <c r="H912" s="28"/>
    </row>
    <row r="913" spans="5:8" ht="13.5" customHeight="1">
      <c r="E913" s="28"/>
      <c r="F913" s="28"/>
      <c r="G913" s="29"/>
      <c r="H913" s="28"/>
    </row>
    <row r="914" spans="5:8" ht="13.5" customHeight="1">
      <c r="E914" s="28"/>
      <c r="F914" s="28"/>
      <c r="G914" s="29"/>
      <c r="H914" s="28"/>
    </row>
    <row r="915" spans="5:8" ht="13.5" customHeight="1">
      <c r="E915" s="28"/>
      <c r="F915" s="28"/>
      <c r="G915" s="29"/>
      <c r="H915" s="28"/>
    </row>
    <row r="916" spans="5:8" ht="13.5" customHeight="1">
      <c r="E916" s="28"/>
      <c r="F916" s="28"/>
      <c r="G916" s="29"/>
      <c r="H916" s="28"/>
    </row>
    <row r="917" spans="5:8" ht="13.5" customHeight="1">
      <c r="E917" s="28"/>
      <c r="F917" s="28"/>
      <c r="G917" s="29"/>
      <c r="H917" s="28"/>
    </row>
    <row r="918" spans="5:8" ht="13.5" customHeight="1">
      <c r="E918" s="28"/>
      <c r="F918" s="28"/>
      <c r="G918" s="29"/>
      <c r="H918" s="28"/>
    </row>
    <row r="919" spans="5:8" ht="13.5" customHeight="1">
      <c r="E919" s="28"/>
      <c r="F919" s="28"/>
      <c r="G919" s="29"/>
      <c r="H919" s="28"/>
    </row>
    <row r="920" spans="5:8" ht="13.5" customHeight="1">
      <c r="E920" s="28"/>
      <c r="F920" s="28"/>
      <c r="G920" s="29"/>
      <c r="H920" s="28"/>
    </row>
    <row r="921" spans="5:8" ht="13.5" customHeight="1">
      <c r="E921" s="28"/>
      <c r="F921" s="28"/>
      <c r="G921" s="29"/>
      <c r="H921" s="28"/>
    </row>
    <row r="922" spans="5:8" ht="13.5" customHeight="1">
      <c r="E922" s="28"/>
      <c r="F922" s="28"/>
      <c r="G922" s="29"/>
      <c r="H922" s="28"/>
    </row>
    <row r="923" spans="5:8" ht="13.5" customHeight="1">
      <c r="E923" s="28"/>
      <c r="F923" s="28"/>
      <c r="G923" s="29"/>
      <c r="H923" s="28"/>
    </row>
    <row r="924" spans="5:8" ht="13.5" customHeight="1">
      <c r="E924" s="28"/>
      <c r="F924" s="28"/>
      <c r="G924" s="29"/>
      <c r="H924" s="28"/>
    </row>
    <row r="925" spans="5:8" ht="13.5" customHeight="1">
      <c r="E925" s="28"/>
      <c r="F925" s="28"/>
      <c r="G925" s="29"/>
      <c r="H925" s="28"/>
    </row>
    <row r="926" spans="5:8" ht="13.5" customHeight="1">
      <c r="E926" s="28"/>
      <c r="F926" s="28"/>
      <c r="G926" s="29"/>
      <c r="H926" s="28"/>
    </row>
    <row r="927" spans="5:8" ht="13.5" customHeight="1">
      <c r="E927" s="28"/>
      <c r="F927" s="28"/>
      <c r="G927" s="29"/>
      <c r="H927" s="28"/>
    </row>
    <row r="928" spans="5:8" ht="13.5" customHeight="1">
      <c r="E928" s="28"/>
      <c r="F928" s="28"/>
      <c r="G928" s="29"/>
      <c r="H928" s="28"/>
    </row>
    <row r="929" spans="5:8" ht="13.5" customHeight="1">
      <c r="E929" s="28"/>
      <c r="F929" s="28"/>
      <c r="G929" s="29"/>
      <c r="H929" s="28"/>
    </row>
    <row r="930" spans="5:8" ht="13.5" customHeight="1">
      <c r="E930" s="28"/>
      <c r="F930" s="28"/>
      <c r="G930" s="29"/>
      <c r="H930" s="28"/>
    </row>
    <row r="931" spans="5:8" ht="13.5" customHeight="1">
      <c r="E931" s="28"/>
      <c r="F931" s="28"/>
      <c r="G931" s="29"/>
      <c r="H931" s="28"/>
    </row>
    <row r="932" spans="5:8" ht="13.5" customHeight="1">
      <c r="E932" s="28"/>
      <c r="F932" s="28"/>
      <c r="G932" s="29"/>
      <c r="H932" s="28"/>
    </row>
    <row r="933" spans="5:8" ht="13.5" customHeight="1">
      <c r="E933" s="28"/>
      <c r="F933" s="28"/>
      <c r="G933" s="29"/>
      <c r="H933" s="28"/>
    </row>
    <row r="934" spans="5:8" ht="13.5" customHeight="1">
      <c r="E934" s="28"/>
      <c r="F934" s="28"/>
      <c r="G934" s="29"/>
      <c r="H934" s="28"/>
    </row>
    <row r="935" spans="5:8" ht="13.5" customHeight="1">
      <c r="E935" s="28"/>
      <c r="F935" s="28"/>
      <c r="G935" s="29"/>
      <c r="H935" s="28"/>
    </row>
    <row r="936" spans="5:8" ht="13.5" customHeight="1">
      <c r="E936" s="28"/>
      <c r="F936" s="28"/>
      <c r="G936" s="29"/>
      <c r="H936" s="28"/>
    </row>
    <row r="937" spans="5:8" ht="13.5" customHeight="1">
      <c r="E937" s="28"/>
      <c r="F937" s="28"/>
      <c r="G937" s="29"/>
      <c r="H937" s="28"/>
    </row>
    <row r="938" spans="5:8" ht="13.5" customHeight="1">
      <c r="E938" s="28"/>
      <c r="F938" s="28"/>
      <c r="G938" s="29"/>
      <c r="H938" s="28"/>
    </row>
    <row r="939" spans="5:8" ht="13.5" customHeight="1">
      <c r="E939" s="28"/>
      <c r="F939" s="28"/>
      <c r="G939" s="29"/>
      <c r="H939" s="28"/>
    </row>
    <row r="940" spans="5:8" ht="13.5" customHeight="1">
      <c r="E940" s="28"/>
      <c r="F940" s="28"/>
      <c r="G940" s="29"/>
      <c r="H940" s="28"/>
    </row>
    <row r="941" spans="5:8" ht="13.5" customHeight="1">
      <c r="E941" s="28"/>
      <c r="F941" s="28"/>
      <c r="G941" s="29"/>
      <c r="H941" s="28"/>
    </row>
    <row r="942" spans="5:8" ht="13.5" customHeight="1">
      <c r="E942" s="28"/>
      <c r="F942" s="28"/>
      <c r="G942" s="29"/>
      <c r="H942" s="28"/>
    </row>
    <row r="943" spans="5:8" ht="13.5" customHeight="1">
      <c r="E943" s="28"/>
      <c r="F943" s="28"/>
      <c r="G943" s="29"/>
      <c r="H943" s="28"/>
    </row>
    <row r="944" spans="5:8" ht="13.5" customHeight="1">
      <c r="E944" s="28"/>
      <c r="F944" s="28"/>
      <c r="G944" s="29"/>
      <c r="H944" s="28"/>
    </row>
    <row r="945" spans="5:8" ht="13.5" customHeight="1">
      <c r="E945" s="28"/>
      <c r="F945" s="28"/>
      <c r="G945" s="29"/>
      <c r="H945" s="28"/>
    </row>
    <row r="946" spans="5:8" ht="13.5" customHeight="1">
      <c r="E946" s="28"/>
      <c r="F946" s="28"/>
      <c r="G946" s="29"/>
      <c r="H946" s="28"/>
    </row>
    <row r="947" spans="5:8" ht="13.5" customHeight="1">
      <c r="E947" s="28"/>
      <c r="F947" s="28"/>
      <c r="G947" s="29"/>
      <c r="H947" s="28"/>
    </row>
    <row r="948" spans="5:8" ht="13.5" customHeight="1">
      <c r="E948" s="28"/>
      <c r="F948" s="28"/>
      <c r="G948" s="29"/>
      <c r="H948" s="28"/>
    </row>
    <row r="949" spans="5:8" ht="13.5" customHeight="1">
      <c r="E949" s="28"/>
      <c r="F949" s="28"/>
      <c r="G949" s="29"/>
      <c r="H949" s="28"/>
    </row>
    <row r="950" spans="5:8" ht="13.5" customHeight="1">
      <c r="E950" s="28"/>
      <c r="F950" s="28"/>
      <c r="G950" s="29"/>
      <c r="H950" s="28"/>
    </row>
    <row r="951" spans="5:8" ht="13.5" customHeight="1">
      <c r="E951" s="28"/>
      <c r="F951" s="28"/>
      <c r="G951" s="29"/>
      <c r="H951" s="28"/>
    </row>
    <row r="952" spans="5:8" ht="13.5" customHeight="1">
      <c r="E952" s="28"/>
      <c r="F952" s="28"/>
      <c r="G952" s="29"/>
      <c r="H952" s="28"/>
    </row>
    <row r="953" spans="5:8" ht="13.5" customHeight="1">
      <c r="E953" s="28"/>
      <c r="F953" s="28"/>
      <c r="G953" s="29"/>
      <c r="H953" s="28"/>
    </row>
    <row r="954" spans="5:8" ht="13.5" customHeight="1">
      <c r="E954" s="28"/>
      <c r="F954" s="28"/>
      <c r="G954" s="29"/>
      <c r="H954" s="28"/>
    </row>
    <row r="955" spans="5:8" ht="13.5" customHeight="1">
      <c r="E955" s="28"/>
      <c r="F955" s="28"/>
      <c r="G955" s="29"/>
      <c r="H955" s="28"/>
    </row>
    <row r="956" spans="5:8" ht="13.5" customHeight="1">
      <c r="E956" s="28"/>
      <c r="F956" s="28"/>
      <c r="G956" s="29"/>
      <c r="H956" s="28"/>
    </row>
    <row r="957" spans="5:8" ht="13.5" customHeight="1">
      <c r="E957" s="28"/>
      <c r="F957" s="28"/>
      <c r="G957" s="29"/>
      <c r="H957" s="28"/>
    </row>
    <row r="958" spans="5:8" ht="13.5" customHeight="1">
      <c r="E958" s="28"/>
      <c r="F958" s="28"/>
      <c r="G958" s="29"/>
      <c r="H958" s="28"/>
    </row>
    <row r="959" spans="5:8" ht="13.5" customHeight="1">
      <c r="E959" s="28"/>
      <c r="F959" s="28"/>
      <c r="G959" s="29"/>
      <c r="H959" s="28"/>
    </row>
    <row r="960" spans="5:8" ht="13.5" customHeight="1">
      <c r="E960" s="28"/>
      <c r="F960" s="28"/>
      <c r="G960" s="29"/>
      <c r="H960" s="28"/>
    </row>
    <row r="961" spans="5:8" ht="13.5" customHeight="1">
      <c r="E961" s="28"/>
      <c r="F961" s="28"/>
      <c r="G961" s="29"/>
      <c r="H961" s="28"/>
    </row>
    <row r="962" spans="5:8" ht="13.5" customHeight="1">
      <c r="E962" s="28"/>
      <c r="F962" s="28"/>
      <c r="G962" s="29"/>
      <c r="H962" s="28"/>
    </row>
    <row r="963" spans="5:8" ht="13.5" customHeight="1">
      <c r="E963" s="28"/>
      <c r="F963" s="28"/>
      <c r="G963" s="29"/>
      <c r="H963" s="28"/>
    </row>
    <row r="964" spans="5:8" ht="13.5" customHeight="1">
      <c r="E964" s="28"/>
      <c r="F964" s="28"/>
      <c r="G964" s="29"/>
      <c r="H964" s="28"/>
    </row>
    <row r="965" spans="5:8" ht="13.5" customHeight="1">
      <c r="E965" s="28"/>
      <c r="F965" s="28"/>
      <c r="G965" s="29"/>
      <c r="H965" s="28"/>
    </row>
    <row r="966" spans="5:8" ht="13.5" customHeight="1">
      <c r="E966" s="28"/>
      <c r="F966" s="28"/>
      <c r="G966" s="29"/>
      <c r="H966" s="28"/>
    </row>
    <row r="967" spans="5:8" ht="13.5" customHeight="1">
      <c r="E967" s="28"/>
      <c r="F967" s="28"/>
      <c r="G967" s="29"/>
      <c r="H967" s="28"/>
    </row>
    <row r="968" spans="5:8" ht="13.5" customHeight="1">
      <c r="E968" s="28"/>
      <c r="F968" s="28"/>
      <c r="G968" s="29"/>
      <c r="H968" s="28"/>
    </row>
    <row r="969" spans="5:8" ht="13.5" customHeight="1">
      <c r="E969" s="28"/>
      <c r="F969" s="28"/>
      <c r="G969" s="29"/>
      <c r="H969" s="28"/>
    </row>
    <row r="970" spans="5:8" ht="13.5" customHeight="1">
      <c r="E970" s="28"/>
      <c r="F970" s="28"/>
      <c r="G970" s="29"/>
      <c r="H970" s="28"/>
    </row>
    <row r="971" spans="5:8" ht="13.5" customHeight="1">
      <c r="E971" s="28"/>
      <c r="F971" s="28"/>
      <c r="G971" s="29"/>
      <c r="H971" s="28"/>
    </row>
    <row r="972" spans="5:8" ht="13.5" customHeight="1">
      <c r="E972" s="28"/>
      <c r="F972" s="28"/>
      <c r="G972" s="29"/>
      <c r="H972" s="28"/>
    </row>
    <row r="973" spans="5:8" ht="13.5" customHeight="1">
      <c r="E973" s="28"/>
      <c r="F973" s="28"/>
      <c r="G973" s="29"/>
      <c r="H973" s="28"/>
    </row>
    <row r="974" spans="5:8" ht="13.5" customHeight="1">
      <c r="E974" s="28"/>
      <c r="F974" s="28"/>
      <c r="G974" s="29"/>
      <c r="H974" s="28"/>
    </row>
    <row r="975" spans="5:8" ht="13.5" customHeight="1">
      <c r="E975" s="28"/>
      <c r="F975" s="28"/>
      <c r="G975" s="29"/>
      <c r="H975" s="28"/>
    </row>
    <row r="976" spans="5:8" ht="13.5" customHeight="1">
      <c r="E976" s="28"/>
      <c r="F976" s="28"/>
      <c r="G976" s="29"/>
      <c r="H976" s="28"/>
    </row>
    <row r="977" spans="5:8" ht="13.5" customHeight="1">
      <c r="E977" s="28"/>
      <c r="F977" s="28"/>
      <c r="G977" s="29"/>
      <c r="H977" s="28"/>
    </row>
    <row r="978" spans="5:8" ht="13.5" customHeight="1">
      <c r="E978" s="28"/>
      <c r="F978" s="28"/>
      <c r="G978" s="29"/>
      <c r="H978" s="28"/>
    </row>
    <row r="979" spans="5:8" ht="13.5" customHeight="1">
      <c r="E979" s="28"/>
      <c r="F979" s="28"/>
      <c r="G979" s="29"/>
      <c r="H979" s="28"/>
    </row>
    <row r="980" spans="5:8" ht="13.5" customHeight="1">
      <c r="E980" s="28"/>
      <c r="F980" s="28"/>
      <c r="G980" s="29"/>
      <c r="H980" s="28"/>
    </row>
    <row r="981" spans="5:8" ht="13.5" customHeight="1">
      <c r="E981" s="28"/>
      <c r="F981" s="28"/>
      <c r="G981" s="29"/>
      <c r="H981" s="28"/>
    </row>
    <row r="982" spans="5:8" ht="13.5" customHeight="1">
      <c r="E982" s="28"/>
      <c r="F982" s="28"/>
      <c r="G982" s="29"/>
      <c r="H982" s="28"/>
    </row>
    <row r="983" spans="5:8" ht="13.5" customHeight="1">
      <c r="E983" s="28"/>
      <c r="F983" s="28"/>
      <c r="G983" s="29"/>
      <c r="H983" s="28"/>
    </row>
    <row r="984" spans="5:8" ht="13.5" customHeight="1">
      <c r="E984" s="28"/>
      <c r="F984" s="28"/>
      <c r="G984" s="29"/>
      <c r="H984" s="28"/>
    </row>
    <row r="985" spans="5:8" ht="13.5" customHeight="1">
      <c r="E985" s="28"/>
      <c r="F985" s="28"/>
      <c r="G985" s="29"/>
      <c r="H985" s="28"/>
    </row>
    <row r="986" spans="5:8" ht="13.5" customHeight="1">
      <c r="E986" s="28"/>
      <c r="F986" s="28"/>
      <c r="G986" s="29"/>
      <c r="H986" s="28"/>
    </row>
    <row r="987" spans="5:8" ht="13.5" customHeight="1">
      <c r="E987" s="28"/>
      <c r="F987" s="28"/>
      <c r="G987" s="29"/>
      <c r="H987" s="28"/>
    </row>
    <row r="988" spans="5:8" ht="13.5" customHeight="1">
      <c r="E988" s="28"/>
      <c r="F988" s="28"/>
      <c r="G988" s="29"/>
      <c r="H988" s="28"/>
    </row>
    <row r="989" spans="5:8" ht="13.5" customHeight="1">
      <c r="E989" s="28"/>
      <c r="F989" s="28"/>
      <c r="G989" s="29"/>
      <c r="H989" s="28"/>
    </row>
    <row r="990" spans="5:8" ht="13.5" customHeight="1">
      <c r="E990" s="28"/>
      <c r="F990" s="28"/>
      <c r="G990" s="29"/>
      <c r="H990" s="28"/>
    </row>
    <row r="991" spans="5:8" ht="13.5" customHeight="1">
      <c r="E991" s="28"/>
      <c r="F991" s="28"/>
      <c r="G991" s="29"/>
      <c r="H991" s="28"/>
    </row>
    <row r="992" spans="5:8" ht="13.5" customHeight="1">
      <c r="E992" s="28"/>
      <c r="F992" s="28"/>
      <c r="G992" s="29"/>
      <c r="H992" s="28"/>
    </row>
    <row r="993" spans="5:8" ht="13.5" customHeight="1">
      <c r="E993" s="28"/>
      <c r="F993" s="28"/>
      <c r="G993" s="29"/>
      <c r="H993" s="28"/>
    </row>
    <row r="994" spans="5:8" ht="13.5" customHeight="1">
      <c r="E994" s="28"/>
      <c r="F994" s="28"/>
      <c r="G994" s="29"/>
      <c r="H994" s="28"/>
    </row>
    <row r="995" spans="5:8" ht="13.5" customHeight="1">
      <c r="E995" s="28"/>
      <c r="F995" s="28"/>
      <c r="G995" s="29"/>
      <c r="H995" s="28"/>
    </row>
    <row r="996" spans="5:8" ht="13.5" customHeight="1">
      <c r="E996" s="28"/>
      <c r="F996" s="28"/>
      <c r="G996" s="29"/>
      <c r="H996" s="28"/>
    </row>
    <row r="997" spans="5:8" ht="13.5" customHeight="1">
      <c r="E997" s="28"/>
      <c r="F997" s="28"/>
      <c r="G997" s="29"/>
      <c r="H997" s="28"/>
    </row>
    <row r="998" spans="5:8" ht="13.5" customHeight="1">
      <c r="E998" s="28"/>
      <c r="F998" s="28"/>
      <c r="G998" s="29"/>
      <c r="H998" s="28"/>
    </row>
    <row r="999" spans="5:8" ht="13.5" customHeight="1">
      <c r="E999" s="28"/>
      <c r="F999" s="28"/>
      <c r="G999" s="29"/>
      <c r="H999" s="28"/>
    </row>
    <row r="1000" spans="5:8" ht="13.5" customHeight="1">
      <c r="E1000" s="1"/>
      <c r="F1000" s="1"/>
      <c r="H1000" s="1"/>
    </row>
    <row r="1001" spans="5:8" ht="13.5" customHeight="1">
      <c r="E1001" s="1"/>
      <c r="F1001" s="1"/>
      <c r="H1001" s="1"/>
    </row>
  </sheetData>
  <mergeCells count="3">
    <mergeCell ref="M3:M6"/>
    <mergeCell ref="J4:J6"/>
    <mergeCell ref="O5:O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B1:AB999"/>
  <sheetViews>
    <sheetView showGridLines="0" topLeftCell="B17" zoomScaleNormal="100" workbookViewId="0">
      <selection activeCell="G27" sqref="G27"/>
    </sheetView>
  </sheetViews>
  <sheetFormatPr defaultColWidth="14.42578125" defaultRowHeight="13.9"/>
  <cols>
    <col min="1" max="1" width="5.42578125" customWidth="1"/>
    <col min="2" max="3" width="11.42578125" customWidth="1"/>
    <col min="4" max="4" width="58" customWidth="1"/>
    <col min="5" max="5" width="16.7109375" customWidth="1"/>
    <col min="6" max="6" width="13.28515625" customWidth="1"/>
    <col min="7" max="7" width="12.5703125" customWidth="1"/>
    <col min="8" max="11" width="11.5703125" customWidth="1"/>
    <col min="12" max="26" width="3.7109375" customWidth="1"/>
    <col min="27" max="27" width="10.85546875" customWidth="1"/>
  </cols>
  <sheetData>
    <row r="1" spans="2:26" ht="13.5" customHeight="1">
      <c r="B1" s="49"/>
      <c r="C1" s="5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>
      <c r="B2" s="51"/>
      <c r="C2" s="52"/>
      <c r="D2" s="2"/>
      <c r="E2" s="2"/>
      <c r="F2" s="2"/>
      <c r="G2" s="2"/>
      <c r="H2" s="102" t="s">
        <v>262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ht="13.5" customHeight="1">
      <c r="B3" s="51"/>
      <c r="C3" s="52"/>
      <c r="D3" s="2"/>
      <c r="E3" s="2"/>
      <c r="F3" s="2"/>
      <c r="G3" s="2"/>
      <c r="H3" s="102"/>
      <c r="I3" s="2"/>
      <c r="J3" s="2"/>
      <c r="K3" s="99" t="s">
        <v>263</v>
      </c>
      <c r="L3" s="98" t="s">
        <v>264</v>
      </c>
      <c r="M3" s="98"/>
      <c r="N3" s="98"/>
      <c r="O3" s="98"/>
      <c r="P3" s="98"/>
      <c r="Q3" s="98"/>
      <c r="R3" s="98"/>
      <c r="S3" s="98"/>
      <c r="T3" s="98"/>
      <c r="U3" s="98"/>
      <c r="V3" s="2"/>
      <c r="W3" s="2"/>
      <c r="X3" s="2"/>
      <c r="Y3" s="2"/>
      <c r="Z3" s="2"/>
    </row>
    <row r="4" spans="2:26" ht="12.75" customHeight="1">
      <c r="B4" s="51"/>
      <c r="C4" s="52"/>
      <c r="D4" s="2"/>
      <c r="E4" s="101" t="s">
        <v>265</v>
      </c>
      <c r="F4" s="2"/>
      <c r="G4" s="100" t="s">
        <v>266</v>
      </c>
      <c r="H4" s="102"/>
      <c r="I4" s="99" t="s">
        <v>267</v>
      </c>
      <c r="J4" s="102" t="s">
        <v>268</v>
      </c>
      <c r="K4" s="99"/>
      <c r="L4" s="99"/>
      <c r="M4" s="98"/>
      <c r="N4" s="98"/>
      <c r="O4" s="98"/>
      <c r="P4" s="98"/>
      <c r="Q4" s="98"/>
      <c r="R4" s="98"/>
      <c r="S4" s="98"/>
      <c r="T4" s="98"/>
      <c r="U4" s="98"/>
      <c r="V4" s="2"/>
      <c r="W4" s="2"/>
      <c r="X4" s="2"/>
      <c r="Y4" s="2"/>
      <c r="Z4" s="2"/>
    </row>
    <row r="5" spans="2:26" ht="18" customHeight="1">
      <c r="B5" s="104" t="s">
        <v>269</v>
      </c>
      <c r="C5" s="104"/>
      <c r="D5" s="2"/>
      <c r="E5" s="101"/>
      <c r="F5" s="105" t="s">
        <v>270</v>
      </c>
      <c r="G5" s="100"/>
      <c r="H5" s="100"/>
      <c r="I5" s="100"/>
      <c r="J5" s="100"/>
      <c r="K5" s="100"/>
      <c r="L5" s="100"/>
      <c r="M5" s="98"/>
      <c r="N5" s="98"/>
      <c r="O5" s="98"/>
      <c r="P5" s="98"/>
      <c r="Q5" s="98"/>
      <c r="R5" s="98"/>
      <c r="S5" s="98"/>
      <c r="T5" s="98"/>
      <c r="U5" s="98"/>
      <c r="V5" s="2"/>
      <c r="W5" s="2"/>
      <c r="X5" s="2"/>
      <c r="Y5" s="2"/>
      <c r="Z5" s="2"/>
    </row>
    <row r="6" spans="2:26" ht="13.5" customHeight="1">
      <c r="B6" s="53"/>
      <c r="C6" s="52"/>
      <c r="D6" s="2"/>
      <c r="E6" s="101"/>
      <c r="F6" s="101"/>
      <c r="G6" s="101"/>
      <c r="H6" s="101"/>
      <c r="I6" s="101"/>
      <c r="J6" s="101"/>
      <c r="K6" s="101"/>
      <c r="L6" s="101"/>
      <c r="M6" s="98"/>
      <c r="N6" s="98"/>
      <c r="O6" s="98"/>
      <c r="P6" s="98"/>
      <c r="Q6" s="98"/>
      <c r="R6" s="98"/>
      <c r="S6" s="98"/>
      <c r="T6" s="98"/>
      <c r="U6" s="98"/>
      <c r="V6" s="2"/>
      <c r="W6" s="2"/>
      <c r="X6" s="2"/>
      <c r="Y6" s="2"/>
      <c r="Z6" s="2"/>
    </row>
    <row r="7" spans="2:26" ht="34.5" customHeight="1">
      <c r="B7" s="54" t="s">
        <v>271</v>
      </c>
      <c r="C7" s="54" t="s">
        <v>272</v>
      </c>
      <c r="D7" s="54" t="s">
        <v>19</v>
      </c>
      <c r="E7" s="54" t="s">
        <v>50</v>
      </c>
      <c r="F7" s="54" t="s">
        <v>22</v>
      </c>
      <c r="G7" s="55" t="s">
        <v>273</v>
      </c>
      <c r="H7" s="55" t="s">
        <v>274</v>
      </c>
      <c r="I7" s="55" t="s">
        <v>275</v>
      </c>
      <c r="J7" s="55" t="s">
        <v>276</v>
      </c>
      <c r="K7" s="55" t="s">
        <v>277</v>
      </c>
      <c r="L7" s="56" t="s">
        <v>278</v>
      </c>
      <c r="M7" s="56" t="s">
        <v>279</v>
      </c>
      <c r="N7" s="56" t="s">
        <v>280</v>
      </c>
      <c r="O7" s="56" t="s">
        <v>281</v>
      </c>
      <c r="P7" s="56" t="s">
        <v>282</v>
      </c>
      <c r="Q7" s="56" t="s">
        <v>283</v>
      </c>
      <c r="R7" s="56" t="s">
        <v>284</v>
      </c>
      <c r="S7" s="56" t="s">
        <v>285</v>
      </c>
      <c r="T7" s="56" t="s">
        <v>286</v>
      </c>
      <c r="U7" s="56" t="s">
        <v>287</v>
      </c>
      <c r="V7" s="56" t="s">
        <v>288</v>
      </c>
      <c r="W7" s="56" t="s">
        <v>289</v>
      </c>
      <c r="X7" s="56" t="s">
        <v>290</v>
      </c>
      <c r="Y7" s="56" t="s">
        <v>291</v>
      </c>
      <c r="Z7" s="56" t="s">
        <v>292</v>
      </c>
    </row>
    <row r="8" spans="2:26" ht="13.5" customHeight="1">
      <c r="B8" s="57" t="s">
        <v>293</v>
      </c>
      <c r="C8" s="58" t="s">
        <v>91</v>
      </c>
      <c r="D8" s="59" t="s">
        <v>294</v>
      </c>
      <c r="E8" s="59" t="s">
        <v>295</v>
      </c>
      <c r="F8" s="59" t="s">
        <v>31</v>
      </c>
      <c r="G8" s="58">
        <v>14</v>
      </c>
      <c r="H8" s="94">
        <v>0</v>
      </c>
      <c r="I8" s="58">
        <f t="shared" ref="I8:I26" si="0">SUM(G8-H8)</f>
        <v>14</v>
      </c>
      <c r="J8" s="94">
        <v>0</v>
      </c>
      <c r="K8" s="94">
        <f t="shared" ref="K8:K26" si="1">SUM(J8-G8)</f>
        <v>-14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>
      <c r="B9" s="60" t="s">
        <v>296</v>
      </c>
      <c r="C9" s="61" t="s">
        <v>91</v>
      </c>
      <c r="D9" s="62" t="s">
        <v>297</v>
      </c>
      <c r="E9" s="62" t="s">
        <v>295</v>
      </c>
      <c r="F9" s="62" t="s">
        <v>31</v>
      </c>
      <c r="G9" s="61">
        <v>10</v>
      </c>
      <c r="H9" s="94">
        <v>0</v>
      </c>
      <c r="I9" s="61">
        <f t="shared" si="0"/>
        <v>10</v>
      </c>
      <c r="J9" s="94">
        <v>0</v>
      </c>
      <c r="K9" s="94">
        <f t="shared" si="1"/>
        <v>-10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>
      <c r="B10" s="60" t="s">
        <v>298</v>
      </c>
      <c r="C10" s="61" t="s">
        <v>91</v>
      </c>
      <c r="D10" s="62" t="s">
        <v>299</v>
      </c>
      <c r="E10" s="62" t="s">
        <v>300</v>
      </c>
      <c r="F10" s="62" t="s">
        <v>31</v>
      </c>
      <c r="G10" s="61">
        <v>10</v>
      </c>
      <c r="H10" s="94">
        <v>0</v>
      </c>
      <c r="I10" s="61">
        <f t="shared" si="0"/>
        <v>10</v>
      </c>
      <c r="J10" s="94">
        <v>0</v>
      </c>
      <c r="K10" s="94">
        <f t="shared" si="1"/>
        <v>-10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>
      <c r="B11" s="60" t="s">
        <v>301</v>
      </c>
      <c r="C11" s="61" t="s">
        <v>85</v>
      </c>
      <c r="D11" s="62" t="s">
        <v>302</v>
      </c>
      <c r="E11" s="62" t="s">
        <v>303</v>
      </c>
      <c r="F11" s="62" t="s">
        <v>31</v>
      </c>
      <c r="G11" s="61">
        <v>10</v>
      </c>
      <c r="H11" s="94">
        <v>0</v>
      </c>
      <c r="I11" s="61">
        <f t="shared" si="0"/>
        <v>10</v>
      </c>
      <c r="J11" s="94">
        <v>0</v>
      </c>
      <c r="K11" s="94">
        <f t="shared" si="1"/>
        <v>-10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>
      <c r="B12" s="60" t="s">
        <v>304</v>
      </c>
      <c r="C12" s="61" t="s">
        <v>85</v>
      </c>
      <c r="D12" s="62" t="s">
        <v>305</v>
      </c>
      <c r="E12" s="62" t="s">
        <v>306</v>
      </c>
      <c r="F12" s="62" t="s">
        <v>31</v>
      </c>
      <c r="G12" s="61">
        <v>10</v>
      </c>
      <c r="H12" s="94">
        <v>0</v>
      </c>
      <c r="I12" s="61">
        <f t="shared" si="0"/>
        <v>10</v>
      </c>
      <c r="J12" s="94">
        <v>0</v>
      </c>
      <c r="K12" s="94">
        <f t="shared" si="1"/>
        <v>-10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>
      <c r="B13" s="60" t="s">
        <v>307</v>
      </c>
      <c r="C13" s="61" t="s">
        <v>85</v>
      </c>
      <c r="D13" s="62" t="s">
        <v>308</v>
      </c>
      <c r="E13" s="62" t="s">
        <v>309</v>
      </c>
      <c r="F13" s="62" t="s">
        <v>31</v>
      </c>
      <c r="G13" s="61">
        <v>7</v>
      </c>
      <c r="H13" s="94">
        <v>0</v>
      </c>
      <c r="I13" s="61">
        <f t="shared" si="0"/>
        <v>7</v>
      </c>
      <c r="J13" s="94">
        <v>0</v>
      </c>
      <c r="K13" s="94">
        <f t="shared" si="1"/>
        <v>-7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>
      <c r="B14" s="60" t="s">
        <v>310</v>
      </c>
      <c r="C14" s="61" t="s">
        <v>195</v>
      </c>
      <c r="D14" s="62" t="s">
        <v>311</v>
      </c>
      <c r="E14" s="62" t="s">
        <v>312</v>
      </c>
      <c r="F14" s="62" t="s">
        <v>31</v>
      </c>
      <c r="G14" s="61">
        <v>7</v>
      </c>
      <c r="H14" s="94">
        <v>0</v>
      </c>
      <c r="I14" s="61">
        <f t="shared" si="0"/>
        <v>7</v>
      </c>
      <c r="J14" s="94">
        <v>0</v>
      </c>
      <c r="K14" s="94">
        <f t="shared" si="1"/>
        <v>-7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>
      <c r="B15" s="60" t="s">
        <v>313</v>
      </c>
      <c r="C15" s="61" t="s">
        <v>195</v>
      </c>
      <c r="D15" s="62" t="s">
        <v>314</v>
      </c>
      <c r="E15" s="62" t="s">
        <v>312</v>
      </c>
      <c r="F15" s="62" t="s">
        <v>31</v>
      </c>
      <c r="G15" s="61">
        <v>17</v>
      </c>
      <c r="H15" s="94">
        <v>0</v>
      </c>
      <c r="I15" s="61">
        <f t="shared" si="0"/>
        <v>17</v>
      </c>
      <c r="J15" s="94">
        <v>0</v>
      </c>
      <c r="K15" s="94">
        <f t="shared" si="1"/>
        <v>-17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>
      <c r="B16" s="60" t="s">
        <v>315</v>
      </c>
      <c r="C16" s="61" t="s">
        <v>195</v>
      </c>
      <c r="D16" s="62" t="s">
        <v>316</v>
      </c>
      <c r="E16" s="62" t="s">
        <v>312</v>
      </c>
      <c r="F16" s="62" t="s">
        <v>31</v>
      </c>
      <c r="G16" s="61">
        <v>17</v>
      </c>
      <c r="H16" s="94">
        <v>0</v>
      </c>
      <c r="I16" s="61">
        <f t="shared" si="0"/>
        <v>17</v>
      </c>
      <c r="J16" s="94">
        <v>0</v>
      </c>
      <c r="K16" s="94">
        <f t="shared" si="1"/>
        <v>-17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8" ht="13.5" customHeight="1">
      <c r="B17" s="97" t="s">
        <v>317</v>
      </c>
      <c r="C17" s="61" t="s">
        <v>51</v>
      </c>
      <c r="D17" s="62" t="s">
        <v>318</v>
      </c>
      <c r="E17" s="62" t="s">
        <v>319</v>
      </c>
      <c r="F17" s="62" t="s">
        <v>31</v>
      </c>
      <c r="G17" s="61">
        <v>7</v>
      </c>
      <c r="H17" s="94">
        <v>0</v>
      </c>
      <c r="I17" s="61">
        <f t="shared" si="0"/>
        <v>7</v>
      </c>
      <c r="J17" s="94">
        <v>0</v>
      </c>
      <c r="K17" s="94">
        <f t="shared" si="1"/>
        <v>-7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"/>
      <c r="AB17" s="1"/>
    </row>
    <row r="18" spans="2:28" ht="13.5" customHeight="1">
      <c r="B18" s="60" t="s">
        <v>320</v>
      </c>
      <c r="C18" s="61" t="s">
        <v>51</v>
      </c>
      <c r="D18" s="62" t="s">
        <v>321</v>
      </c>
      <c r="E18" s="62" t="s">
        <v>322</v>
      </c>
      <c r="F18" s="62" t="s">
        <v>31</v>
      </c>
      <c r="G18" s="61">
        <v>10</v>
      </c>
      <c r="H18" s="94">
        <v>0</v>
      </c>
      <c r="I18" s="61">
        <f t="shared" si="0"/>
        <v>10</v>
      </c>
      <c r="J18" s="94">
        <v>0</v>
      </c>
      <c r="K18" s="94">
        <f t="shared" si="1"/>
        <v>-10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"/>
      <c r="AB18" s="1"/>
    </row>
    <row r="19" spans="2:28" ht="13.5" customHeight="1">
      <c r="B19" s="60" t="s">
        <v>323</v>
      </c>
      <c r="C19" s="61" t="s">
        <v>51</v>
      </c>
      <c r="D19" s="62" t="s">
        <v>324</v>
      </c>
      <c r="E19" s="62" t="s">
        <v>322</v>
      </c>
      <c r="F19" s="62" t="s">
        <v>31</v>
      </c>
      <c r="G19" s="61">
        <v>5</v>
      </c>
      <c r="H19" s="94">
        <v>0</v>
      </c>
      <c r="I19" s="61">
        <f t="shared" si="0"/>
        <v>5</v>
      </c>
      <c r="J19" s="94">
        <v>0</v>
      </c>
      <c r="K19" s="94">
        <f t="shared" si="1"/>
        <v>-5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"/>
      <c r="AB19" s="1"/>
    </row>
    <row r="20" spans="2:28" ht="13.5" customHeight="1">
      <c r="B20" s="60" t="s">
        <v>325</v>
      </c>
      <c r="C20" s="61" t="s">
        <v>51</v>
      </c>
      <c r="D20" s="62" t="s">
        <v>326</v>
      </c>
      <c r="E20" s="62" t="s">
        <v>322</v>
      </c>
      <c r="F20" s="62" t="s">
        <v>31</v>
      </c>
      <c r="G20" s="61">
        <v>3</v>
      </c>
      <c r="H20" s="94">
        <v>0</v>
      </c>
      <c r="I20" s="61">
        <f t="shared" si="0"/>
        <v>3</v>
      </c>
      <c r="J20" s="94">
        <v>0</v>
      </c>
      <c r="K20" s="94">
        <f t="shared" si="1"/>
        <v>-3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"/>
      <c r="AB20" s="1"/>
    </row>
    <row r="21" spans="2:28" ht="13.5" customHeight="1">
      <c r="B21" s="60" t="s">
        <v>327</v>
      </c>
      <c r="C21" s="61" t="s">
        <v>58</v>
      </c>
      <c r="D21" s="62" t="s">
        <v>328</v>
      </c>
      <c r="E21" s="62" t="s">
        <v>329</v>
      </c>
      <c r="F21" s="62" t="s">
        <v>31</v>
      </c>
      <c r="G21" s="61">
        <v>10</v>
      </c>
      <c r="H21" s="94">
        <v>0</v>
      </c>
      <c r="I21" s="61">
        <f t="shared" si="0"/>
        <v>10</v>
      </c>
      <c r="J21" s="94">
        <v>0</v>
      </c>
      <c r="K21" s="94">
        <f t="shared" si="1"/>
        <v>-10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"/>
      <c r="AB21" s="1"/>
    </row>
    <row r="22" spans="2:28" ht="13.5" customHeight="1">
      <c r="B22" s="60" t="s">
        <v>330</v>
      </c>
      <c r="C22" s="61" t="s">
        <v>58</v>
      </c>
      <c r="D22" s="62" t="s">
        <v>331</v>
      </c>
      <c r="E22" s="62" t="s">
        <v>329</v>
      </c>
      <c r="F22" s="62" t="s">
        <v>31</v>
      </c>
      <c r="G22" s="61">
        <v>9</v>
      </c>
      <c r="H22" s="94">
        <v>0</v>
      </c>
      <c r="I22" s="61">
        <f t="shared" si="0"/>
        <v>9</v>
      </c>
      <c r="J22" s="94">
        <v>0</v>
      </c>
      <c r="K22" s="94">
        <f t="shared" si="1"/>
        <v>-9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"/>
      <c r="AB22" s="1"/>
    </row>
    <row r="23" spans="2:28" ht="13.5" customHeight="1">
      <c r="B23" s="60" t="s">
        <v>332</v>
      </c>
      <c r="C23" s="61" t="s">
        <v>58</v>
      </c>
      <c r="D23" s="62" t="s">
        <v>333</v>
      </c>
      <c r="E23" s="62" t="s">
        <v>329</v>
      </c>
      <c r="F23" s="62" t="s">
        <v>31</v>
      </c>
      <c r="G23" s="61">
        <v>5</v>
      </c>
      <c r="H23" s="94">
        <v>0</v>
      </c>
      <c r="I23" s="61">
        <f t="shared" si="0"/>
        <v>5</v>
      </c>
      <c r="J23" s="94">
        <v>0</v>
      </c>
      <c r="K23" s="94">
        <f t="shared" si="1"/>
        <v>-5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"/>
      <c r="AB23" s="1"/>
    </row>
    <row r="24" spans="2:28" ht="13.5" customHeight="1">
      <c r="B24" s="60" t="s">
        <v>334</v>
      </c>
      <c r="C24" s="61" t="s">
        <v>79</v>
      </c>
      <c r="D24" s="62" t="s">
        <v>335</v>
      </c>
      <c r="E24" s="62" t="s">
        <v>336</v>
      </c>
      <c r="F24" s="62" t="s">
        <v>31</v>
      </c>
      <c r="G24" s="61">
        <v>14</v>
      </c>
      <c r="H24" s="94">
        <v>0</v>
      </c>
      <c r="I24" s="61">
        <f t="shared" si="0"/>
        <v>14</v>
      </c>
      <c r="J24" s="94">
        <v>0</v>
      </c>
      <c r="K24" s="94">
        <f t="shared" si="1"/>
        <v>-14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"/>
      <c r="AB24" s="1"/>
    </row>
    <row r="25" spans="2:28" ht="13.5" customHeight="1">
      <c r="B25" s="60" t="s">
        <v>337</v>
      </c>
      <c r="C25" s="61" t="s">
        <v>79</v>
      </c>
      <c r="D25" s="62" t="s">
        <v>338</v>
      </c>
      <c r="E25" s="62" t="s">
        <v>336</v>
      </c>
      <c r="F25" s="62" t="s">
        <v>31</v>
      </c>
      <c r="G25" s="61">
        <v>21</v>
      </c>
      <c r="H25" s="94">
        <v>0</v>
      </c>
      <c r="I25" s="61">
        <f t="shared" si="0"/>
        <v>21</v>
      </c>
      <c r="J25" s="94">
        <v>0</v>
      </c>
      <c r="K25" s="94">
        <f t="shared" si="1"/>
        <v>-21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"/>
      <c r="AB25" s="1"/>
    </row>
    <row r="26" spans="2:28" ht="13.5" customHeight="1">
      <c r="B26" s="60" t="s">
        <v>339</v>
      </c>
      <c r="C26" s="61" t="s">
        <v>245</v>
      </c>
      <c r="D26" s="62" t="s">
        <v>340</v>
      </c>
      <c r="E26" s="62" t="s">
        <v>295</v>
      </c>
      <c r="F26" s="62" t="s">
        <v>31</v>
      </c>
      <c r="G26" s="61">
        <v>10</v>
      </c>
      <c r="H26" s="94">
        <v>0</v>
      </c>
      <c r="I26" s="61">
        <f t="shared" si="0"/>
        <v>10</v>
      </c>
      <c r="J26" s="94">
        <v>0</v>
      </c>
      <c r="K26" s="94">
        <f t="shared" si="1"/>
        <v>-10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"/>
      <c r="AB26" s="1"/>
    </row>
    <row r="27" spans="2:28" ht="13.5" customHeight="1">
      <c r="B27" s="60"/>
      <c r="C27" s="61"/>
      <c r="D27" s="62"/>
      <c r="E27" s="62"/>
      <c r="F27" s="62"/>
      <c r="G27" s="61"/>
      <c r="H27" s="94"/>
      <c r="I27" s="61"/>
      <c r="J27" s="94"/>
      <c r="K27" s="94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1"/>
      <c r="AB27" s="1"/>
    </row>
    <row r="28" spans="2:28" ht="13.5" customHeight="1">
      <c r="B28" s="60"/>
      <c r="C28" s="61"/>
      <c r="D28" s="62"/>
      <c r="E28" s="62"/>
      <c r="F28" s="62" t="s">
        <v>261</v>
      </c>
      <c r="G28" s="61">
        <f>SUM(G8:G26)</f>
        <v>196</v>
      </c>
      <c r="H28" s="94">
        <f>SUM(H8:H26)</f>
        <v>0</v>
      </c>
      <c r="I28" s="61">
        <f>SUM(I8:I26)</f>
        <v>196</v>
      </c>
      <c r="J28" s="94">
        <f>SUM(J8:J26)</f>
        <v>0</v>
      </c>
      <c r="K28" s="94">
        <f>SUM(K8:K26)</f>
        <v>-196</v>
      </c>
      <c r="L28" s="6">
        <f t="shared" ref="L28:Z28" si="2">SUBTOTAL(9,L7:L26)</f>
        <v>0</v>
      </c>
      <c r="M28" s="6">
        <f t="shared" si="2"/>
        <v>0</v>
      </c>
      <c r="N28" s="6">
        <f t="shared" si="2"/>
        <v>0</v>
      </c>
      <c r="O28" s="6">
        <f t="shared" si="2"/>
        <v>0</v>
      </c>
      <c r="P28" s="6">
        <f t="shared" si="2"/>
        <v>0</v>
      </c>
      <c r="Q28" s="6">
        <f t="shared" si="2"/>
        <v>0</v>
      </c>
      <c r="R28" s="6">
        <f t="shared" si="2"/>
        <v>0</v>
      </c>
      <c r="S28" s="6">
        <f t="shared" si="2"/>
        <v>0</v>
      </c>
      <c r="T28" s="6">
        <f t="shared" si="2"/>
        <v>0</v>
      </c>
      <c r="U28" s="6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1"/>
      <c r="AB28" s="1"/>
    </row>
    <row r="29" spans="2:28" ht="13.5" customHeight="1">
      <c r="B29" s="60"/>
      <c r="C29" s="61"/>
      <c r="D29" s="62"/>
      <c r="E29" s="62"/>
      <c r="F29" s="62" t="s">
        <v>341</v>
      </c>
      <c r="G29" s="61"/>
      <c r="H29" s="94"/>
      <c r="I29" s="61"/>
      <c r="J29" s="94"/>
      <c r="K29" s="94"/>
      <c r="L29" s="6">
        <f>G28-L28</f>
        <v>196</v>
      </c>
      <c r="M29" s="6">
        <f t="shared" ref="M29:Z29" si="3">L29-M28</f>
        <v>196</v>
      </c>
      <c r="N29" s="6">
        <f t="shared" si="3"/>
        <v>196</v>
      </c>
      <c r="O29" s="6">
        <f t="shared" si="3"/>
        <v>196</v>
      </c>
      <c r="P29" s="6">
        <f t="shared" si="3"/>
        <v>196</v>
      </c>
      <c r="Q29" s="6">
        <f t="shared" si="3"/>
        <v>196</v>
      </c>
      <c r="R29" s="6">
        <f t="shared" si="3"/>
        <v>196</v>
      </c>
      <c r="S29" s="6">
        <f t="shared" si="3"/>
        <v>196</v>
      </c>
      <c r="T29" s="6">
        <f t="shared" si="3"/>
        <v>196</v>
      </c>
      <c r="U29" s="6">
        <f t="shared" si="3"/>
        <v>196</v>
      </c>
      <c r="V29" s="6">
        <f t="shared" si="3"/>
        <v>196</v>
      </c>
      <c r="W29" s="6">
        <f t="shared" si="3"/>
        <v>196</v>
      </c>
      <c r="X29" s="6">
        <f t="shared" si="3"/>
        <v>196</v>
      </c>
      <c r="Y29" s="6">
        <f t="shared" si="3"/>
        <v>196</v>
      </c>
      <c r="Z29" s="6">
        <f t="shared" si="3"/>
        <v>196</v>
      </c>
      <c r="AA29" s="1"/>
      <c r="AB29" s="1"/>
    </row>
    <row r="30" spans="2:28" ht="13.5" customHeight="1">
      <c r="B30" s="60"/>
      <c r="C30" s="61"/>
      <c r="D30" s="62"/>
      <c r="E30" s="62"/>
      <c r="F30" s="62" t="s">
        <v>342</v>
      </c>
      <c r="G30" s="61"/>
      <c r="H30" s="94"/>
      <c r="I30" s="61"/>
      <c r="J30" s="94"/>
      <c r="K30" s="94"/>
      <c r="L30" s="6">
        <f>L28</f>
        <v>0</v>
      </c>
      <c r="M30" s="6">
        <f t="shared" ref="M30:Z30" si="4">L30+M28</f>
        <v>0</v>
      </c>
      <c r="N30" s="6">
        <f t="shared" si="4"/>
        <v>0</v>
      </c>
      <c r="O30" s="6">
        <f t="shared" si="4"/>
        <v>0</v>
      </c>
      <c r="P30" s="6">
        <f t="shared" si="4"/>
        <v>0</v>
      </c>
      <c r="Q30" s="6">
        <f t="shared" si="4"/>
        <v>0</v>
      </c>
      <c r="R30" s="6">
        <f t="shared" si="4"/>
        <v>0</v>
      </c>
      <c r="S30" s="6">
        <f t="shared" si="4"/>
        <v>0</v>
      </c>
      <c r="T30" s="6">
        <f t="shared" si="4"/>
        <v>0</v>
      </c>
      <c r="U30" s="6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1"/>
      <c r="AB30" s="1"/>
    </row>
    <row r="31" spans="2:28" ht="13.5" customHeight="1">
      <c r="B31" s="60"/>
      <c r="C31" s="61"/>
      <c r="D31" s="62"/>
      <c r="E31" s="62"/>
      <c r="F31" s="62"/>
      <c r="G31" s="61"/>
      <c r="H31" s="94"/>
      <c r="I31" s="61"/>
      <c r="J31" s="94"/>
      <c r="K31" s="94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"/>
      <c r="AB31" s="1"/>
    </row>
    <row r="32" spans="2:28" ht="13.5" customHeight="1">
      <c r="B32" s="60"/>
      <c r="C32" s="61"/>
      <c r="D32" s="62"/>
      <c r="E32" s="62"/>
      <c r="F32" s="62"/>
      <c r="G32" s="61"/>
      <c r="H32" s="94"/>
      <c r="I32" s="61"/>
      <c r="J32" s="94"/>
      <c r="K32" s="94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"/>
      <c r="AB32" s="1"/>
    </row>
    <row r="33" spans="2:28" ht="13.5" customHeight="1">
      <c r="B33" s="60"/>
      <c r="C33" s="61"/>
      <c r="D33" s="62"/>
      <c r="E33" s="62"/>
      <c r="F33" s="62"/>
      <c r="G33" s="61"/>
      <c r="H33" s="94"/>
      <c r="I33" s="61"/>
      <c r="J33" s="94"/>
      <c r="K33" s="94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"/>
      <c r="AB33" s="1"/>
    </row>
    <row r="34" spans="2:28" ht="13.5" customHeight="1">
      <c r="B34" s="63"/>
      <c r="C34" s="64"/>
      <c r="D34" s="65"/>
      <c r="E34" s="65"/>
      <c r="F34" s="66"/>
      <c r="G34" s="94"/>
      <c r="H34" s="94"/>
      <c r="I34" s="94"/>
      <c r="J34" s="106" t="s">
        <v>343</v>
      </c>
      <c r="K34" s="106"/>
      <c r="L34" s="94">
        <v>1</v>
      </c>
      <c r="M34" s="94">
        <v>2</v>
      </c>
      <c r="N34" s="94">
        <v>3</v>
      </c>
      <c r="O34" s="94">
        <v>4</v>
      </c>
      <c r="P34" s="94">
        <v>5</v>
      </c>
      <c r="Q34" s="94">
        <v>6</v>
      </c>
      <c r="R34" s="94">
        <v>7</v>
      </c>
      <c r="S34" s="94">
        <v>8</v>
      </c>
      <c r="T34" s="94">
        <v>9</v>
      </c>
      <c r="U34" s="94">
        <v>10</v>
      </c>
      <c r="V34" s="94">
        <v>11</v>
      </c>
      <c r="W34" s="94">
        <v>12</v>
      </c>
      <c r="X34" s="94">
        <v>13</v>
      </c>
      <c r="Y34" s="94">
        <v>14</v>
      </c>
      <c r="Z34" s="94">
        <v>15</v>
      </c>
      <c r="AA34" s="94" t="s">
        <v>344</v>
      </c>
      <c r="AB34" s="1"/>
    </row>
    <row r="35" spans="2:28" ht="13.5" customHeight="1">
      <c r="B35" s="2"/>
      <c r="C35" s="2"/>
      <c r="D35" s="2"/>
      <c r="E35" s="2"/>
      <c r="F35" s="2"/>
      <c r="G35" s="2"/>
      <c r="H35" s="2"/>
      <c r="I35" s="2"/>
      <c r="J35" s="103" t="s">
        <v>9</v>
      </c>
      <c r="K35" s="10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>
        <f>SUM(L35:Z35)</f>
        <v>0</v>
      </c>
      <c r="AB35" s="2"/>
    </row>
    <row r="36" spans="2:28" ht="13.5" customHeight="1">
      <c r="B36" s="2"/>
      <c r="C36" s="2"/>
      <c r="D36" s="2"/>
      <c r="E36" s="2"/>
      <c r="F36" s="2"/>
      <c r="G36" s="2"/>
      <c r="H36" s="2"/>
      <c r="I36" s="2"/>
      <c r="J36" s="103" t="s">
        <v>7</v>
      </c>
      <c r="K36" s="10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>
        <f>SUM(L36:Z36)</f>
        <v>0</v>
      </c>
      <c r="AB36" s="2"/>
    </row>
    <row r="37" spans="2:28" ht="13.5" customHeight="1">
      <c r="B37" s="2"/>
      <c r="C37" s="2"/>
      <c r="D37" s="2"/>
      <c r="E37" s="2"/>
      <c r="F37" s="2"/>
      <c r="G37" s="2"/>
      <c r="H37" s="2"/>
      <c r="I37" s="2"/>
      <c r="J37" s="103" t="s">
        <v>13</v>
      </c>
      <c r="K37" s="10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>
        <f>SUM(L37:Z37)</f>
        <v>0</v>
      </c>
      <c r="AB37" s="2"/>
    </row>
    <row r="38" spans="2:28" ht="13.5" customHeight="1">
      <c r="B38" s="2"/>
      <c r="C38" s="2"/>
      <c r="D38" s="2"/>
      <c r="E38" s="2"/>
      <c r="F38" s="2"/>
      <c r="G38" s="2"/>
      <c r="H38" s="2"/>
      <c r="I38" s="2"/>
      <c r="J38" s="103" t="s">
        <v>345</v>
      </c>
      <c r="K38" s="10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>
        <f>SUM(L38:Z38)</f>
        <v>0</v>
      </c>
      <c r="AB38" s="2"/>
    </row>
    <row r="39" spans="2:28" ht="13.5" customHeight="1">
      <c r="B39" s="2"/>
      <c r="C39" s="2"/>
      <c r="D39" s="2"/>
      <c r="E39" s="2"/>
      <c r="F39" s="2"/>
      <c r="G39" s="2"/>
      <c r="H39" s="2"/>
      <c r="I39" s="2"/>
      <c r="J39" s="103" t="s">
        <v>14</v>
      </c>
      <c r="K39" s="103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93">
        <f>SUM(L39:Z39)</f>
        <v>0</v>
      </c>
      <c r="AB39" s="2"/>
    </row>
    <row r="40" spans="2:28" ht="13.5" customHeight="1">
      <c r="B40" s="51"/>
      <c r="C40" s="5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93">
        <f>SUM(AA35:AA39)</f>
        <v>0</v>
      </c>
      <c r="AB40" s="2"/>
    </row>
    <row r="41" spans="2:28" ht="13.5" customHeight="1">
      <c r="B41" s="51"/>
      <c r="C41" s="52"/>
      <c r="D41" s="2"/>
      <c r="E41" s="2"/>
      <c r="F41" s="2"/>
      <c r="G41" s="2"/>
      <c r="H41" s="2"/>
      <c r="I41" s="2"/>
      <c r="J41" s="2" t="s">
        <v>346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8" ht="12.75" customHeight="1">
      <c r="B42" s="51"/>
      <c r="C42" s="5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"/>
    </row>
    <row r="43" spans="2:28" ht="12.75" customHeight="1">
      <c r="B43" s="51"/>
      <c r="C43" s="5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2:28" ht="12.75" customHeight="1">
      <c r="B44" s="51"/>
      <c r="C44" s="5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8" ht="12.75" customHeight="1">
      <c r="B45" s="51"/>
      <c r="C45" s="5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8" ht="12.75" customHeight="1">
      <c r="B46" s="51"/>
      <c r="C46" s="5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8" ht="12.75" customHeight="1">
      <c r="B47" s="51"/>
      <c r="C47" s="5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92"/>
      <c r="AB47" s="2"/>
    </row>
    <row r="48" spans="2:28" ht="12.75" customHeight="1">
      <c r="B48" s="51"/>
      <c r="C48" s="5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91"/>
      <c r="AB48" s="2"/>
    </row>
    <row r="49" spans="2:28" ht="12.75" customHeight="1">
      <c r="B49" s="51"/>
      <c r="C49" s="5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12.75" customHeight="1">
      <c r="B50" s="73"/>
      <c r="C50" s="7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3.5" customHeight="1">
      <c r="B51" s="49"/>
      <c r="C51" s="5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3.5" customHeight="1">
      <c r="B52" s="49"/>
      <c r="C52" s="5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3.5" customHeight="1">
      <c r="B53" s="49"/>
      <c r="C53" s="5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3.5" customHeight="1">
      <c r="B54" s="49"/>
      <c r="C54" s="5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3.5" customHeight="1">
      <c r="B55" s="49"/>
      <c r="C55" s="5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3.5" customHeight="1">
      <c r="B56" s="49"/>
      <c r="C56" s="5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3.5" customHeight="1">
      <c r="B57" s="49"/>
      <c r="C57" s="5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3.5" customHeight="1">
      <c r="B58" s="49"/>
      <c r="C58" s="5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3.5" customHeight="1">
      <c r="B59" s="49"/>
      <c r="C59" s="5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3.5" customHeight="1">
      <c r="B60" s="49"/>
      <c r="C60" s="5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3.5" customHeight="1">
      <c r="B61" s="49"/>
      <c r="C61" s="5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3.5" customHeight="1">
      <c r="B62" s="49"/>
      <c r="C62" s="5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3.5" customHeight="1">
      <c r="B63" s="49"/>
      <c r="C63" s="5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3.5" customHeight="1">
      <c r="B64" s="49"/>
      <c r="C64" s="5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3.5" customHeight="1">
      <c r="B65" s="49"/>
      <c r="C65" s="5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3.5" customHeight="1">
      <c r="B66" s="49"/>
      <c r="C66" s="5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3.5" customHeight="1">
      <c r="B67" s="49"/>
      <c r="C67" s="5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3.5" customHeight="1">
      <c r="B68" s="49"/>
      <c r="C68" s="5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3.5" customHeight="1">
      <c r="B69" s="49"/>
      <c r="C69" s="5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3.5" customHeight="1">
      <c r="B70" s="49"/>
      <c r="C70" s="5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3.5" customHeight="1">
      <c r="B71" s="49"/>
      <c r="C71" s="5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3.5" customHeight="1">
      <c r="B72" s="49"/>
      <c r="C72" s="5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3.5" customHeight="1">
      <c r="B73" s="49"/>
      <c r="C73" s="5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3.5" customHeight="1">
      <c r="B74" s="49"/>
      <c r="C74" s="5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3.5" customHeight="1">
      <c r="B75" s="49"/>
      <c r="C75" s="5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3.5" customHeight="1">
      <c r="B76" s="49"/>
      <c r="C76" s="5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3.5" customHeight="1">
      <c r="B77" s="49"/>
      <c r="C77" s="5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3.5" customHeight="1">
      <c r="B78" s="49"/>
      <c r="C78" s="5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3.5" customHeight="1">
      <c r="B79" s="49"/>
      <c r="C79" s="5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3.5" customHeight="1">
      <c r="B80" s="49"/>
      <c r="C80" s="5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3.5" customHeight="1">
      <c r="B81" s="49"/>
      <c r="C81" s="5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3.5" customHeight="1">
      <c r="B82" s="49"/>
      <c r="C82" s="5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3.5" customHeight="1">
      <c r="B83" s="49"/>
      <c r="C83" s="5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3.5" customHeight="1">
      <c r="B84" s="49"/>
      <c r="C84" s="5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3.5" customHeight="1">
      <c r="B85" s="49"/>
      <c r="C85" s="5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3.5" customHeight="1">
      <c r="B86" s="49"/>
      <c r="C86" s="5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3.5" customHeight="1">
      <c r="B87" s="49"/>
      <c r="C87" s="5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3.5" customHeight="1">
      <c r="B88" s="49"/>
      <c r="C88" s="5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3.5" customHeight="1">
      <c r="B89" s="49"/>
      <c r="C89" s="5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3.5" customHeight="1">
      <c r="B90" s="49"/>
      <c r="C90" s="5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3.5" customHeight="1">
      <c r="B91" s="49"/>
      <c r="C91" s="5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3.5" customHeight="1">
      <c r="B92" s="49"/>
      <c r="C92" s="5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3.5" customHeight="1">
      <c r="B93" s="49"/>
      <c r="C93" s="5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3.5" customHeight="1">
      <c r="B94" s="49"/>
      <c r="C94" s="5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3.5" customHeight="1">
      <c r="B95" s="49"/>
      <c r="C95" s="5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3.5" customHeight="1">
      <c r="B96" s="49"/>
      <c r="C96" s="5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3.5" customHeight="1">
      <c r="B97" s="49"/>
      <c r="C97" s="5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3.5" customHeight="1">
      <c r="B98" s="49"/>
      <c r="C98" s="5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3.5" customHeight="1">
      <c r="B99" s="49"/>
      <c r="C99" s="5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3.5" customHeight="1">
      <c r="B100" s="49"/>
      <c r="C100" s="5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3.5" customHeight="1">
      <c r="B101" s="49"/>
      <c r="C101" s="5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3.5" customHeight="1">
      <c r="B102" s="49"/>
      <c r="C102" s="5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3.5" customHeight="1">
      <c r="B103" s="49"/>
      <c r="C103" s="5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3.5" customHeight="1">
      <c r="B104" s="49"/>
      <c r="C104" s="5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3.5" customHeight="1">
      <c r="B105" s="49"/>
      <c r="C105" s="5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3.5" customHeight="1">
      <c r="B106" s="49"/>
      <c r="C106" s="5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3.5" customHeight="1">
      <c r="B107" s="49"/>
      <c r="C107" s="5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3.5" customHeight="1">
      <c r="B108" s="49"/>
      <c r="C108" s="5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3.5" customHeight="1">
      <c r="B109" s="49"/>
      <c r="C109" s="5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3.5" customHeight="1">
      <c r="B110" s="49"/>
      <c r="C110" s="5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3.5" customHeight="1">
      <c r="B111" s="49"/>
      <c r="C111" s="5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3.5" customHeight="1">
      <c r="B112" s="49"/>
      <c r="C112" s="5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3.5" customHeight="1">
      <c r="B113" s="49"/>
      <c r="C113" s="5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3.5" customHeight="1">
      <c r="B114" s="49"/>
      <c r="C114" s="5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3.5" customHeight="1">
      <c r="B115" s="49"/>
      <c r="C115" s="5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3.5" customHeight="1">
      <c r="B116" s="49"/>
      <c r="C116" s="5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3.5" customHeight="1">
      <c r="B117" s="49"/>
      <c r="C117" s="5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3.5" customHeight="1">
      <c r="B118" s="49"/>
      <c r="C118" s="5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3.5" customHeight="1">
      <c r="B119" s="49"/>
      <c r="C119" s="5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3.5" customHeight="1">
      <c r="B120" s="49"/>
      <c r="C120" s="5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3.5" customHeight="1">
      <c r="B121" s="49"/>
      <c r="C121" s="5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3.5" customHeight="1">
      <c r="B122" s="49"/>
      <c r="C122" s="5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3.5" customHeight="1">
      <c r="B123" s="49"/>
      <c r="C123" s="5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3.5" customHeight="1">
      <c r="B124" s="49"/>
      <c r="C124" s="5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3.5" customHeight="1">
      <c r="B125" s="49"/>
      <c r="C125" s="5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3.5" customHeight="1">
      <c r="B126" s="49"/>
      <c r="C126" s="5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3.5" customHeight="1">
      <c r="B127" s="49"/>
      <c r="C127" s="5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3.5" customHeight="1">
      <c r="B128" s="49"/>
      <c r="C128" s="5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3.5" customHeight="1">
      <c r="B129" s="49"/>
      <c r="C129" s="5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3.5" customHeight="1">
      <c r="B130" s="49"/>
      <c r="C130" s="5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3.5" customHeight="1">
      <c r="B131" s="49"/>
      <c r="C131" s="5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3.5" customHeight="1">
      <c r="B132" s="49"/>
      <c r="C132" s="5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3.5" customHeight="1">
      <c r="B133" s="49"/>
      <c r="C133" s="5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3.5" customHeight="1">
      <c r="B134" s="49"/>
      <c r="C134" s="5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3.5" customHeight="1">
      <c r="B135" s="49"/>
      <c r="C135" s="5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3.5" customHeight="1">
      <c r="B136" s="49"/>
      <c r="C136" s="5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3.5" customHeight="1">
      <c r="B137" s="49"/>
      <c r="C137" s="5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3.5" customHeight="1">
      <c r="B138" s="49"/>
      <c r="C138" s="5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3.5" customHeight="1">
      <c r="B139" s="49"/>
      <c r="C139" s="5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3.5" customHeight="1">
      <c r="B140" s="49"/>
      <c r="C140" s="5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3.5" customHeight="1">
      <c r="B141" s="49"/>
      <c r="C141" s="5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3.5" customHeight="1">
      <c r="B142" s="49"/>
      <c r="C142" s="5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3.5" customHeight="1">
      <c r="B143" s="49"/>
      <c r="C143" s="5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3.5" customHeight="1">
      <c r="B144" s="49"/>
      <c r="C144" s="5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3.5" customHeight="1">
      <c r="B145" s="49"/>
      <c r="C145" s="5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3.5" customHeight="1">
      <c r="B146" s="49"/>
      <c r="C146" s="5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3.5" customHeight="1">
      <c r="B147" s="49"/>
      <c r="C147" s="5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3.5" customHeight="1">
      <c r="B148" s="49"/>
      <c r="C148" s="5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3.5" customHeight="1">
      <c r="B149" s="49"/>
      <c r="C149" s="5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3.5" customHeight="1">
      <c r="B150" s="49"/>
      <c r="C150" s="5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3.5" customHeight="1">
      <c r="B151" s="49"/>
      <c r="C151" s="5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3.5" customHeight="1">
      <c r="B152" s="49"/>
      <c r="C152" s="5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3.5" customHeight="1">
      <c r="B153" s="49"/>
      <c r="C153" s="5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3.5" customHeight="1">
      <c r="B154" s="49"/>
      <c r="C154" s="5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3.5" customHeight="1">
      <c r="B155" s="49"/>
      <c r="C155" s="5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3.5" customHeight="1">
      <c r="B156" s="49"/>
      <c r="C156" s="5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3.5" customHeight="1">
      <c r="B157" s="49"/>
      <c r="C157" s="5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3.5" customHeight="1">
      <c r="B158" s="49"/>
      <c r="C158" s="5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3.5" customHeight="1">
      <c r="B159" s="49"/>
      <c r="C159" s="5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3.5" customHeight="1">
      <c r="B160" s="49"/>
      <c r="C160" s="5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ht="13.5" customHeight="1">
      <c r="B161" s="49"/>
      <c r="C161" s="5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ht="13.5" customHeight="1">
      <c r="B162" s="49"/>
      <c r="C162" s="5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2:28" ht="13.5" customHeight="1">
      <c r="B163" s="49"/>
      <c r="C163" s="5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2:28" ht="13.5" customHeight="1">
      <c r="B164" s="49"/>
      <c r="C164" s="5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2:28" ht="13.5" customHeight="1">
      <c r="B165" s="49"/>
      <c r="C165" s="5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2:28" ht="13.5" customHeight="1">
      <c r="B166" s="49"/>
      <c r="C166" s="5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2:28" ht="13.5" customHeight="1">
      <c r="B167" s="49"/>
      <c r="C167" s="5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2:28" ht="13.5" customHeight="1">
      <c r="B168" s="49"/>
      <c r="C168" s="5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2:28" ht="13.5" customHeight="1">
      <c r="B169" s="49"/>
      <c r="C169" s="5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2:28" ht="13.5" customHeight="1">
      <c r="B170" s="49"/>
      <c r="C170" s="5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2:28" ht="13.5" customHeight="1">
      <c r="B171" s="49"/>
      <c r="C171" s="5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2:28" ht="13.5" customHeight="1">
      <c r="B172" s="49"/>
      <c r="C172" s="5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2:28" ht="13.5" customHeight="1">
      <c r="B173" s="49"/>
      <c r="C173" s="5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2:28" ht="13.5" customHeight="1">
      <c r="B174" s="49"/>
      <c r="C174" s="5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2:28" ht="13.5" customHeight="1">
      <c r="B175" s="49"/>
      <c r="C175" s="5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2:28" ht="13.5" customHeight="1">
      <c r="B176" s="49"/>
      <c r="C176" s="5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2:28" ht="13.5" customHeight="1">
      <c r="B177" s="49"/>
      <c r="C177" s="5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2:28" ht="13.5" customHeight="1">
      <c r="B178" s="49"/>
      <c r="C178" s="5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2:28" ht="13.5" customHeight="1">
      <c r="B179" s="49"/>
      <c r="C179" s="5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2:28" ht="13.5" customHeight="1">
      <c r="B180" s="49"/>
      <c r="C180" s="5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2:28" ht="13.5" customHeight="1">
      <c r="B181" s="49"/>
      <c r="C181" s="5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2:28" ht="13.5" customHeight="1">
      <c r="B182" s="49"/>
      <c r="C182" s="5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2:28" ht="13.5" customHeight="1">
      <c r="B183" s="49"/>
      <c r="C183" s="5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2:28" ht="13.5" customHeight="1">
      <c r="B184" s="49"/>
      <c r="C184" s="5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2:28" ht="13.5" customHeight="1">
      <c r="B185" s="49"/>
      <c r="C185" s="5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2:28" ht="13.5" customHeight="1">
      <c r="B186" s="49"/>
      <c r="C186" s="5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2:28" ht="13.5" customHeight="1">
      <c r="B187" s="49"/>
      <c r="C187" s="5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2:28" ht="13.5" customHeight="1">
      <c r="B188" s="49"/>
      <c r="C188" s="5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2:28" ht="13.5" customHeight="1">
      <c r="B189" s="49"/>
      <c r="C189" s="5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2:28" ht="13.5" customHeight="1">
      <c r="B190" s="49"/>
      <c r="C190" s="5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2:28" ht="13.5" customHeight="1">
      <c r="B191" s="49"/>
      <c r="C191" s="5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2:28" ht="13.5" customHeight="1">
      <c r="B192" s="49"/>
      <c r="C192" s="5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2:28" ht="13.5" customHeight="1">
      <c r="B193" s="49"/>
      <c r="C193" s="5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2:28" ht="13.5" customHeight="1">
      <c r="B194" s="49"/>
      <c r="C194" s="5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2:28" ht="13.5" customHeight="1">
      <c r="B195" s="49"/>
      <c r="C195" s="5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2:28" ht="13.5" customHeight="1">
      <c r="B196" s="49"/>
      <c r="C196" s="5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2:28" ht="13.5" customHeight="1">
      <c r="B197" s="49"/>
      <c r="C197" s="5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2:28" ht="13.5" customHeight="1">
      <c r="B198" s="49"/>
      <c r="C198" s="5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2:28" ht="13.5" customHeight="1">
      <c r="B199" s="49"/>
      <c r="C199" s="5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2:28" ht="13.5" customHeight="1">
      <c r="B200" s="49"/>
      <c r="C200" s="5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2:28" ht="13.5" customHeight="1">
      <c r="B201" s="49"/>
      <c r="C201" s="5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2:28" ht="13.5" customHeight="1">
      <c r="B202" s="49"/>
      <c r="C202" s="5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2:28" ht="13.5" customHeight="1">
      <c r="B203" s="49"/>
      <c r="C203" s="5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2:28" ht="13.5" customHeight="1">
      <c r="B204" s="49"/>
      <c r="C204" s="5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2:28" ht="13.5" customHeight="1">
      <c r="B205" s="49"/>
      <c r="C205" s="5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2:28" ht="13.5" customHeight="1">
      <c r="B206" s="49"/>
      <c r="C206" s="5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2:28" ht="13.5" customHeight="1">
      <c r="B207" s="49"/>
      <c r="C207" s="5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2:28" ht="13.5" customHeight="1">
      <c r="B208" s="49"/>
      <c r="C208" s="5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2:28" ht="13.5" customHeight="1">
      <c r="B209" s="49"/>
      <c r="C209" s="5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2:28" ht="13.5" customHeight="1">
      <c r="B210" s="49"/>
      <c r="C210" s="5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2:28" ht="13.5" customHeight="1">
      <c r="B211" s="49"/>
      <c r="C211" s="5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2:28" ht="13.5" customHeight="1">
      <c r="B212" s="49"/>
      <c r="C212" s="5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2:28" ht="13.5" customHeight="1">
      <c r="B213" s="49"/>
      <c r="C213" s="5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2:28" ht="13.5" customHeight="1">
      <c r="B214" s="49"/>
      <c r="C214" s="5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2:28" ht="13.5" customHeight="1">
      <c r="B215" s="49"/>
      <c r="C215" s="5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2:28" ht="13.5" customHeight="1">
      <c r="B216" s="49"/>
      <c r="C216" s="5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2:28" ht="13.5" customHeight="1">
      <c r="B217" s="49"/>
      <c r="C217" s="5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2:28" ht="13.5" customHeight="1">
      <c r="B218" s="49"/>
      <c r="C218" s="5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2:28" ht="13.5" customHeight="1">
      <c r="B219" s="49"/>
      <c r="C219" s="5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2:28" ht="13.5" customHeight="1">
      <c r="B220" s="49"/>
      <c r="C220" s="5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2:28" ht="13.5" customHeight="1">
      <c r="B221" s="49"/>
      <c r="C221" s="5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2:28" ht="13.5" customHeight="1">
      <c r="B222" s="49"/>
      <c r="C222" s="5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2:28" ht="13.5" customHeight="1">
      <c r="B223" s="49"/>
      <c r="C223" s="5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2:28" ht="13.5" customHeight="1">
      <c r="B224" s="49"/>
      <c r="C224" s="5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2:28" ht="13.5" customHeight="1">
      <c r="B225" s="49"/>
      <c r="C225" s="5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2:28" ht="13.5" customHeight="1">
      <c r="B226" s="49"/>
      <c r="C226" s="5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2:28" ht="13.5" customHeight="1">
      <c r="B227" s="49"/>
      <c r="C227" s="5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2:28" ht="13.5" customHeight="1">
      <c r="B228" s="49"/>
      <c r="C228" s="5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2:28" ht="13.5" customHeight="1">
      <c r="B229" s="49"/>
      <c r="C229" s="5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2:28" ht="13.5" customHeight="1">
      <c r="B230" s="49"/>
      <c r="C230" s="5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2:28" ht="13.5" customHeight="1">
      <c r="B231" s="49"/>
      <c r="C231" s="5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2:28" ht="13.5" customHeight="1">
      <c r="B232" s="49"/>
      <c r="C232" s="5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2:28" ht="13.5" customHeight="1">
      <c r="B233" s="49"/>
      <c r="C233" s="5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2:28" ht="13.5" customHeight="1">
      <c r="B234" s="49"/>
      <c r="C234" s="5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2:28" ht="13.5" customHeight="1">
      <c r="B235" s="49"/>
      <c r="C235" s="5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2:28" ht="13.5" customHeight="1">
      <c r="B236" s="49"/>
      <c r="C236" s="5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2:28" ht="13.5" customHeight="1">
      <c r="B237" s="49"/>
      <c r="C237" s="5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2:28" ht="13.5" customHeight="1">
      <c r="B238" s="49"/>
      <c r="C238" s="5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2:28" ht="13.5" customHeight="1">
      <c r="B239" s="49"/>
      <c r="C239" s="5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2:28" ht="13.5" customHeight="1">
      <c r="B240" s="49"/>
      <c r="C240" s="5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2:28" ht="13.5" customHeight="1">
      <c r="B241" s="49"/>
      <c r="C241" s="5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2:28" ht="13.5" customHeight="1">
      <c r="B242" s="49"/>
      <c r="C242" s="5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2:28" ht="13.5" customHeight="1">
      <c r="B243" s="49"/>
      <c r="C243" s="5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2:28" ht="13.5" customHeight="1">
      <c r="B244" s="49"/>
      <c r="C244" s="5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2:28" ht="13.5" customHeight="1">
      <c r="B245" s="49"/>
      <c r="C245" s="5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2:28" ht="13.5" customHeight="1">
      <c r="B246" s="49"/>
      <c r="C246" s="5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2:28" ht="13.5" customHeight="1">
      <c r="B247" s="49"/>
      <c r="C247" s="5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2:28" ht="13.5" customHeight="1">
      <c r="B248" s="49"/>
      <c r="C248" s="5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2:28" ht="13.5" customHeight="1">
      <c r="B249" s="49"/>
      <c r="C249" s="5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2:28" ht="13.5" customHeight="1">
      <c r="B250" s="49"/>
      <c r="C250" s="5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2:28" ht="13.5" customHeight="1">
      <c r="B251" s="49"/>
      <c r="C251" s="5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2:28" ht="13.5" customHeight="1">
      <c r="B252" s="49"/>
      <c r="C252" s="5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2:28" ht="13.5" customHeight="1">
      <c r="B253" s="49"/>
      <c r="C253" s="5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2:28" ht="13.5" customHeight="1">
      <c r="B254" s="49"/>
      <c r="C254" s="5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2:28" ht="13.5" customHeight="1">
      <c r="B255" s="49"/>
      <c r="C255" s="5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2:28" ht="13.5" customHeight="1">
      <c r="B256" s="49"/>
      <c r="C256" s="5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2:28" ht="13.5" customHeight="1">
      <c r="B257" s="49"/>
      <c r="C257" s="5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2:28" ht="13.5" customHeight="1">
      <c r="B258" s="49"/>
      <c r="C258" s="5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2:28" ht="13.5" customHeight="1">
      <c r="B259" s="49"/>
      <c r="C259" s="5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2:28" ht="13.5" customHeight="1">
      <c r="B260" s="49"/>
      <c r="C260" s="5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2:28" ht="13.5" customHeight="1">
      <c r="B261" s="49"/>
      <c r="C261" s="5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2:28" ht="13.5" customHeight="1">
      <c r="B262" s="49"/>
      <c r="C262" s="5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2:28" ht="13.5" customHeight="1">
      <c r="B263" s="49"/>
      <c r="C263" s="5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2:28" ht="13.5" customHeight="1">
      <c r="B264" s="49"/>
      <c r="C264" s="5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2:28" ht="13.5" customHeight="1">
      <c r="B265" s="49"/>
      <c r="C265" s="5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2:28" ht="13.5" customHeight="1">
      <c r="B266" s="49"/>
      <c r="C266" s="5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2:28" ht="13.5" customHeight="1">
      <c r="B267" s="49"/>
      <c r="C267" s="5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2:28" ht="13.5" customHeight="1">
      <c r="B268" s="49"/>
      <c r="C268" s="5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2:28" ht="13.5" customHeight="1">
      <c r="B269" s="49"/>
      <c r="C269" s="5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2:28" ht="13.5" customHeight="1">
      <c r="B270" s="49"/>
      <c r="C270" s="5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2:28" ht="13.5" customHeight="1">
      <c r="B271" s="49"/>
      <c r="C271" s="5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2:28" ht="13.5" customHeight="1">
      <c r="B272" s="49"/>
      <c r="C272" s="5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2:28" ht="13.5" customHeight="1">
      <c r="B273" s="49"/>
      <c r="C273" s="5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2:28" ht="13.5" customHeight="1">
      <c r="B274" s="49"/>
      <c r="C274" s="5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2:28" ht="13.5" customHeight="1">
      <c r="B275" s="49"/>
      <c r="C275" s="5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2:28" ht="13.5" customHeight="1">
      <c r="B276" s="49"/>
      <c r="C276" s="5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2:28" ht="13.5" customHeight="1">
      <c r="B277" s="49"/>
      <c r="C277" s="5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2:28" ht="13.5" customHeight="1">
      <c r="B278" s="49"/>
      <c r="C278" s="5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2:28" ht="13.5" customHeight="1">
      <c r="B279" s="49"/>
      <c r="C279" s="5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2:28" ht="13.5" customHeight="1">
      <c r="B280" s="49"/>
      <c r="C280" s="5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2:28" ht="13.5" customHeight="1">
      <c r="B281" s="49"/>
      <c r="C281" s="5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2:28" ht="13.5" customHeight="1">
      <c r="B282" s="49"/>
      <c r="C282" s="5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2:28" ht="13.5" customHeight="1">
      <c r="B283" s="49"/>
      <c r="C283" s="5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2:28" ht="13.5" customHeight="1">
      <c r="B284" s="49"/>
      <c r="C284" s="5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2:28" ht="13.5" customHeight="1">
      <c r="B285" s="49"/>
      <c r="C285" s="5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2:28" ht="13.5" customHeight="1">
      <c r="B286" s="49"/>
      <c r="C286" s="5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2:28" ht="13.5" customHeight="1">
      <c r="B287" s="49"/>
      <c r="C287" s="5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2:28" ht="13.5" customHeight="1">
      <c r="B288" s="49"/>
      <c r="C288" s="5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2:28" ht="13.5" customHeight="1">
      <c r="B289" s="49"/>
      <c r="C289" s="5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2:28" ht="13.5" customHeight="1">
      <c r="B290" s="49"/>
      <c r="C290" s="5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2:28" ht="13.5" customHeight="1">
      <c r="B291" s="49"/>
      <c r="C291" s="5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2:28" ht="13.5" customHeight="1">
      <c r="B292" s="49"/>
      <c r="C292" s="5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2:28" ht="13.5" customHeight="1">
      <c r="B293" s="49"/>
      <c r="C293" s="5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2:28" ht="13.5" customHeight="1">
      <c r="B294" s="49"/>
      <c r="C294" s="5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2:28" ht="13.5" customHeight="1">
      <c r="B295" s="49"/>
      <c r="C295" s="5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2:28" ht="13.5" customHeight="1">
      <c r="B296" s="49"/>
      <c r="C296" s="5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2:28" ht="13.5" customHeight="1">
      <c r="B297" s="49"/>
      <c r="C297" s="5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2:28" ht="13.5" customHeight="1">
      <c r="B298" s="49"/>
      <c r="C298" s="5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2:28" ht="13.5" customHeight="1">
      <c r="B299" s="49"/>
      <c r="C299" s="5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2:28" ht="13.5" customHeight="1">
      <c r="B300" s="49"/>
      <c r="C300" s="5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2:28" ht="13.5" customHeight="1">
      <c r="B301" s="49"/>
      <c r="C301" s="5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2:28" ht="13.5" customHeight="1">
      <c r="B302" s="49"/>
      <c r="C302" s="5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2:28" ht="13.5" customHeight="1">
      <c r="B303" s="49"/>
      <c r="C303" s="5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2:28" ht="13.5" customHeight="1">
      <c r="B304" s="49"/>
      <c r="C304" s="5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2:28" ht="13.5" customHeight="1">
      <c r="B305" s="49"/>
      <c r="C305" s="5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2:28" ht="13.5" customHeight="1">
      <c r="B306" s="49"/>
      <c r="C306" s="5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2:28" ht="13.5" customHeight="1">
      <c r="B307" s="49"/>
      <c r="C307" s="5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2:28" ht="13.5" customHeight="1">
      <c r="B308" s="49"/>
      <c r="C308" s="5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2:28" ht="13.5" customHeight="1">
      <c r="B309" s="49"/>
      <c r="C309" s="5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2:28" ht="13.5" customHeight="1">
      <c r="B310" s="49"/>
      <c r="C310" s="5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2:28" ht="13.5" customHeight="1">
      <c r="B311" s="49"/>
      <c r="C311" s="5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2:28" ht="13.5" customHeight="1">
      <c r="B312" s="49"/>
      <c r="C312" s="5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2:28" ht="13.5" customHeight="1">
      <c r="B313" s="49"/>
      <c r="C313" s="5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2:28" ht="13.5" customHeight="1">
      <c r="B314" s="49"/>
      <c r="C314" s="5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2:28" ht="13.5" customHeight="1">
      <c r="B315" s="49"/>
      <c r="C315" s="5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2:28" ht="13.5" customHeight="1">
      <c r="B316" s="49"/>
      <c r="C316" s="5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2:28" ht="13.5" customHeight="1">
      <c r="B317" s="49"/>
      <c r="C317" s="5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2:28" ht="13.5" customHeight="1">
      <c r="B318" s="49"/>
      <c r="C318" s="5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2:28" ht="13.5" customHeight="1">
      <c r="B319" s="49"/>
      <c r="C319" s="5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2:28" ht="13.5" customHeight="1">
      <c r="B320" s="49"/>
      <c r="C320" s="5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2:28" ht="13.5" customHeight="1">
      <c r="B321" s="49"/>
      <c r="C321" s="5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2:28" ht="13.5" customHeight="1">
      <c r="B322" s="49"/>
      <c r="C322" s="5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2:28" ht="13.5" customHeight="1">
      <c r="B323" s="49"/>
      <c r="C323" s="5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2:28" ht="13.5" customHeight="1">
      <c r="B324" s="49"/>
      <c r="C324" s="5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2:28" ht="13.5" customHeight="1">
      <c r="B325" s="49"/>
      <c r="C325" s="5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2:28" ht="13.5" customHeight="1">
      <c r="B326" s="49"/>
      <c r="C326" s="5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2:28" ht="13.5" customHeight="1">
      <c r="B327" s="49"/>
      <c r="C327" s="5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2:28" ht="13.5" customHeight="1">
      <c r="B328" s="49"/>
      <c r="C328" s="5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2:28" ht="13.5" customHeight="1">
      <c r="B329" s="49"/>
      <c r="C329" s="5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2:28" ht="13.5" customHeight="1">
      <c r="B330" s="49"/>
      <c r="C330" s="5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2:28" ht="13.5" customHeight="1">
      <c r="B331" s="49"/>
      <c r="C331" s="5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2:28" ht="13.5" customHeight="1">
      <c r="B332" s="49"/>
      <c r="C332" s="5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2:28" ht="13.5" customHeight="1">
      <c r="B333" s="49"/>
      <c r="C333" s="5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2:28" ht="13.5" customHeight="1">
      <c r="B334" s="49"/>
      <c r="C334" s="5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2:28" ht="13.5" customHeight="1">
      <c r="B335" s="49"/>
      <c r="C335" s="5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2:28" ht="13.5" customHeight="1">
      <c r="B336" s="49"/>
      <c r="C336" s="5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2:28" ht="13.5" customHeight="1">
      <c r="B337" s="49"/>
      <c r="C337" s="5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2:28" ht="13.5" customHeight="1">
      <c r="B338" s="49"/>
      <c r="C338" s="5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2:28" ht="13.5" customHeight="1">
      <c r="B339" s="49"/>
      <c r="C339" s="5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2:28" ht="13.5" customHeight="1">
      <c r="B340" s="49"/>
      <c r="C340" s="5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2:28" ht="13.5" customHeight="1">
      <c r="B341" s="49"/>
      <c r="C341" s="5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2:28" ht="13.5" customHeight="1">
      <c r="B342" s="49"/>
      <c r="C342" s="5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2:28" ht="13.5" customHeight="1">
      <c r="B343" s="49"/>
      <c r="C343" s="5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2:28" ht="13.5" customHeight="1">
      <c r="B344" s="49"/>
      <c r="C344" s="5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2:28" ht="13.5" customHeight="1">
      <c r="B345" s="49"/>
      <c r="C345" s="5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2:28" ht="13.5" customHeight="1">
      <c r="B346" s="49"/>
      <c r="C346" s="5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2:28" ht="13.5" customHeight="1">
      <c r="B347" s="49"/>
      <c r="C347" s="5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2:28" ht="13.5" customHeight="1">
      <c r="B348" s="49"/>
      <c r="C348" s="5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2:28" ht="13.5" customHeight="1">
      <c r="B349" s="49"/>
      <c r="C349" s="5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2:28" ht="13.5" customHeight="1">
      <c r="B350" s="49"/>
      <c r="C350" s="5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2:28" ht="13.5" customHeight="1">
      <c r="B351" s="49"/>
      <c r="C351" s="5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2:28" ht="13.5" customHeight="1">
      <c r="B352" s="49"/>
      <c r="C352" s="5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2:28" ht="13.5" customHeight="1">
      <c r="B353" s="49"/>
      <c r="C353" s="5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2:28" ht="13.5" customHeight="1">
      <c r="B354" s="49"/>
      <c r="C354" s="5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2:28" ht="13.5" customHeight="1">
      <c r="B355" s="49"/>
      <c r="C355" s="5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2:28" ht="13.5" customHeight="1">
      <c r="B356" s="49"/>
      <c r="C356" s="5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2:28" ht="13.5" customHeight="1">
      <c r="B357" s="49"/>
      <c r="C357" s="5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2:28" ht="13.5" customHeight="1">
      <c r="B358" s="49"/>
      <c r="C358" s="5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2:28" ht="13.5" customHeight="1">
      <c r="B359" s="49"/>
      <c r="C359" s="5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2:28" ht="13.5" customHeight="1">
      <c r="B360" s="49"/>
      <c r="C360" s="5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2:28" ht="13.5" customHeight="1">
      <c r="B361" s="49"/>
      <c r="C361" s="5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2:28" ht="13.5" customHeight="1">
      <c r="B362" s="49"/>
      <c r="C362" s="5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2:28" ht="13.5" customHeight="1">
      <c r="B363" s="49"/>
      <c r="C363" s="5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2:28" ht="13.5" customHeight="1">
      <c r="B364" s="49"/>
      <c r="C364" s="5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2:28" ht="13.5" customHeight="1">
      <c r="B365" s="49"/>
      <c r="C365" s="5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2:28" ht="13.5" customHeight="1">
      <c r="B366" s="49"/>
      <c r="C366" s="5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2:28" ht="13.5" customHeight="1">
      <c r="B367" s="49"/>
      <c r="C367" s="5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2:28" ht="13.5" customHeight="1">
      <c r="B368" s="49"/>
      <c r="C368" s="5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2:28" ht="13.5" customHeight="1">
      <c r="B369" s="49"/>
      <c r="C369" s="5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2:28" ht="13.5" customHeight="1">
      <c r="B370" s="49"/>
      <c r="C370" s="5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2:28" ht="13.5" customHeight="1">
      <c r="B371" s="49"/>
      <c r="C371" s="5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2:28" ht="13.5" customHeight="1">
      <c r="B372" s="49"/>
      <c r="C372" s="5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2:28" ht="13.5" customHeight="1">
      <c r="B373" s="49"/>
      <c r="C373" s="5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2:28" ht="13.5" customHeight="1">
      <c r="B374" s="49"/>
      <c r="C374" s="5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2:28" ht="13.5" customHeight="1">
      <c r="B375" s="49"/>
      <c r="C375" s="5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2:28" ht="13.5" customHeight="1">
      <c r="B376" s="49"/>
      <c r="C376" s="5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2:28" ht="13.5" customHeight="1">
      <c r="B377" s="49"/>
      <c r="C377" s="5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2:28" ht="13.5" customHeight="1">
      <c r="B378" s="49"/>
      <c r="C378" s="5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2:28" ht="13.5" customHeight="1">
      <c r="B379" s="49"/>
      <c r="C379" s="5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2:28" ht="13.5" customHeight="1">
      <c r="B380" s="49"/>
      <c r="C380" s="5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2:28" ht="13.5" customHeight="1">
      <c r="B381" s="49"/>
      <c r="C381" s="5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2:28" ht="13.5" customHeight="1">
      <c r="B382" s="49"/>
      <c r="C382" s="5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2:28" ht="13.5" customHeight="1">
      <c r="B383" s="49"/>
      <c r="C383" s="5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2:28" ht="13.5" customHeight="1">
      <c r="B384" s="49"/>
      <c r="C384" s="5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2:28" ht="13.5" customHeight="1">
      <c r="B385" s="49"/>
      <c r="C385" s="5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2:28" ht="13.5" customHeight="1">
      <c r="B386" s="49"/>
      <c r="C386" s="5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2:28" ht="13.5" customHeight="1">
      <c r="B387" s="49"/>
      <c r="C387" s="5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2:28" ht="13.5" customHeight="1">
      <c r="B388" s="49"/>
      <c r="C388" s="5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2:28" ht="13.5" customHeight="1">
      <c r="B389" s="49"/>
      <c r="C389" s="5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2:28" ht="13.5" customHeight="1">
      <c r="B390" s="49"/>
      <c r="C390" s="5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2:28" ht="13.5" customHeight="1">
      <c r="B391" s="49"/>
      <c r="C391" s="5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2:28" ht="13.5" customHeight="1">
      <c r="B392" s="49"/>
      <c r="C392" s="5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2:28" ht="13.5" customHeight="1">
      <c r="B393" s="49"/>
      <c r="C393" s="5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2:28" ht="13.5" customHeight="1">
      <c r="B394" s="49"/>
      <c r="C394" s="5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2:28" ht="13.5" customHeight="1">
      <c r="B395" s="49"/>
      <c r="C395" s="5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2:28" ht="13.5" customHeight="1">
      <c r="B396" s="49"/>
      <c r="C396" s="5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2:28" ht="13.5" customHeight="1">
      <c r="B397" s="49"/>
      <c r="C397" s="5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2:28" ht="13.5" customHeight="1">
      <c r="B398" s="49"/>
      <c r="C398" s="5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2:28" ht="13.5" customHeight="1">
      <c r="B399" s="49"/>
      <c r="C399" s="5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2:28" ht="13.5" customHeight="1">
      <c r="B400" s="49"/>
      <c r="C400" s="5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ht="13.5" customHeight="1">
      <c r="B401" s="49"/>
      <c r="C401" s="5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ht="13.5" customHeight="1">
      <c r="B402" s="49"/>
      <c r="C402" s="5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2:28" ht="13.5" customHeight="1">
      <c r="B403" s="49"/>
      <c r="C403" s="5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2:28" ht="13.5" customHeight="1">
      <c r="B404" s="49"/>
      <c r="C404" s="5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2:28" ht="13.5" customHeight="1">
      <c r="B405" s="49"/>
      <c r="C405" s="5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2:28" ht="13.5" customHeight="1">
      <c r="B406" s="49"/>
      <c r="C406" s="5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2:28" ht="13.5" customHeight="1">
      <c r="B407" s="49"/>
      <c r="C407" s="5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2:28" ht="13.5" customHeight="1">
      <c r="B408" s="49"/>
      <c r="C408" s="5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2:28" ht="13.5" customHeight="1">
      <c r="B409" s="49"/>
      <c r="C409" s="5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2:28" ht="13.5" customHeight="1">
      <c r="B410" s="49"/>
      <c r="C410" s="5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2:28" ht="13.5" customHeight="1">
      <c r="B411" s="49"/>
      <c r="C411" s="5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2:28" ht="13.5" customHeight="1">
      <c r="B412" s="49"/>
      <c r="C412" s="5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2:28" ht="13.5" customHeight="1">
      <c r="B413" s="49"/>
      <c r="C413" s="5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2:28" ht="13.5" customHeight="1">
      <c r="B414" s="49"/>
      <c r="C414" s="5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2:28" ht="13.5" customHeight="1">
      <c r="B415" s="49"/>
      <c r="C415" s="5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2:28" ht="13.5" customHeight="1">
      <c r="B416" s="49"/>
      <c r="C416" s="5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2:28" ht="13.5" customHeight="1">
      <c r="B417" s="49"/>
      <c r="C417" s="5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2:28" ht="13.5" customHeight="1">
      <c r="B418" s="49"/>
      <c r="C418" s="5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2:28" ht="13.5" customHeight="1">
      <c r="B419" s="49"/>
      <c r="C419" s="5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2:28" ht="13.5" customHeight="1">
      <c r="B420" s="49"/>
      <c r="C420" s="5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2:28" ht="13.5" customHeight="1">
      <c r="B421" s="49"/>
      <c r="C421" s="5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2:28" ht="13.5" customHeight="1">
      <c r="B422" s="49"/>
      <c r="C422" s="5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2:28" ht="13.5" customHeight="1">
      <c r="B423" s="49"/>
      <c r="C423" s="5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2:28" ht="13.5" customHeight="1">
      <c r="B424" s="49"/>
      <c r="C424" s="5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2:28" ht="13.5" customHeight="1">
      <c r="B425" s="49"/>
      <c r="C425" s="5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2:28" ht="13.5" customHeight="1">
      <c r="B426" s="49"/>
      <c r="C426" s="5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2:28" ht="13.5" customHeight="1">
      <c r="B427" s="49"/>
      <c r="C427" s="5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2:28" ht="13.5" customHeight="1">
      <c r="B428" s="49"/>
      <c r="C428" s="5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2:28" ht="13.5" customHeight="1">
      <c r="B429" s="49"/>
      <c r="C429" s="5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2:28" ht="13.5" customHeight="1">
      <c r="B430" s="49"/>
      <c r="C430" s="5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2:28" ht="13.5" customHeight="1">
      <c r="B431" s="49"/>
      <c r="C431" s="5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2:28" ht="13.5" customHeight="1">
      <c r="B432" s="49"/>
      <c r="C432" s="5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2:28" ht="13.5" customHeight="1">
      <c r="B433" s="49"/>
      <c r="C433" s="5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2:28" ht="13.5" customHeight="1">
      <c r="B434" s="49"/>
      <c r="C434" s="5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2:28" ht="13.5" customHeight="1">
      <c r="B435" s="49"/>
      <c r="C435" s="5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2:28" ht="13.5" customHeight="1">
      <c r="B436" s="49"/>
      <c r="C436" s="5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2:28" ht="13.5" customHeight="1">
      <c r="B437" s="49"/>
      <c r="C437" s="5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2:28" ht="13.5" customHeight="1">
      <c r="B438" s="49"/>
      <c r="C438" s="5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2:28" ht="13.5" customHeight="1">
      <c r="B439" s="49"/>
      <c r="C439" s="5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2:28" ht="13.5" customHeight="1">
      <c r="B440" s="49"/>
      <c r="C440" s="5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2:28" ht="13.5" customHeight="1">
      <c r="B441" s="49"/>
      <c r="C441" s="5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2:28" ht="13.5" customHeight="1">
      <c r="B442" s="49"/>
      <c r="C442" s="5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2:28" ht="13.5" customHeight="1">
      <c r="B443" s="49"/>
      <c r="C443" s="5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2:28" ht="13.5" customHeight="1">
      <c r="B444" s="49"/>
      <c r="C444" s="5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2:28" ht="13.5" customHeight="1">
      <c r="B445" s="49"/>
      <c r="C445" s="5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2:28" ht="13.5" customHeight="1">
      <c r="B446" s="49"/>
      <c r="C446" s="5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2:28" ht="13.5" customHeight="1">
      <c r="B447" s="49"/>
      <c r="C447" s="5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2:28" ht="13.5" customHeight="1">
      <c r="B448" s="49"/>
      <c r="C448" s="5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2:28" ht="13.5" customHeight="1">
      <c r="B449" s="49"/>
      <c r="C449" s="5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2:28" ht="13.5" customHeight="1">
      <c r="B450" s="49"/>
      <c r="C450" s="5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2:28" ht="13.5" customHeight="1">
      <c r="B451" s="49"/>
      <c r="C451" s="5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2:28" ht="13.5" customHeight="1">
      <c r="B452" s="49"/>
      <c r="C452" s="5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2:28" ht="13.5" customHeight="1">
      <c r="B453" s="49"/>
      <c r="C453" s="5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2:28" ht="13.5" customHeight="1">
      <c r="B454" s="49"/>
      <c r="C454" s="5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2:28" ht="13.5" customHeight="1">
      <c r="B455" s="49"/>
      <c r="C455" s="5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2:28" ht="13.5" customHeight="1">
      <c r="B456" s="49"/>
      <c r="C456" s="5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2:28" ht="13.5" customHeight="1">
      <c r="B457" s="49"/>
      <c r="C457" s="5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2:28" ht="13.5" customHeight="1">
      <c r="B458" s="49"/>
      <c r="C458" s="5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2:28" ht="13.5" customHeight="1">
      <c r="B459" s="49"/>
      <c r="C459" s="5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2:28" ht="13.5" customHeight="1">
      <c r="B460" s="49"/>
      <c r="C460" s="5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2:28" ht="13.5" customHeight="1">
      <c r="B461" s="49"/>
      <c r="C461" s="5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2:28" ht="13.5" customHeight="1">
      <c r="B462" s="49"/>
      <c r="C462" s="5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2:28" ht="13.5" customHeight="1">
      <c r="B463" s="49"/>
      <c r="C463" s="5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2:28" ht="13.5" customHeight="1">
      <c r="B464" s="49"/>
      <c r="C464" s="5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28" ht="13.5" customHeight="1">
      <c r="B465" s="49"/>
      <c r="C465" s="5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2:28" ht="13.5" customHeight="1">
      <c r="B466" s="49"/>
      <c r="C466" s="5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2:28" ht="13.5" customHeight="1">
      <c r="B467" s="49"/>
      <c r="C467" s="5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2:28" ht="13.5" customHeight="1">
      <c r="B468" s="49"/>
      <c r="C468" s="5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2:28" ht="13.5" customHeight="1">
      <c r="B469" s="49"/>
      <c r="C469" s="5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2:28" ht="13.5" customHeight="1">
      <c r="B470" s="49"/>
      <c r="C470" s="5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2:28" ht="13.5" customHeight="1">
      <c r="B471" s="49"/>
      <c r="C471" s="5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2:28" ht="13.5" customHeight="1">
      <c r="B472" s="49"/>
      <c r="C472" s="5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2:28" ht="13.5" customHeight="1">
      <c r="B473" s="49"/>
      <c r="C473" s="5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2:28" ht="13.5" customHeight="1">
      <c r="B474" s="49"/>
      <c r="C474" s="5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2:28" ht="13.5" customHeight="1">
      <c r="B475" s="49"/>
      <c r="C475" s="5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2:28" ht="13.5" customHeight="1">
      <c r="B476" s="49"/>
      <c r="C476" s="5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2:28" ht="13.5" customHeight="1">
      <c r="B477" s="49"/>
      <c r="C477" s="5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2:28" ht="13.5" customHeight="1">
      <c r="B478" s="49"/>
      <c r="C478" s="5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2:28" ht="13.5" customHeight="1">
      <c r="B479" s="49"/>
      <c r="C479" s="5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2:28" ht="13.5" customHeight="1">
      <c r="B480" s="49"/>
      <c r="C480" s="5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2:28" ht="13.5" customHeight="1">
      <c r="B481" s="49"/>
      <c r="C481" s="5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2:28" ht="13.5" customHeight="1">
      <c r="B482" s="49"/>
      <c r="C482" s="5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2:28" ht="13.5" customHeight="1">
      <c r="B483" s="49"/>
      <c r="C483" s="5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2:28" ht="13.5" customHeight="1">
      <c r="B484" s="49"/>
      <c r="C484" s="5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2:28" ht="13.5" customHeight="1">
      <c r="B485" s="49"/>
      <c r="C485" s="5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2:28" ht="13.5" customHeight="1">
      <c r="B486" s="49"/>
      <c r="C486" s="5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2:28" ht="13.5" customHeight="1">
      <c r="B487" s="49"/>
      <c r="C487" s="5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2:28" ht="13.5" customHeight="1">
      <c r="B488" s="49"/>
      <c r="C488" s="5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2:28" ht="13.5" customHeight="1">
      <c r="B489" s="49"/>
      <c r="C489" s="5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2:28" ht="13.5" customHeight="1">
      <c r="B490" s="49"/>
      <c r="C490" s="5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2:28" ht="13.5" customHeight="1">
      <c r="B491" s="49"/>
      <c r="C491" s="5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2:28" ht="13.5" customHeight="1">
      <c r="B492" s="49"/>
      <c r="C492" s="5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2:28" ht="13.5" customHeight="1">
      <c r="B493" s="49"/>
      <c r="C493" s="5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2:28" ht="13.5" customHeight="1">
      <c r="B494" s="49"/>
      <c r="C494" s="5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2:28" ht="13.5" customHeight="1">
      <c r="B495" s="49"/>
      <c r="C495" s="5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2:28" ht="13.5" customHeight="1">
      <c r="B496" s="49"/>
      <c r="C496" s="5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2:28" ht="13.5" customHeight="1">
      <c r="B497" s="49"/>
      <c r="C497" s="5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2:28" ht="13.5" customHeight="1">
      <c r="B498" s="49"/>
      <c r="C498" s="5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2:28" ht="13.5" customHeight="1">
      <c r="B499" s="49"/>
      <c r="C499" s="5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2:28" ht="13.5" customHeight="1">
      <c r="B500" s="49"/>
      <c r="C500" s="5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2:28" ht="13.5" customHeight="1">
      <c r="B501" s="49"/>
      <c r="C501" s="5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2:28" ht="13.5" customHeight="1">
      <c r="B502" s="49"/>
      <c r="C502" s="5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2:28" ht="13.5" customHeight="1">
      <c r="B503" s="49"/>
      <c r="C503" s="5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2:28" ht="13.5" customHeight="1">
      <c r="B504" s="49"/>
      <c r="C504" s="5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2:28" ht="13.5" customHeight="1">
      <c r="B505" s="49"/>
      <c r="C505" s="5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2:28" ht="13.5" customHeight="1">
      <c r="B506" s="49"/>
      <c r="C506" s="5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2:28" ht="13.5" customHeight="1">
      <c r="B507" s="49"/>
      <c r="C507" s="5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2:28" ht="13.5" customHeight="1">
      <c r="B508" s="49"/>
      <c r="C508" s="5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2:28" ht="13.5" customHeight="1">
      <c r="B509" s="49"/>
      <c r="C509" s="5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2:28" ht="13.5" customHeight="1">
      <c r="B510" s="49"/>
      <c r="C510" s="5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2:28" ht="13.5" customHeight="1">
      <c r="B511" s="49"/>
      <c r="C511" s="5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2:28" ht="13.5" customHeight="1">
      <c r="B512" s="49"/>
      <c r="C512" s="5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2:28" ht="13.5" customHeight="1">
      <c r="B513" s="49"/>
      <c r="C513" s="5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2:28" ht="13.5" customHeight="1">
      <c r="B514" s="49"/>
      <c r="C514" s="5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2:28" ht="13.5" customHeight="1">
      <c r="B515" s="49"/>
      <c r="C515" s="5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2:28" ht="13.5" customHeight="1">
      <c r="B516" s="49"/>
      <c r="C516" s="5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2:28" ht="13.5" customHeight="1">
      <c r="B517" s="49"/>
      <c r="C517" s="5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2:28" ht="13.5" customHeight="1">
      <c r="B518" s="49"/>
      <c r="C518" s="5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2:28" ht="13.5" customHeight="1">
      <c r="B519" s="49"/>
      <c r="C519" s="5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2:28" ht="13.5" customHeight="1">
      <c r="B520" s="49"/>
      <c r="C520" s="5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2:28" ht="13.5" customHeight="1">
      <c r="B521" s="49"/>
      <c r="C521" s="5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2:28" ht="13.5" customHeight="1">
      <c r="B522" s="49"/>
      <c r="C522" s="5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2:28" ht="13.5" customHeight="1">
      <c r="B523" s="49"/>
      <c r="C523" s="5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2:28" ht="13.5" customHeight="1">
      <c r="B524" s="49"/>
      <c r="C524" s="5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2:28" ht="13.5" customHeight="1">
      <c r="B525" s="49"/>
      <c r="C525" s="5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2:28" ht="13.5" customHeight="1">
      <c r="B526" s="49"/>
      <c r="C526" s="5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2:28" ht="13.5" customHeight="1">
      <c r="B527" s="49"/>
      <c r="C527" s="5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2:28" ht="13.5" customHeight="1">
      <c r="B528" s="49"/>
      <c r="C528" s="5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2:28" ht="13.5" customHeight="1">
      <c r="B529" s="49"/>
      <c r="C529" s="5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2:28" ht="13.5" customHeight="1">
      <c r="B530" s="49"/>
      <c r="C530" s="5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2:28" ht="13.5" customHeight="1">
      <c r="B531" s="49"/>
      <c r="C531" s="5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2:28" ht="13.5" customHeight="1">
      <c r="B532" s="49"/>
      <c r="C532" s="5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2:28" ht="13.5" customHeight="1">
      <c r="B533" s="49"/>
      <c r="C533" s="5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2:28" ht="13.5" customHeight="1">
      <c r="B534" s="49"/>
      <c r="C534" s="5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2:28" ht="13.5" customHeight="1">
      <c r="B535" s="49"/>
      <c r="C535" s="5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2:28" ht="13.5" customHeight="1">
      <c r="B536" s="49"/>
      <c r="C536" s="5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2:28" ht="13.5" customHeight="1">
      <c r="B537" s="49"/>
      <c r="C537" s="5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2:28" ht="13.5" customHeight="1">
      <c r="B538" s="49"/>
      <c r="C538" s="5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2:28" ht="13.5" customHeight="1">
      <c r="B539" s="49"/>
      <c r="C539" s="5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2:28" ht="13.5" customHeight="1">
      <c r="B540" s="49"/>
      <c r="C540" s="5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2:28" ht="13.5" customHeight="1">
      <c r="B541" s="49"/>
      <c r="C541" s="5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2:28" ht="13.5" customHeight="1">
      <c r="B542" s="49"/>
      <c r="C542" s="5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2:28" ht="13.5" customHeight="1">
      <c r="B543" s="49"/>
      <c r="C543" s="5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2:28" ht="13.5" customHeight="1">
      <c r="B544" s="49"/>
      <c r="C544" s="5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2:28" ht="13.5" customHeight="1">
      <c r="B545" s="49"/>
      <c r="C545" s="5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2:28" ht="13.5" customHeight="1">
      <c r="B546" s="49"/>
      <c r="C546" s="5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2:28" ht="13.5" customHeight="1">
      <c r="B547" s="49"/>
      <c r="C547" s="5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2:28" ht="13.5" customHeight="1">
      <c r="B548" s="49"/>
      <c r="C548" s="5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2:28" ht="13.5" customHeight="1">
      <c r="B549" s="49"/>
      <c r="C549" s="5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2:28" ht="13.5" customHeight="1">
      <c r="B550" s="49"/>
      <c r="C550" s="5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2:28" ht="13.5" customHeight="1">
      <c r="B551" s="49"/>
      <c r="C551" s="5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2:28" ht="13.5" customHeight="1">
      <c r="B552" s="49"/>
      <c r="C552" s="5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2:28" ht="13.5" customHeight="1">
      <c r="B553" s="49"/>
      <c r="C553" s="5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2:28" ht="13.5" customHeight="1">
      <c r="B554" s="49"/>
      <c r="C554" s="5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2:28" ht="13.5" customHeight="1">
      <c r="B555" s="49"/>
      <c r="C555" s="5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2:28" ht="13.5" customHeight="1">
      <c r="B556" s="49"/>
      <c r="C556" s="5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2:28" ht="13.5" customHeight="1">
      <c r="B557" s="49"/>
      <c r="C557" s="5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2:28" ht="13.5" customHeight="1">
      <c r="B558" s="49"/>
      <c r="C558" s="5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2:28" ht="13.5" customHeight="1">
      <c r="B559" s="49"/>
      <c r="C559" s="5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2:28" ht="13.5" customHeight="1">
      <c r="B560" s="49"/>
      <c r="C560" s="5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2:28" ht="13.5" customHeight="1">
      <c r="B561" s="49"/>
      <c r="C561" s="5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2:28" ht="13.5" customHeight="1">
      <c r="B562" s="49"/>
      <c r="C562" s="5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2:28" ht="13.5" customHeight="1">
      <c r="B563" s="49"/>
      <c r="C563" s="5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2:28" ht="13.5" customHeight="1">
      <c r="B564" s="49"/>
      <c r="C564" s="5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2:28" ht="13.5" customHeight="1">
      <c r="B565" s="49"/>
      <c r="C565" s="5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2:28" ht="13.5" customHeight="1">
      <c r="B566" s="49"/>
      <c r="C566" s="5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2:28" ht="13.5" customHeight="1">
      <c r="B567" s="49"/>
      <c r="C567" s="5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2:28" ht="13.5" customHeight="1">
      <c r="B568" s="49"/>
      <c r="C568" s="5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2:28" ht="13.5" customHeight="1">
      <c r="B569" s="49"/>
      <c r="C569" s="5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2:28" ht="13.5" customHeight="1">
      <c r="B570" s="49"/>
      <c r="C570" s="5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2:28" ht="13.5" customHeight="1">
      <c r="B571" s="49"/>
      <c r="C571" s="5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2:28" ht="13.5" customHeight="1">
      <c r="B572" s="49"/>
      <c r="C572" s="5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2:28" ht="13.5" customHeight="1">
      <c r="B573" s="49"/>
      <c r="C573" s="5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2:28" ht="13.5" customHeight="1">
      <c r="B574" s="49"/>
      <c r="C574" s="5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2:28" ht="13.5" customHeight="1">
      <c r="B575" s="49"/>
      <c r="C575" s="5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2:28" ht="13.5" customHeight="1">
      <c r="B576" s="49"/>
      <c r="C576" s="5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2:28" ht="13.5" customHeight="1">
      <c r="B577" s="49"/>
      <c r="C577" s="5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2:28" ht="13.5" customHeight="1">
      <c r="B578" s="49"/>
      <c r="C578" s="5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2:28" ht="13.5" customHeight="1">
      <c r="B579" s="49"/>
      <c r="C579" s="5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2:28" ht="13.5" customHeight="1">
      <c r="B580" s="49"/>
      <c r="C580" s="5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2:28" ht="13.5" customHeight="1">
      <c r="B581" s="49"/>
      <c r="C581" s="5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2:28" ht="13.5" customHeight="1">
      <c r="B582" s="49"/>
      <c r="C582" s="5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2:28" ht="13.5" customHeight="1">
      <c r="B583" s="49"/>
      <c r="C583" s="5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2:28" ht="13.5" customHeight="1">
      <c r="B584" s="49"/>
      <c r="C584" s="5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2:28" ht="13.5" customHeight="1">
      <c r="B585" s="49"/>
      <c r="C585" s="5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2:28" ht="13.5" customHeight="1">
      <c r="B586" s="49"/>
      <c r="C586" s="5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2:28" ht="13.5" customHeight="1">
      <c r="B587" s="49"/>
      <c r="C587" s="5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2:28" ht="13.5" customHeight="1">
      <c r="B588" s="49"/>
      <c r="C588" s="5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2:28" ht="13.5" customHeight="1">
      <c r="B589" s="49"/>
      <c r="C589" s="5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2:28" ht="13.5" customHeight="1">
      <c r="B590" s="49"/>
      <c r="C590" s="5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2:28" ht="13.5" customHeight="1">
      <c r="B591" s="49"/>
      <c r="C591" s="5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2:28" ht="13.5" customHeight="1">
      <c r="B592" s="49"/>
      <c r="C592" s="5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2:28" ht="13.5" customHeight="1">
      <c r="B593" s="49"/>
      <c r="C593" s="5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2:28" ht="13.5" customHeight="1">
      <c r="B594" s="49"/>
      <c r="C594" s="5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2:28" ht="13.5" customHeight="1">
      <c r="B595" s="49"/>
      <c r="C595" s="5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2:28" ht="13.5" customHeight="1">
      <c r="B596" s="49"/>
      <c r="C596" s="5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2:28" ht="13.5" customHeight="1">
      <c r="B597" s="49"/>
      <c r="C597" s="5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2:28" ht="13.5" customHeight="1">
      <c r="B598" s="49"/>
      <c r="C598" s="5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2:28" ht="13.5" customHeight="1">
      <c r="B599" s="49"/>
      <c r="C599" s="5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2:28" ht="13.5" customHeight="1">
      <c r="B600" s="49"/>
      <c r="C600" s="5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2:28" ht="13.5" customHeight="1">
      <c r="B601" s="49"/>
      <c r="C601" s="5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2:28" ht="13.5" customHeight="1">
      <c r="B602" s="49"/>
      <c r="C602" s="5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2:28" ht="13.5" customHeight="1">
      <c r="B603" s="49"/>
      <c r="C603" s="5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2:28" ht="13.5" customHeight="1">
      <c r="B604" s="49"/>
      <c r="C604" s="5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2:28" ht="13.5" customHeight="1">
      <c r="B605" s="49"/>
      <c r="C605" s="5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2:28" ht="13.5" customHeight="1">
      <c r="B606" s="49"/>
      <c r="C606" s="5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2:28" ht="13.5" customHeight="1">
      <c r="B607" s="49"/>
      <c r="C607" s="5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2:28" ht="13.5" customHeight="1">
      <c r="B608" s="49"/>
      <c r="C608" s="5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2:28" ht="13.5" customHeight="1">
      <c r="B609" s="49"/>
      <c r="C609" s="5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2:28" ht="13.5" customHeight="1">
      <c r="B610" s="49"/>
      <c r="C610" s="5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2:28" ht="13.5" customHeight="1">
      <c r="B611" s="49"/>
      <c r="C611" s="5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2:28" ht="13.5" customHeight="1">
      <c r="B612" s="49"/>
      <c r="C612" s="5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2:28" ht="13.5" customHeight="1">
      <c r="B613" s="49"/>
      <c r="C613" s="5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2:28" ht="13.5" customHeight="1">
      <c r="B614" s="49"/>
      <c r="C614" s="5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2:28" ht="13.5" customHeight="1">
      <c r="B615" s="49"/>
      <c r="C615" s="5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2:28" ht="13.5" customHeight="1">
      <c r="B616" s="49"/>
      <c r="C616" s="5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2:28" ht="13.5" customHeight="1">
      <c r="B617" s="49"/>
      <c r="C617" s="5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2:28" ht="13.5" customHeight="1">
      <c r="B618" s="49"/>
      <c r="C618" s="5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2:28" ht="13.5" customHeight="1">
      <c r="B619" s="49"/>
      <c r="C619" s="5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2:28" ht="13.5" customHeight="1">
      <c r="B620" s="49"/>
      <c r="C620" s="5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2:28" ht="13.5" customHeight="1">
      <c r="B621" s="49"/>
      <c r="C621" s="5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2:28" ht="13.5" customHeight="1">
      <c r="B622" s="49"/>
      <c r="C622" s="5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2:28" ht="13.5" customHeight="1">
      <c r="B623" s="49"/>
      <c r="C623" s="5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2:28" ht="13.5" customHeight="1">
      <c r="B624" s="49"/>
      <c r="C624" s="5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2:28" ht="13.5" customHeight="1">
      <c r="B625" s="49"/>
      <c r="C625" s="5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2:28" ht="13.5" customHeight="1">
      <c r="B626" s="49"/>
      <c r="C626" s="5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2:28" ht="13.5" customHeight="1">
      <c r="B627" s="49"/>
      <c r="C627" s="5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2:28" ht="13.5" customHeight="1">
      <c r="B628" s="49"/>
      <c r="C628" s="5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2:28" ht="13.5" customHeight="1">
      <c r="B629" s="49"/>
      <c r="C629" s="5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2:28" ht="13.5" customHeight="1">
      <c r="B630" s="49"/>
      <c r="C630" s="5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2:28" ht="13.5" customHeight="1">
      <c r="B631" s="49"/>
      <c r="C631" s="5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2:28" ht="13.5" customHeight="1">
      <c r="B632" s="49"/>
      <c r="C632" s="5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2:28" ht="13.5" customHeight="1">
      <c r="B633" s="49"/>
      <c r="C633" s="5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2:28" ht="13.5" customHeight="1">
      <c r="B634" s="49"/>
      <c r="C634" s="5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2:28" ht="13.5" customHeight="1">
      <c r="B635" s="49"/>
      <c r="C635" s="5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2:28" ht="13.5" customHeight="1">
      <c r="B636" s="49"/>
      <c r="C636" s="5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2:28" ht="13.5" customHeight="1">
      <c r="B637" s="49"/>
      <c r="C637" s="5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2:28" ht="13.5" customHeight="1">
      <c r="B638" s="49"/>
      <c r="C638" s="5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2:28" ht="13.5" customHeight="1">
      <c r="B639" s="49"/>
      <c r="C639" s="5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2:28" ht="13.5" customHeight="1">
      <c r="B640" s="49"/>
      <c r="C640" s="5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2:28" ht="13.5" customHeight="1">
      <c r="B641" s="49"/>
      <c r="C641" s="5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2:28" ht="13.5" customHeight="1">
      <c r="B642" s="49"/>
      <c r="C642" s="5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2:28" ht="13.5" customHeight="1">
      <c r="B643" s="49"/>
      <c r="C643" s="5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2:28" ht="13.5" customHeight="1">
      <c r="B644" s="49"/>
      <c r="C644" s="5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2:28" ht="13.5" customHeight="1">
      <c r="B645" s="49"/>
      <c r="C645" s="5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2:28" ht="13.5" customHeight="1">
      <c r="B646" s="49"/>
      <c r="C646" s="5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2:28" ht="13.5" customHeight="1">
      <c r="B647" s="49"/>
      <c r="C647" s="5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2:28" ht="13.5" customHeight="1">
      <c r="B648" s="49"/>
      <c r="C648" s="5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2:28" ht="13.5" customHeight="1">
      <c r="B649" s="49"/>
      <c r="C649" s="5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2:28" ht="13.5" customHeight="1">
      <c r="B650" s="49"/>
      <c r="C650" s="5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2:28" ht="13.5" customHeight="1">
      <c r="B651" s="49"/>
      <c r="C651" s="5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2:28" ht="13.5" customHeight="1">
      <c r="B652" s="49"/>
      <c r="C652" s="5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2:28" ht="13.5" customHeight="1">
      <c r="B653" s="49"/>
      <c r="C653" s="5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2:28" ht="13.5" customHeight="1">
      <c r="B654" s="49"/>
      <c r="C654" s="5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2:28" ht="13.5" customHeight="1">
      <c r="B655" s="49"/>
      <c r="C655" s="5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2:28" ht="13.5" customHeight="1">
      <c r="B656" s="49"/>
      <c r="C656" s="5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2:28" ht="13.5" customHeight="1">
      <c r="B657" s="49"/>
      <c r="C657" s="5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2:28" ht="13.5" customHeight="1">
      <c r="B658" s="49"/>
      <c r="C658" s="5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2:28" ht="13.5" customHeight="1">
      <c r="B659" s="49"/>
      <c r="C659" s="5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2:28" ht="13.5" customHeight="1">
      <c r="B660" s="49"/>
      <c r="C660" s="5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2:28" ht="13.5" customHeight="1">
      <c r="B661" s="49"/>
      <c r="C661" s="5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2:28" ht="13.5" customHeight="1">
      <c r="B662" s="49"/>
      <c r="C662" s="5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2:28" ht="13.5" customHeight="1">
      <c r="B663" s="49"/>
      <c r="C663" s="5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2:28" ht="13.5" customHeight="1">
      <c r="B664" s="49"/>
      <c r="C664" s="5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2:28" ht="13.5" customHeight="1">
      <c r="B665" s="49"/>
      <c r="C665" s="5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2:28" ht="13.5" customHeight="1">
      <c r="B666" s="49"/>
      <c r="C666" s="5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2:28" ht="13.5" customHeight="1">
      <c r="B667" s="49"/>
      <c r="C667" s="5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2:28" ht="13.5" customHeight="1">
      <c r="B668" s="49"/>
      <c r="C668" s="5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2:28" ht="13.5" customHeight="1">
      <c r="B669" s="49"/>
      <c r="C669" s="5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2:28" ht="13.5" customHeight="1">
      <c r="B670" s="49"/>
      <c r="C670" s="5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2:28" ht="13.5" customHeight="1">
      <c r="B671" s="49"/>
      <c r="C671" s="5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2:28" ht="13.5" customHeight="1">
      <c r="B672" s="49"/>
      <c r="C672" s="5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2:28" ht="13.5" customHeight="1">
      <c r="B673" s="49"/>
      <c r="C673" s="5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2:28" ht="13.5" customHeight="1">
      <c r="B674" s="49"/>
      <c r="C674" s="5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2:28" ht="13.5" customHeight="1">
      <c r="B675" s="49"/>
      <c r="C675" s="5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2:28" ht="13.5" customHeight="1">
      <c r="B676" s="49"/>
      <c r="C676" s="5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2:28" ht="13.5" customHeight="1">
      <c r="B677" s="49"/>
      <c r="C677" s="5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2:28" ht="13.5" customHeight="1">
      <c r="B678" s="49"/>
      <c r="C678" s="5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2:28" ht="13.5" customHeight="1">
      <c r="B679" s="49"/>
      <c r="C679" s="5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2:28" ht="13.5" customHeight="1">
      <c r="B680" s="49"/>
      <c r="C680" s="5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2:28" ht="13.5" customHeight="1">
      <c r="B681" s="49"/>
      <c r="C681" s="5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2:28" ht="13.5" customHeight="1">
      <c r="B682" s="49"/>
      <c r="C682" s="5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2:28" ht="13.5" customHeight="1">
      <c r="B683" s="49"/>
      <c r="C683" s="5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2:28" ht="13.5" customHeight="1">
      <c r="B684" s="49"/>
      <c r="C684" s="5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2:28" ht="13.5" customHeight="1">
      <c r="B685" s="49"/>
      <c r="C685" s="5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2:28" ht="13.5" customHeight="1">
      <c r="B686" s="49"/>
      <c r="C686" s="5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2:28" ht="13.5" customHeight="1">
      <c r="B687" s="49"/>
      <c r="C687" s="5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2:28" ht="13.5" customHeight="1">
      <c r="B688" s="49"/>
      <c r="C688" s="5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2:28" ht="13.5" customHeight="1">
      <c r="B689" s="49"/>
      <c r="C689" s="5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2:28" ht="13.5" customHeight="1">
      <c r="B690" s="49"/>
      <c r="C690" s="5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2:28" ht="13.5" customHeight="1">
      <c r="B691" s="49"/>
      <c r="C691" s="5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2:28" ht="13.5" customHeight="1">
      <c r="B692" s="49"/>
      <c r="C692" s="5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2:28" ht="13.5" customHeight="1">
      <c r="B693" s="49"/>
      <c r="C693" s="5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2:28" ht="13.5" customHeight="1">
      <c r="B694" s="49"/>
      <c r="C694" s="5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2:28" ht="13.5" customHeight="1">
      <c r="B695" s="49"/>
      <c r="C695" s="5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2:28" ht="13.5" customHeight="1">
      <c r="B696" s="49"/>
      <c r="C696" s="5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2:28" ht="13.5" customHeight="1">
      <c r="B697" s="49"/>
      <c r="C697" s="5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2:28" ht="13.5" customHeight="1">
      <c r="B698" s="49"/>
      <c r="C698" s="5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2:28" ht="13.5" customHeight="1">
      <c r="B699" s="49"/>
      <c r="C699" s="5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2:28" ht="13.5" customHeight="1">
      <c r="B700" s="49"/>
      <c r="C700" s="5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2:28" ht="13.5" customHeight="1">
      <c r="B701" s="49"/>
      <c r="C701" s="5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2:28" ht="13.5" customHeight="1">
      <c r="B702" s="49"/>
      <c r="C702" s="5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2:28" ht="13.5" customHeight="1">
      <c r="B703" s="49"/>
      <c r="C703" s="5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2:28" ht="13.5" customHeight="1">
      <c r="B704" s="49"/>
      <c r="C704" s="5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2:28" ht="13.5" customHeight="1">
      <c r="B705" s="49"/>
      <c r="C705" s="5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2:28" ht="13.5" customHeight="1">
      <c r="B706" s="49"/>
      <c r="C706" s="5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2:28" ht="13.5" customHeight="1">
      <c r="B707" s="49"/>
      <c r="C707" s="5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2:28" ht="13.5" customHeight="1">
      <c r="B708" s="49"/>
      <c r="C708" s="5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2:28" ht="13.5" customHeight="1">
      <c r="B709" s="49"/>
      <c r="C709" s="5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2:28" ht="13.5" customHeight="1">
      <c r="B710" s="49"/>
      <c r="C710" s="5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2:28" ht="13.5" customHeight="1">
      <c r="B711" s="49"/>
      <c r="C711" s="5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2:28" ht="13.5" customHeight="1">
      <c r="B712" s="49"/>
      <c r="C712" s="5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2:28" ht="13.5" customHeight="1">
      <c r="B713" s="49"/>
      <c r="C713" s="5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2:28" ht="13.5" customHeight="1">
      <c r="B714" s="49"/>
      <c r="C714" s="5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2:28" ht="13.5" customHeight="1">
      <c r="B715" s="49"/>
      <c r="C715" s="5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2:28" ht="13.5" customHeight="1">
      <c r="B716" s="49"/>
      <c r="C716" s="5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2:28" ht="13.5" customHeight="1">
      <c r="B717" s="49"/>
      <c r="C717" s="5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2:28" ht="13.5" customHeight="1">
      <c r="B718" s="49"/>
      <c r="C718" s="5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2:28" ht="13.5" customHeight="1">
      <c r="B719" s="49"/>
      <c r="C719" s="5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2:28" ht="13.5" customHeight="1">
      <c r="B720" s="49"/>
      <c r="C720" s="5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2:28" ht="13.5" customHeight="1">
      <c r="B721" s="49"/>
      <c r="C721" s="5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2:28" ht="13.5" customHeight="1">
      <c r="B722" s="49"/>
      <c r="C722" s="5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2:28" ht="13.5" customHeight="1">
      <c r="B723" s="49"/>
      <c r="C723" s="5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2:28" ht="13.5" customHeight="1">
      <c r="B724" s="49"/>
      <c r="C724" s="5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2:28" ht="13.5" customHeight="1">
      <c r="B725" s="49"/>
      <c r="C725" s="5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2:28" ht="13.5" customHeight="1">
      <c r="B726" s="49"/>
      <c r="C726" s="5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2:28" ht="13.5" customHeight="1">
      <c r="B727" s="49"/>
      <c r="C727" s="5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2:28" ht="13.5" customHeight="1">
      <c r="B728" s="49"/>
      <c r="C728" s="5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2:28" ht="13.5" customHeight="1">
      <c r="B729" s="49"/>
      <c r="C729" s="5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2:28" ht="13.5" customHeight="1">
      <c r="B730" s="49"/>
      <c r="C730" s="5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2:28" ht="13.5" customHeight="1">
      <c r="B731" s="49"/>
      <c r="C731" s="5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2:28" ht="13.5" customHeight="1">
      <c r="B732" s="49"/>
      <c r="C732" s="5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2:28" ht="13.5" customHeight="1">
      <c r="B733" s="49"/>
      <c r="C733" s="5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2:28" ht="13.5" customHeight="1">
      <c r="B734" s="49"/>
      <c r="C734" s="5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2:28" ht="13.5" customHeight="1">
      <c r="B735" s="49"/>
      <c r="C735" s="5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2:28" ht="13.5" customHeight="1">
      <c r="B736" s="49"/>
      <c r="C736" s="5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2:28" ht="13.5" customHeight="1">
      <c r="B737" s="49"/>
      <c r="C737" s="5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2:28" ht="13.5" customHeight="1">
      <c r="B738" s="49"/>
      <c r="C738" s="5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2:28" ht="13.5" customHeight="1">
      <c r="B739" s="49"/>
      <c r="C739" s="5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2:28" ht="13.5" customHeight="1">
      <c r="B740" s="49"/>
      <c r="C740" s="5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2:28" ht="13.5" customHeight="1">
      <c r="B741" s="49"/>
      <c r="C741" s="5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2:28" ht="13.5" customHeight="1">
      <c r="B742" s="49"/>
      <c r="C742" s="5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2:28" ht="13.5" customHeight="1">
      <c r="B743" s="49"/>
      <c r="C743" s="5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2:28" ht="13.5" customHeight="1">
      <c r="B744" s="49"/>
      <c r="C744" s="5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2:28" ht="13.5" customHeight="1">
      <c r="B745" s="49"/>
      <c r="C745" s="5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2:28" ht="13.5" customHeight="1">
      <c r="B746" s="49"/>
      <c r="C746" s="5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2:28" ht="13.5" customHeight="1">
      <c r="B747" s="49"/>
      <c r="C747" s="5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2:28" ht="13.5" customHeight="1">
      <c r="B748" s="49"/>
      <c r="C748" s="5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2:28" ht="13.5" customHeight="1">
      <c r="B749" s="49"/>
      <c r="C749" s="5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2:28" ht="13.5" customHeight="1">
      <c r="B750" s="49"/>
      <c r="C750" s="5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2:28" ht="13.5" customHeight="1">
      <c r="B751" s="49"/>
      <c r="C751" s="5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2:28" ht="13.5" customHeight="1">
      <c r="B752" s="49"/>
      <c r="C752" s="5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2:28" ht="13.5" customHeight="1">
      <c r="B753" s="49"/>
      <c r="C753" s="5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2:28" ht="13.5" customHeight="1">
      <c r="B754" s="49"/>
      <c r="C754" s="5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2:28" ht="13.5" customHeight="1">
      <c r="B755" s="49"/>
      <c r="C755" s="5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2:28" ht="13.5" customHeight="1">
      <c r="B756" s="49"/>
      <c r="C756" s="5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2:28" ht="13.5" customHeight="1">
      <c r="B757" s="49"/>
      <c r="C757" s="5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2:28" ht="13.5" customHeight="1">
      <c r="B758" s="49"/>
      <c r="C758" s="5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2:28" ht="13.5" customHeight="1">
      <c r="B759" s="49"/>
      <c r="C759" s="5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2:28" ht="13.5" customHeight="1">
      <c r="B760" s="49"/>
      <c r="C760" s="5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2:28" ht="13.5" customHeight="1">
      <c r="B761" s="49"/>
      <c r="C761" s="5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2:28" ht="13.5" customHeight="1">
      <c r="B762" s="49"/>
      <c r="C762" s="5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2:28" ht="13.5" customHeight="1">
      <c r="B763" s="49"/>
      <c r="C763" s="5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2:28" ht="13.5" customHeight="1">
      <c r="B764" s="49"/>
      <c r="C764" s="5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2:28" ht="13.5" customHeight="1">
      <c r="B765" s="49"/>
      <c r="C765" s="5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2:28" ht="13.5" customHeight="1">
      <c r="B766" s="49"/>
      <c r="C766" s="5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2:28" ht="13.5" customHeight="1">
      <c r="B767" s="49"/>
      <c r="C767" s="5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2:28" ht="13.5" customHeight="1">
      <c r="B768" s="49"/>
      <c r="C768" s="5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2:28" ht="13.5" customHeight="1">
      <c r="B769" s="49"/>
      <c r="C769" s="5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2:28" ht="13.5" customHeight="1">
      <c r="B770" s="49"/>
      <c r="C770" s="5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2:28" ht="13.5" customHeight="1">
      <c r="B771" s="49"/>
      <c r="C771" s="5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2:28" ht="13.5" customHeight="1">
      <c r="B772" s="49"/>
      <c r="C772" s="5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2:28" ht="13.5" customHeight="1">
      <c r="B773" s="49"/>
      <c r="C773" s="5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2:28" ht="13.5" customHeight="1">
      <c r="B774" s="49"/>
      <c r="C774" s="5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2:28" ht="13.5" customHeight="1">
      <c r="B775" s="49"/>
      <c r="C775" s="5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2:28" ht="13.5" customHeight="1">
      <c r="B776" s="49"/>
      <c r="C776" s="5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2:28" ht="13.5" customHeight="1">
      <c r="B777" s="49"/>
      <c r="C777" s="5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2:28" ht="13.5" customHeight="1">
      <c r="B778" s="49"/>
      <c r="C778" s="5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2:28" ht="13.5" customHeight="1">
      <c r="B779" s="49"/>
      <c r="C779" s="5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2:28" ht="13.5" customHeight="1">
      <c r="B780" s="49"/>
      <c r="C780" s="5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2:28" ht="13.5" customHeight="1">
      <c r="B781" s="49"/>
      <c r="C781" s="5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2:28" ht="13.5" customHeight="1">
      <c r="B782" s="49"/>
      <c r="C782" s="5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2:28" ht="13.5" customHeight="1">
      <c r="B783" s="49"/>
      <c r="C783" s="5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2:28" ht="13.5" customHeight="1">
      <c r="B784" s="49"/>
      <c r="C784" s="5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2:28" ht="13.5" customHeight="1">
      <c r="B785" s="49"/>
      <c r="C785" s="5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2:28" ht="13.5" customHeight="1">
      <c r="B786" s="49"/>
      <c r="C786" s="5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2:28" ht="13.5" customHeight="1">
      <c r="B787" s="49"/>
      <c r="C787" s="5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2:28" ht="13.5" customHeight="1">
      <c r="B788" s="49"/>
      <c r="C788" s="5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2:28" ht="13.5" customHeight="1">
      <c r="B789" s="49"/>
      <c r="C789" s="5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2:28" ht="13.5" customHeight="1">
      <c r="B790" s="49"/>
      <c r="C790" s="5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2:28" ht="13.5" customHeight="1">
      <c r="B791" s="49"/>
      <c r="C791" s="5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2:28" ht="13.5" customHeight="1">
      <c r="B792" s="49"/>
      <c r="C792" s="5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2:28" ht="13.5" customHeight="1">
      <c r="B793" s="49"/>
      <c r="C793" s="5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2:28" ht="13.5" customHeight="1">
      <c r="B794" s="49"/>
      <c r="C794" s="5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2:28" ht="13.5" customHeight="1">
      <c r="B795" s="49"/>
      <c r="C795" s="5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2:28" ht="13.5" customHeight="1">
      <c r="B796" s="49"/>
      <c r="C796" s="5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2:28" ht="13.5" customHeight="1">
      <c r="B797" s="49"/>
      <c r="C797" s="5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2:28" ht="13.5" customHeight="1">
      <c r="B798" s="49"/>
      <c r="C798" s="5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2:28" ht="13.5" customHeight="1">
      <c r="B799" s="49"/>
      <c r="C799" s="5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2:28" ht="13.5" customHeight="1">
      <c r="B800" s="49"/>
      <c r="C800" s="5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2:28" ht="13.5" customHeight="1">
      <c r="B801" s="49"/>
      <c r="C801" s="5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2:28" ht="13.5" customHeight="1">
      <c r="B802" s="49"/>
      <c r="C802" s="5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2:28" ht="13.5" customHeight="1">
      <c r="B803" s="49"/>
      <c r="C803" s="5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2:28" ht="13.5" customHeight="1">
      <c r="B804" s="49"/>
      <c r="C804" s="5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2:28" ht="13.5" customHeight="1">
      <c r="B805" s="49"/>
      <c r="C805" s="5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2:28" ht="13.5" customHeight="1">
      <c r="B806" s="49"/>
      <c r="C806" s="5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2:28" ht="13.5" customHeight="1">
      <c r="B807" s="49"/>
      <c r="C807" s="5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2:28" ht="13.5" customHeight="1">
      <c r="B808" s="49"/>
      <c r="C808" s="5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2:28" ht="13.5" customHeight="1">
      <c r="B809" s="49"/>
      <c r="C809" s="5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2:28" ht="13.5" customHeight="1">
      <c r="B810" s="49"/>
      <c r="C810" s="5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2:28" ht="13.5" customHeight="1">
      <c r="B811" s="49"/>
      <c r="C811" s="5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2:28" ht="13.5" customHeight="1">
      <c r="B812" s="49"/>
      <c r="C812" s="5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2:28" ht="13.5" customHeight="1">
      <c r="B813" s="49"/>
      <c r="C813" s="5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2:28" ht="13.5" customHeight="1">
      <c r="B814" s="49"/>
      <c r="C814" s="5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2:28" ht="13.5" customHeight="1">
      <c r="B815" s="49"/>
      <c r="C815" s="5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2:28" ht="13.5" customHeight="1">
      <c r="B816" s="49"/>
      <c r="C816" s="5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2:28" ht="13.5" customHeight="1">
      <c r="B817" s="49"/>
      <c r="C817" s="5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2:28" ht="13.5" customHeight="1">
      <c r="B818" s="49"/>
      <c r="C818" s="5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2:28" ht="13.5" customHeight="1">
      <c r="B819" s="49"/>
      <c r="C819" s="5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2:28" ht="13.5" customHeight="1">
      <c r="B820" s="49"/>
      <c r="C820" s="5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2:28" ht="13.5" customHeight="1">
      <c r="B821" s="49"/>
      <c r="C821" s="5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2:28" ht="13.5" customHeight="1">
      <c r="B822" s="49"/>
      <c r="C822" s="5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2:28" ht="13.5" customHeight="1">
      <c r="B823" s="49"/>
      <c r="C823" s="5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2:28" ht="13.5" customHeight="1">
      <c r="B824" s="49"/>
      <c r="C824" s="5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2:28" ht="13.5" customHeight="1">
      <c r="B825" s="49"/>
      <c r="C825" s="5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2:28" ht="13.5" customHeight="1">
      <c r="B826" s="49"/>
      <c r="C826" s="5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2:28" ht="13.5" customHeight="1">
      <c r="B827" s="49"/>
      <c r="C827" s="5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2:28" ht="13.5" customHeight="1">
      <c r="B828" s="49"/>
      <c r="C828" s="5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2:28" ht="13.5" customHeight="1">
      <c r="B829" s="49"/>
      <c r="C829" s="5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2:28" ht="13.5" customHeight="1">
      <c r="B830" s="49"/>
      <c r="C830" s="5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2:28" ht="13.5" customHeight="1">
      <c r="B831" s="49"/>
      <c r="C831" s="5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2:28" ht="13.5" customHeight="1">
      <c r="B832" s="49"/>
      <c r="C832" s="5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2:28" ht="13.5" customHeight="1">
      <c r="B833" s="49"/>
      <c r="C833" s="5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2:28" ht="13.5" customHeight="1">
      <c r="B834" s="49"/>
      <c r="C834" s="5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2:28" ht="13.5" customHeight="1">
      <c r="B835" s="49"/>
      <c r="C835" s="5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2:28" ht="13.5" customHeight="1">
      <c r="B836" s="49"/>
      <c r="C836" s="5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2:28" ht="13.5" customHeight="1">
      <c r="B837" s="49"/>
      <c r="C837" s="5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2:28" ht="13.5" customHeight="1">
      <c r="B838" s="49"/>
      <c r="C838" s="5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2:28" ht="13.5" customHeight="1">
      <c r="B839" s="49"/>
      <c r="C839" s="5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2:28" ht="13.5" customHeight="1">
      <c r="B840" s="49"/>
      <c r="C840" s="5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2:28" ht="13.5" customHeight="1">
      <c r="B841" s="49"/>
      <c r="C841" s="5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2:28" ht="13.5" customHeight="1">
      <c r="B842" s="49"/>
      <c r="C842" s="5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2:28" ht="13.5" customHeight="1">
      <c r="B843" s="49"/>
      <c r="C843" s="5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2:28" ht="13.5" customHeight="1">
      <c r="B844" s="49"/>
      <c r="C844" s="5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2:28" ht="13.5" customHeight="1">
      <c r="B845" s="49"/>
      <c r="C845" s="5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2:28" ht="13.5" customHeight="1">
      <c r="B846" s="49"/>
      <c r="C846" s="5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2:28" ht="13.5" customHeight="1">
      <c r="B847" s="49"/>
      <c r="C847" s="5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2:28" ht="13.5" customHeight="1">
      <c r="B848" s="49"/>
      <c r="C848" s="5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2:28" ht="13.5" customHeight="1">
      <c r="B849" s="49"/>
      <c r="C849" s="5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2:28" ht="13.5" customHeight="1">
      <c r="B850" s="49"/>
      <c r="C850" s="5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2:28" ht="13.5" customHeight="1">
      <c r="B851" s="49"/>
      <c r="C851" s="5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2:28" ht="13.5" customHeight="1">
      <c r="B852" s="49"/>
      <c r="C852" s="5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2:28" ht="13.5" customHeight="1">
      <c r="B853" s="49"/>
      <c r="C853" s="5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2:28" ht="13.5" customHeight="1">
      <c r="B854" s="49"/>
      <c r="C854" s="5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2:28" ht="13.5" customHeight="1">
      <c r="B855" s="49"/>
      <c r="C855" s="5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2:28" ht="13.5" customHeight="1">
      <c r="B856" s="49"/>
      <c r="C856" s="5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2:28" ht="13.5" customHeight="1">
      <c r="B857" s="49"/>
      <c r="C857" s="5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2:28" ht="13.5" customHeight="1">
      <c r="B858" s="49"/>
      <c r="C858" s="5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2:28" ht="13.5" customHeight="1">
      <c r="B859" s="49"/>
      <c r="C859" s="5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2:28" ht="13.5" customHeight="1">
      <c r="B860" s="49"/>
      <c r="C860" s="5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2:28" ht="13.5" customHeight="1">
      <c r="B861" s="49"/>
      <c r="C861" s="5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2:28" ht="13.5" customHeight="1">
      <c r="B862" s="49"/>
      <c r="C862" s="5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2:28" ht="13.5" customHeight="1">
      <c r="B863" s="49"/>
      <c r="C863" s="5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2:28" ht="13.5" customHeight="1">
      <c r="B864" s="49"/>
      <c r="C864" s="5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2:28" ht="13.5" customHeight="1">
      <c r="B865" s="49"/>
      <c r="C865" s="5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2:28" ht="13.5" customHeight="1">
      <c r="B866" s="49"/>
      <c r="C866" s="5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2:28" ht="13.5" customHeight="1">
      <c r="B867" s="49"/>
      <c r="C867" s="5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2:28" ht="13.5" customHeight="1">
      <c r="B868" s="49"/>
      <c r="C868" s="5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2:28" ht="13.5" customHeight="1">
      <c r="B869" s="49"/>
      <c r="C869" s="5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2:28" ht="13.5" customHeight="1">
      <c r="B870" s="49"/>
      <c r="C870" s="5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2:28" ht="13.5" customHeight="1">
      <c r="B871" s="49"/>
      <c r="C871" s="5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2:28" ht="13.5" customHeight="1">
      <c r="B872" s="49"/>
      <c r="C872" s="5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2:28" ht="13.5" customHeight="1">
      <c r="B873" s="49"/>
      <c r="C873" s="5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2:28" ht="13.5" customHeight="1">
      <c r="B874" s="49"/>
      <c r="C874" s="5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2:28" ht="13.5" customHeight="1">
      <c r="B875" s="49"/>
      <c r="C875" s="5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2:28" ht="13.5" customHeight="1">
      <c r="B876" s="49"/>
      <c r="C876" s="5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2:28" ht="13.5" customHeight="1">
      <c r="B877" s="49"/>
      <c r="C877" s="5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2:28" ht="13.5" customHeight="1">
      <c r="B878" s="49"/>
      <c r="C878" s="5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2:28" ht="13.5" customHeight="1">
      <c r="B879" s="49"/>
      <c r="C879" s="5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2:28" ht="13.5" customHeight="1">
      <c r="B880" s="49"/>
      <c r="C880" s="5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2:28" ht="13.5" customHeight="1">
      <c r="B881" s="49"/>
      <c r="C881" s="5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2:28" ht="13.5" customHeight="1">
      <c r="B882" s="49"/>
      <c r="C882" s="5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2:28" ht="13.5" customHeight="1">
      <c r="B883" s="49"/>
      <c r="C883" s="5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2:28" ht="13.5" customHeight="1">
      <c r="B884" s="49"/>
      <c r="C884" s="5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2:28" ht="13.5" customHeight="1">
      <c r="B885" s="49"/>
      <c r="C885" s="5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2:28" ht="13.5" customHeight="1">
      <c r="B886" s="49"/>
      <c r="C886" s="5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2:28" ht="13.5" customHeight="1">
      <c r="B887" s="49"/>
      <c r="C887" s="5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2:28" ht="13.5" customHeight="1">
      <c r="B888" s="49"/>
      <c r="C888" s="5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2:28" ht="13.5" customHeight="1">
      <c r="B889" s="49"/>
      <c r="C889" s="5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2:28" ht="13.5" customHeight="1">
      <c r="B890" s="49"/>
      <c r="C890" s="5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2:28" ht="13.5" customHeight="1">
      <c r="B891" s="49"/>
      <c r="C891" s="5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2:28" ht="13.5" customHeight="1">
      <c r="B892" s="49"/>
      <c r="C892" s="5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2:28" ht="13.5" customHeight="1">
      <c r="B893" s="49"/>
      <c r="C893" s="5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2:28" ht="13.5" customHeight="1">
      <c r="B894" s="49"/>
      <c r="C894" s="5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2:28" ht="13.5" customHeight="1">
      <c r="B895" s="49"/>
      <c r="C895" s="5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2:28" ht="13.5" customHeight="1">
      <c r="B896" s="49"/>
      <c r="C896" s="5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3.5" customHeight="1">
      <c r="B897" s="49"/>
      <c r="C897" s="5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3.5" customHeight="1">
      <c r="B898" s="49"/>
      <c r="C898" s="5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3.5" customHeight="1">
      <c r="B899" s="49"/>
      <c r="C899" s="5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3.5" customHeight="1">
      <c r="B900" s="49"/>
      <c r="C900" s="5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3.5" customHeight="1">
      <c r="B901" s="49"/>
      <c r="C901" s="5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3.5" customHeight="1">
      <c r="B902" s="49"/>
      <c r="C902" s="5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3.5" customHeight="1">
      <c r="B903" s="49"/>
      <c r="C903" s="5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3.5" customHeight="1">
      <c r="B904" s="49"/>
      <c r="C904" s="5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3.5" customHeight="1">
      <c r="B905" s="49"/>
      <c r="C905" s="5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3.5" customHeight="1">
      <c r="B906" s="49"/>
      <c r="C906" s="5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3.5" customHeight="1">
      <c r="B907" s="49"/>
      <c r="C907" s="5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3.5" customHeight="1">
      <c r="B908" s="49"/>
      <c r="C908" s="5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3.5" customHeight="1">
      <c r="B909" s="49"/>
      <c r="C909" s="5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3.5" customHeight="1">
      <c r="B910" s="49"/>
      <c r="C910" s="5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3.5" customHeight="1">
      <c r="B911" s="49"/>
      <c r="C911" s="5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3.5" customHeight="1">
      <c r="B912" s="49"/>
      <c r="C912" s="5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:28" ht="13.5" customHeight="1">
      <c r="B913" s="49"/>
      <c r="C913" s="5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2:28" ht="13.5" customHeight="1">
      <c r="B914" s="49"/>
      <c r="C914" s="5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2:28" ht="13.5" customHeight="1">
      <c r="B915" s="49"/>
      <c r="C915" s="5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2:28" ht="13.5" customHeight="1">
      <c r="B916" s="49"/>
      <c r="C916" s="5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2:28" ht="13.5" customHeight="1">
      <c r="B917" s="49"/>
      <c r="C917" s="5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2:28" ht="13.5" customHeight="1">
      <c r="B918" s="49"/>
      <c r="C918" s="5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2:28" ht="13.5" customHeight="1">
      <c r="B919" s="49"/>
      <c r="C919" s="5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2:28" ht="13.5" customHeight="1">
      <c r="B920" s="49"/>
      <c r="C920" s="5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2:28" ht="13.5" customHeight="1">
      <c r="B921" s="49"/>
      <c r="C921" s="5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2:28" ht="13.5" customHeight="1">
      <c r="B922" s="49"/>
      <c r="C922" s="5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2:28" ht="13.5" customHeight="1">
      <c r="B923" s="49"/>
      <c r="C923" s="5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2:28" ht="13.5" customHeight="1">
      <c r="B924" s="49"/>
      <c r="C924" s="5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2:28" ht="13.5" customHeight="1">
      <c r="B925" s="49"/>
      <c r="C925" s="5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2:28" ht="13.5" customHeight="1">
      <c r="B926" s="49"/>
      <c r="C926" s="5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2:28" ht="13.5" customHeight="1">
      <c r="B927" s="49"/>
      <c r="C927" s="5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2:28" ht="13.5" customHeight="1">
      <c r="B928" s="49"/>
      <c r="C928" s="5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2:28" ht="13.5" customHeight="1">
      <c r="B929" s="49"/>
      <c r="C929" s="5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2:28" ht="13.5" customHeight="1">
      <c r="B930" s="49"/>
      <c r="C930" s="5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2:28" ht="13.5" customHeight="1">
      <c r="B931" s="49"/>
      <c r="C931" s="5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2:28" ht="13.5" customHeight="1">
      <c r="B932" s="49"/>
      <c r="C932" s="5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2:28" ht="13.5" customHeight="1">
      <c r="B933" s="49"/>
      <c r="C933" s="5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2:28" ht="13.5" customHeight="1">
      <c r="B934" s="49"/>
      <c r="C934" s="5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2:28" ht="13.5" customHeight="1">
      <c r="B935" s="49"/>
      <c r="C935" s="5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2:28" ht="13.5" customHeight="1">
      <c r="B936" s="49"/>
      <c r="C936" s="5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2:28" ht="13.5" customHeight="1">
      <c r="B937" s="49"/>
      <c r="C937" s="5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2:28" ht="13.5" customHeight="1">
      <c r="B938" s="49"/>
      <c r="C938" s="5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2:28" ht="13.5" customHeight="1">
      <c r="B939" s="49"/>
      <c r="C939" s="5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2:28" ht="13.5" customHeight="1">
      <c r="B940" s="49"/>
      <c r="C940" s="5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2:28" ht="13.5" customHeight="1">
      <c r="B941" s="49"/>
      <c r="C941" s="5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2:28" ht="13.5" customHeight="1">
      <c r="B942" s="49"/>
      <c r="C942" s="5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2:28" ht="13.5" customHeight="1">
      <c r="B943" s="49"/>
      <c r="C943" s="5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2:28" ht="13.5" customHeight="1">
      <c r="B944" s="49"/>
      <c r="C944" s="5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2:28" ht="13.5" customHeight="1">
      <c r="B945" s="49"/>
      <c r="C945" s="5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2:28" ht="13.5" customHeight="1">
      <c r="B946" s="49"/>
      <c r="C946" s="5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2:28" ht="13.5" customHeight="1">
      <c r="B947" s="49"/>
      <c r="C947" s="5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2:28" ht="13.5" customHeight="1">
      <c r="B948" s="49"/>
      <c r="C948" s="5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2:28" ht="13.5" customHeight="1">
      <c r="B949" s="49"/>
      <c r="C949" s="5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2:28" ht="13.5" customHeight="1">
      <c r="B950" s="49"/>
      <c r="C950" s="5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2:28" ht="13.5" customHeight="1">
      <c r="B951" s="49"/>
      <c r="C951" s="5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2:28" ht="13.5" customHeight="1">
      <c r="B952" s="49"/>
      <c r="C952" s="5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2:28" ht="13.5" customHeight="1">
      <c r="B953" s="49"/>
      <c r="C953" s="5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2:28" ht="13.5" customHeight="1">
      <c r="B954" s="49"/>
      <c r="C954" s="5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2:28" ht="13.5" customHeight="1">
      <c r="B955" s="49"/>
      <c r="C955" s="5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2:28" ht="13.5" customHeight="1">
      <c r="B956" s="49"/>
      <c r="C956" s="5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2:28" ht="13.5" customHeight="1">
      <c r="B957" s="49"/>
      <c r="C957" s="5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2:28" ht="13.5" customHeight="1">
      <c r="B958" s="49"/>
      <c r="C958" s="5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2:28" ht="13.5" customHeight="1">
      <c r="B959" s="49"/>
      <c r="C959" s="5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2:28" ht="13.5" customHeight="1">
      <c r="B960" s="49"/>
      <c r="C960" s="5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2:28" ht="13.5" customHeight="1">
      <c r="B961" s="49"/>
      <c r="C961" s="5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2:28" ht="13.5" customHeight="1">
      <c r="B962" s="49"/>
      <c r="C962" s="5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2:28" ht="13.5" customHeight="1">
      <c r="B963" s="49"/>
      <c r="C963" s="5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2:28" ht="13.5" customHeight="1">
      <c r="B964" s="49"/>
      <c r="C964" s="5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2:28" ht="13.5" customHeight="1">
      <c r="B965" s="49"/>
      <c r="C965" s="5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2:28" ht="13.5" customHeight="1">
      <c r="B966" s="49"/>
      <c r="C966" s="5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2:28" ht="13.5" customHeight="1">
      <c r="B967" s="49"/>
      <c r="C967" s="5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2:28" ht="13.5" customHeight="1">
      <c r="B968" s="49"/>
      <c r="C968" s="5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2:28" ht="13.5" customHeight="1">
      <c r="B969" s="49"/>
      <c r="C969" s="5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2:28" ht="13.5" customHeight="1">
      <c r="B970" s="49"/>
      <c r="C970" s="5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2:28" ht="13.5" customHeight="1">
      <c r="B971" s="49"/>
      <c r="C971" s="50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2:28" ht="13.5" customHeight="1">
      <c r="B972" s="49"/>
      <c r="C972" s="50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2:28" ht="13.5" customHeight="1">
      <c r="B973" s="49"/>
      <c r="C973" s="5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2:28" ht="13.5" customHeight="1">
      <c r="B974" s="49"/>
      <c r="C974" s="5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2:28" ht="13.5" customHeight="1">
      <c r="B975" s="49"/>
      <c r="C975" s="50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2:28" ht="13.5" customHeight="1">
      <c r="B976" s="49"/>
      <c r="C976" s="50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2:28" ht="13.5" customHeight="1">
      <c r="B977" s="49"/>
      <c r="C977" s="50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2:28" ht="13.5" customHeight="1">
      <c r="B978" s="49"/>
      <c r="C978" s="50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2:28" ht="13.5" customHeight="1">
      <c r="B979" s="49"/>
      <c r="C979" s="50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2:28" ht="13.5" customHeight="1">
      <c r="B980" s="49"/>
      <c r="C980" s="50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2:28" ht="13.5" customHeight="1">
      <c r="B981" s="49"/>
      <c r="C981" s="50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2:28" ht="13.5" customHeight="1">
      <c r="B982" s="49"/>
      <c r="C982" s="50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2:28" ht="13.5" customHeight="1">
      <c r="B983" s="49"/>
      <c r="C983" s="50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2:28" ht="13.5" customHeight="1">
      <c r="B984" s="49"/>
      <c r="C984" s="50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2:28" ht="13.5" customHeight="1">
      <c r="B985" s="49"/>
      <c r="C985" s="50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2:28" ht="13.5" customHeight="1">
      <c r="B986" s="49"/>
      <c r="C986" s="50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2:28" ht="13.5" customHeight="1">
      <c r="B987" s="49"/>
      <c r="C987" s="50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2:28" ht="13.5" customHeight="1">
      <c r="B988" s="49"/>
      <c r="C988" s="50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2:28" ht="13.5" customHeight="1">
      <c r="B989" s="49"/>
      <c r="C989" s="50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2:28" ht="13.5" customHeight="1">
      <c r="B990" s="49"/>
      <c r="C990" s="50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2:28" ht="13.5" customHeight="1">
      <c r="B991" s="49"/>
      <c r="C991" s="50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2:28" ht="13.5" customHeight="1">
      <c r="B992" s="49"/>
      <c r="C992" s="50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2:28" ht="13.5" customHeight="1">
      <c r="B993" s="49"/>
      <c r="C993" s="50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2:28" ht="13.5" customHeight="1">
      <c r="B994" s="49"/>
      <c r="C994" s="50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2:28" ht="13.5" customHeight="1">
      <c r="B995" s="49"/>
      <c r="C995" s="50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2:28" ht="13.5" customHeight="1">
      <c r="B996" s="49"/>
      <c r="C996" s="50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2:28" ht="13.5" customHeight="1">
      <c r="B997" s="49"/>
      <c r="C997" s="50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2:28" ht="13.5" customHeight="1">
      <c r="B998" s="49"/>
      <c r="C998" s="50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2:28" ht="12.7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mergeCells count="15">
    <mergeCell ref="J36:K36"/>
    <mergeCell ref="J37:K37"/>
    <mergeCell ref="J38:K38"/>
    <mergeCell ref="J39:K39"/>
    <mergeCell ref="B5:C5"/>
    <mergeCell ref="F5:F6"/>
    <mergeCell ref="J34:K34"/>
    <mergeCell ref="J35:K35"/>
    <mergeCell ref="H2:H6"/>
    <mergeCell ref="K3:K6"/>
    <mergeCell ref="L3:U6"/>
    <mergeCell ref="E4:E6"/>
    <mergeCell ref="G4:G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zoomScaleNormal="100" workbookViewId="0">
      <selection activeCell="M34" sqref="M34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3.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3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3.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3.5" customHeight="1">
      <c r="B5" s="75" t="s">
        <v>347</v>
      </c>
      <c r="C5" s="1"/>
      <c r="D5" s="1"/>
      <c r="E5" s="1"/>
      <c r="F5" s="1"/>
      <c r="G5" s="1"/>
      <c r="H5" s="1"/>
      <c r="I5" s="1"/>
      <c r="J5" s="1"/>
      <c r="K5" s="1"/>
    </row>
    <row r="6" spans="2:11" ht="13.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13.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3.5" customHeight="1">
      <c r="B8" s="76" t="s">
        <v>348</v>
      </c>
      <c r="C8" s="1"/>
      <c r="D8" s="1"/>
      <c r="E8" s="1"/>
      <c r="F8" s="1"/>
      <c r="G8" s="1"/>
      <c r="H8" s="1"/>
      <c r="I8" s="1"/>
      <c r="J8" s="1"/>
      <c r="K8" s="76" t="s">
        <v>349</v>
      </c>
    </row>
    <row r="9" spans="2:11" ht="13.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3.5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ht="13.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3.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ht="13.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3.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13.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</sheetPr>
  <dimension ref="B1:AB983"/>
  <sheetViews>
    <sheetView showGridLines="0" tabSelected="1" topLeftCell="B7" zoomScaleNormal="100" workbookViewId="0">
      <selection activeCell="G17" sqref="G17"/>
    </sheetView>
  </sheetViews>
  <sheetFormatPr defaultColWidth="14.42578125" defaultRowHeight="13.15"/>
  <cols>
    <col min="1" max="1" width="5.42578125" style="2" customWidth="1"/>
    <col min="2" max="3" width="11.42578125" style="2" customWidth="1"/>
    <col min="4" max="4" width="53.85546875" style="2" customWidth="1"/>
    <col min="5" max="5" width="15" style="2" customWidth="1"/>
    <col min="6" max="6" width="13.28515625" style="2" customWidth="1"/>
    <col min="7" max="7" width="12.5703125" style="2" customWidth="1"/>
    <col min="8" max="11" width="11.5703125" style="2" customWidth="1"/>
    <col min="12" max="26" width="3.7109375" style="2" customWidth="1"/>
    <col min="27" max="16384" width="14.42578125" style="2"/>
  </cols>
  <sheetData>
    <row r="1" spans="2:26" ht="13.5" customHeight="1">
      <c r="B1" s="51"/>
      <c r="C1" s="52"/>
    </row>
    <row r="2" spans="2:26" ht="13.5" customHeight="1">
      <c r="B2" s="51"/>
      <c r="C2" s="52"/>
      <c r="H2" s="102" t="s">
        <v>262</v>
      </c>
    </row>
    <row r="3" spans="2:26" ht="13.5" customHeight="1">
      <c r="B3" s="51"/>
      <c r="C3" s="52"/>
      <c r="H3" s="102"/>
      <c r="K3" s="99" t="s">
        <v>263</v>
      </c>
      <c r="L3" s="98" t="s">
        <v>264</v>
      </c>
      <c r="M3" s="98"/>
      <c r="N3" s="98"/>
      <c r="O3" s="98"/>
      <c r="P3" s="98"/>
      <c r="Q3" s="98"/>
      <c r="R3" s="98"/>
      <c r="S3" s="98"/>
      <c r="T3" s="98"/>
      <c r="U3" s="98"/>
    </row>
    <row r="4" spans="2:26" ht="12.75" customHeight="1">
      <c r="B4" s="51"/>
      <c r="C4" s="52"/>
      <c r="E4" s="101" t="s">
        <v>265</v>
      </c>
      <c r="G4" s="100" t="s">
        <v>266</v>
      </c>
      <c r="H4" s="102"/>
      <c r="I4" s="99" t="s">
        <v>267</v>
      </c>
      <c r="J4" s="102" t="s">
        <v>268</v>
      </c>
      <c r="K4" s="99"/>
      <c r="L4" s="99"/>
      <c r="M4" s="98"/>
      <c r="N4" s="98"/>
      <c r="O4" s="98"/>
      <c r="P4" s="98"/>
      <c r="Q4" s="98"/>
      <c r="R4" s="98"/>
      <c r="S4" s="98"/>
      <c r="T4" s="98"/>
      <c r="U4" s="98"/>
    </row>
    <row r="5" spans="2:26" ht="18" customHeight="1">
      <c r="B5" s="104" t="s">
        <v>269</v>
      </c>
      <c r="C5" s="104"/>
      <c r="E5" s="101"/>
      <c r="F5" s="105" t="s">
        <v>270</v>
      </c>
      <c r="G5" s="100"/>
      <c r="H5" s="100"/>
      <c r="I5" s="100"/>
      <c r="J5" s="100"/>
      <c r="K5" s="100"/>
      <c r="L5" s="100"/>
      <c r="M5" s="98"/>
      <c r="N5" s="98"/>
      <c r="O5" s="98"/>
      <c r="P5" s="98"/>
      <c r="Q5" s="98"/>
      <c r="R5" s="98"/>
      <c r="S5" s="98"/>
      <c r="T5" s="98"/>
      <c r="U5" s="98"/>
    </row>
    <row r="6" spans="2:26" ht="13.5" customHeight="1">
      <c r="B6" s="53"/>
      <c r="C6" s="52"/>
      <c r="E6" s="101"/>
      <c r="F6" s="101"/>
      <c r="G6" s="101"/>
      <c r="H6" s="101"/>
      <c r="I6" s="101"/>
      <c r="J6" s="101"/>
      <c r="K6" s="101"/>
      <c r="L6" s="101"/>
      <c r="M6" s="98"/>
      <c r="N6" s="98"/>
      <c r="O6" s="98"/>
      <c r="P6" s="98"/>
      <c r="Q6" s="98"/>
      <c r="R6" s="98"/>
      <c r="S6" s="98"/>
      <c r="T6" s="98"/>
      <c r="U6" s="98"/>
    </row>
    <row r="7" spans="2:26" ht="34.5" customHeight="1">
      <c r="B7" s="54" t="s">
        <v>271</v>
      </c>
      <c r="C7" s="54" t="s">
        <v>272</v>
      </c>
      <c r="D7" s="54" t="s">
        <v>19</v>
      </c>
      <c r="E7" s="54" t="s">
        <v>50</v>
      </c>
      <c r="F7" s="54" t="s">
        <v>22</v>
      </c>
      <c r="G7" s="55" t="s">
        <v>273</v>
      </c>
      <c r="H7" s="55" t="s">
        <v>274</v>
      </c>
      <c r="I7" s="55" t="s">
        <v>275</v>
      </c>
      <c r="J7" s="55" t="s">
        <v>276</v>
      </c>
      <c r="K7" s="55" t="s">
        <v>277</v>
      </c>
      <c r="L7" s="56" t="s">
        <v>278</v>
      </c>
      <c r="M7" s="56" t="s">
        <v>279</v>
      </c>
      <c r="N7" s="56" t="s">
        <v>280</v>
      </c>
      <c r="O7" s="56" t="s">
        <v>281</v>
      </c>
      <c r="P7" s="56" t="s">
        <v>282</v>
      </c>
      <c r="Q7" s="56" t="s">
        <v>283</v>
      </c>
      <c r="R7" s="56" t="s">
        <v>284</v>
      </c>
      <c r="S7" s="56" t="s">
        <v>285</v>
      </c>
      <c r="T7" s="56" t="s">
        <v>286</v>
      </c>
      <c r="U7" s="56" t="s">
        <v>287</v>
      </c>
      <c r="V7" s="56" t="s">
        <v>288</v>
      </c>
      <c r="W7" s="56" t="s">
        <v>289</v>
      </c>
      <c r="X7" s="56" t="s">
        <v>290</v>
      </c>
      <c r="Y7" s="56" t="s">
        <v>291</v>
      </c>
      <c r="Z7" s="56" t="s">
        <v>292</v>
      </c>
    </row>
    <row r="8" spans="2:26" ht="13.5" customHeight="1">
      <c r="B8" s="57">
        <v>2.0099999999999998</v>
      </c>
      <c r="C8" s="58" t="s">
        <v>101</v>
      </c>
      <c r="D8" s="59" t="s">
        <v>350</v>
      </c>
      <c r="E8" s="59" t="s">
        <v>351</v>
      </c>
      <c r="F8" s="59" t="s">
        <v>31</v>
      </c>
      <c r="G8" s="58">
        <v>10</v>
      </c>
      <c r="H8" s="77">
        <v>0</v>
      </c>
      <c r="I8" s="77">
        <f t="shared" ref="I8:I32" si="0">SUM(G8-H8)</f>
        <v>10</v>
      </c>
      <c r="J8" s="77">
        <v>0</v>
      </c>
      <c r="K8" s="77">
        <f t="shared" ref="K8:K32" si="1">SUM(J8-G8)</f>
        <v>-10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>
      <c r="B9" s="57">
        <v>2.02</v>
      </c>
      <c r="C9" s="61" t="s">
        <v>101</v>
      </c>
      <c r="D9" s="62" t="s">
        <v>352</v>
      </c>
      <c r="E9" s="62" t="s">
        <v>322</v>
      </c>
      <c r="F9" s="62" t="s">
        <v>31</v>
      </c>
      <c r="G9" s="61">
        <v>10</v>
      </c>
      <c r="H9" s="78">
        <v>0</v>
      </c>
      <c r="I9" s="78">
        <f t="shared" si="0"/>
        <v>10</v>
      </c>
      <c r="J9" s="78">
        <v>0</v>
      </c>
      <c r="K9" s="78">
        <f t="shared" si="1"/>
        <v>-10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>
      <c r="B10" s="57">
        <v>2.0299999999999998</v>
      </c>
      <c r="C10" s="61" t="s">
        <v>101</v>
      </c>
      <c r="D10" s="62" t="s">
        <v>353</v>
      </c>
      <c r="E10" s="62" t="s">
        <v>322</v>
      </c>
      <c r="F10" s="62" t="s">
        <v>31</v>
      </c>
      <c r="G10" s="61">
        <v>6</v>
      </c>
      <c r="H10" s="78">
        <v>0</v>
      </c>
      <c r="I10" s="78">
        <f t="shared" si="0"/>
        <v>6</v>
      </c>
      <c r="J10" s="78">
        <v>0</v>
      </c>
      <c r="K10" s="78">
        <f t="shared" si="1"/>
        <v>-6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>
      <c r="B11" s="57">
        <v>2.04</v>
      </c>
      <c r="C11" s="61" t="s">
        <v>106</v>
      </c>
      <c r="D11" s="62" t="s">
        <v>354</v>
      </c>
      <c r="E11" s="62" t="s">
        <v>355</v>
      </c>
      <c r="F11" s="62" t="s">
        <v>31</v>
      </c>
      <c r="G11" s="61">
        <v>7</v>
      </c>
      <c r="H11" s="78">
        <v>0</v>
      </c>
      <c r="I11" s="78">
        <f t="shared" si="0"/>
        <v>7</v>
      </c>
      <c r="J11" s="78">
        <v>0</v>
      </c>
      <c r="K11" s="78">
        <f t="shared" si="1"/>
        <v>-7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>
      <c r="B12" s="57">
        <v>2.0499999999999998</v>
      </c>
      <c r="C12" s="61" t="s">
        <v>106</v>
      </c>
      <c r="D12" s="62" t="s">
        <v>356</v>
      </c>
      <c r="E12" s="62" t="s">
        <v>322</v>
      </c>
      <c r="F12" s="62" t="s">
        <v>31</v>
      </c>
      <c r="G12" s="61">
        <v>7</v>
      </c>
      <c r="H12" s="78">
        <v>0</v>
      </c>
      <c r="I12" s="78">
        <f t="shared" si="0"/>
        <v>7</v>
      </c>
      <c r="J12" s="78">
        <v>0</v>
      </c>
      <c r="K12" s="78">
        <f t="shared" si="1"/>
        <v>-7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>
      <c r="B13" s="57">
        <v>2.06</v>
      </c>
      <c r="C13" s="61" t="s">
        <v>106</v>
      </c>
      <c r="D13" s="62" t="s">
        <v>357</v>
      </c>
      <c r="E13" s="62" t="s">
        <v>358</v>
      </c>
      <c r="F13" s="62" t="s">
        <v>31</v>
      </c>
      <c r="G13" s="61">
        <v>7</v>
      </c>
      <c r="H13" s="78">
        <v>0</v>
      </c>
      <c r="I13" s="78">
        <f t="shared" si="0"/>
        <v>7</v>
      </c>
      <c r="J13" s="78">
        <v>0</v>
      </c>
      <c r="K13" s="78">
        <f t="shared" si="1"/>
        <v>-7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>
      <c r="B14" s="57">
        <v>2.0699999999999998</v>
      </c>
      <c r="C14" s="61" t="s">
        <v>111</v>
      </c>
      <c r="D14" s="62" t="s">
        <v>359</v>
      </c>
      <c r="E14" s="62" t="s">
        <v>322</v>
      </c>
      <c r="F14" s="62" t="s">
        <v>31</v>
      </c>
      <c r="G14" s="61">
        <v>17</v>
      </c>
      <c r="H14" s="78">
        <v>0</v>
      </c>
      <c r="I14" s="78">
        <f t="shared" si="0"/>
        <v>17</v>
      </c>
      <c r="J14" s="78">
        <v>0</v>
      </c>
      <c r="K14" s="78">
        <f t="shared" si="1"/>
        <v>-17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>
      <c r="B15" s="57">
        <v>2.08</v>
      </c>
      <c r="C15" s="61" t="s">
        <v>111</v>
      </c>
      <c r="D15" s="62" t="s">
        <v>360</v>
      </c>
      <c r="E15" s="62" t="s">
        <v>361</v>
      </c>
      <c r="F15" s="62" t="s">
        <v>31</v>
      </c>
      <c r="G15" s="61">
        <v>10</v>
      </c>
      <c r="H15" s="78">
        <v>0</v>
      </c>
      <c r="I15" s="78">
        <f t="shared" si="0"/>
        <v>10</v>
      </c>
      <c r="J15" s="78">
        <v>0</v>
      </c>
      <c r="K15" s="78">
        <f t="shared" si="1"/>
        <v>-10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>
      <c r="B16" s="57">
        <v>2.09</v>
      </c>
      <c r="C16" s="61" t="s">
        <v>111</v>
      </c>
      <c r="D16" s="62" t="s">
        <v>362</v>
      </c>
      <c r="E16" s="62" t="s">
        <v>329</v>
      </c>
      <c r="F16" s="62" t="s">
        <v>31</v>
      </c>
      <c r="G16" s="61">
        <v>9</v>
      </c>
      <c r="H16" s="78">
        <v>0</v>
      </c>
      <c r="I16" s="78">
        <f t="shared" si="0"/>
        <v>9</v>
      </c>
      <c r="J16" s="78">
        <v>0</v>
      </c>
      <c r="K16" s="78">
        <f t="shared" si="1"/>
        <v>-9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7" ht="13.5" customHeight="1">
      <c r="B17" s="57" t="s">
        <v>363</v>
      </c>
      <c r="C17" s="61" t="s">
        <v>116</v>
      </c>
      <c r="D17" s="62" t="s">
        <v>364</v>
      </c>
      <c r="E17" s="62" t="s">
        <v>351</v>
      </c>
      <c r="F17" s="62" t="s">
        <v>31</v>
      </c>
      <c r="G17" s="61">
        <v>8</v>
      </c>
      <c r="H17" s="78">
        <v>0</v>
      </c>
      <c r="I17" s="78">
        <f t="shared" si="0"/>
        <v>8</v>
      </c>
      <c r="J17" s="78">
        <v>0</v>
      </c>
      <c r="K17" s="78">
        <f t="shared" si="1"/>
        <v>-8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7" ht="13.5" customHeight="1">
      <c r="B18" s="57">
        <v>2.11</v>
      </c>
      <c r="C18" s="61" t="s">
        <v>116</v>
      </c>
      <c r="D18" s="62" t="s">
        <v>365</v>
      </c>
      <c r="E18" s="62" t="s">
        <v>322</v>
      </c>
      <c r="F18" s="62" t="s">
        <v>31</v>
      </c>
      <c r="G18" s="61">
        <v>8</v>
      </c>
      <c r="H18" s="78">
        <v>0</v>
      </c>
      <c r="I18" s="78">
        <f t="shared" si="0"/>
        <v>8</v>
      </c>
      <c r="J18" s="78">
        <v>0</v>
      </c>
      <c r="K18" s="78">
        <f t="shared" si="1"/>
        <v>-8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7" ht="13.5" customHeight="1" thickBot="1">
      <c r="B19" s="57">
        <v>2.12</v>
      </c>
      <c r="C19" s="61" t="s">
        <v>116</v>
      </c>
      <c r="D19" s="62" t="s">
        <v>366</v>
      </c>
      <c r="E19" s="62" t="s">
        <v>367</v>
      </c>
      <c r="F19" s="62" t="s">
        <v>31</v>
      </c>
      <c r="G19" s="61">
        <v>3</v>
      </c>
      <c r="H19" s="78">
        <v>0</v>
      </c>
      <c r="I19" s="78">
        <f t="shared" si="0"/>
        <v>3</v>
      </c>
      <c r="J19" s="78">
        <v>0</v>
      </c>
      <c r="K19" s="78">
        <f t="shared" si="1"/>
        <v>-3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7" ht="13.5" customHeight="1">
      <c r="B20" s="57" t="s">
        <v>368</v>
      </c>
      <c r="C20" s="61" t="s">
        <v>63</v>
      </c>
      <c r="D20" s="62" t="s">
        <v>369</v>
      </c>
      <c r="E20" s="62" t="s">
        <v>370</v>
      </c>
      <c r="F20" s="62" t="s">
        <v>31</v>
      </c>
      <c r="G20" s="61">
        <v>8</v>
      </c>
      <c r="H20" s="78">
        <v>0</v>
      </c>
      <c r="I20" s="78">
        <f t="shared" si="0"/>
        <v>8</v>
      </c>
      <c r="J20" s="78">
        <v>0</v>
      </c>
      <c r="K20" s="78">
        <f t="shared" si="1"/>
        <v>-8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7" ht="13.5" customHeight="1">
      <c r="B21" s="57" t="s">
        <v>371</v>
      </c>
      <c r="C21" s="61" t="s">
        <v>63</v>
      </c>
      <c r="D21" s="62" t="s">
        <v>372</v>
      </c>
      <c r="E21" s="62" t="s">
        <v>319</v>
      </c>
      <c r="F21" s="62" t="s">
        <v>31</v>
      </c>
      <c r="G21" s="61">
        <v>7</v>
      </c>
      <c r="H21" s="78">
        <v>0</v>
      </c>
      <c r="I21" s="78">
        <f t="shared" si="0"/>
        <v>7</v>
      </c>
      <c r="J21" s="78">
        <v>0</v>
      </c>
      <c r="K21" s="78">
        <f t="shared" si="1"/>
        <v>-7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7" ht="13.5" customHeight="1" thickBot="1">
      <c r="B22" s="57" t="s">
        <v>373</v>
      </c>
      <c r="C22" s="61" t="s">
        <v>63</v>
      </c>
      <c r="D22" s="62" t="s">
        <v>374</v>
      </c>
      <c r="E22" s="62" t="s">
        <v>370</v>
      </c>
      <c r="F22" s="62" t="s">
        <v>31</v>
      </c>
      <c r="G22" s="61">
        <v>3</v>
      </c>
      <c r="H22" s="78">
        <v>0</v>
      </c>
      <c r="I22" s="78">
        <f t="shared" si="0"/>
        <v>3</v>
      </c>
      <c r="J22" s="78">
        <v>0</v>
      </c>
      <c r="K22" s="78">
        <f t="shared" si="1"/>
        <v>-3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7" ht="13.5" customHeight="1">
      <c r="B23" s="57" t="s">
        <v>375</v>
      </c>
      <c r="C23" s="61" t="s">
        <v>68</v>
      </c>
      <c r="D23" s="62" t="s">
        <v>376</v>
      </c>
      <c r="E23" s="62" t="s">
        <v>377</v>
      </c>
      <c r="F23" s="62" t="s">
        <v>31</v>
      </c>
      <c r="G23" s="61">
        <v>8</v>
      </c>
      <c r="H23" s="78">
        <v>0</v>
      </c>
      <c r="I23" s="78">
        <f t="shared" si="0"/>
        <v>8</v>
      </c>
      <c r="J23" s="78">
        <v>0</v>
      </c>
      <c r="K23" s="78">
        <f t="shared" si="1"/>
        <v>-8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7" ht="13.5" customHeight="1" thickBot="1">
      <c r="B24" s="57" t="s">
        <v>378</v>
      </c>
      <c r="C24" s="61" t="s">
        <v>68</v>
      </c>
      <c r="D24" s="62" t="s">
        <v>379</v>
      </c>
      <c r="E24" s="62" t="s">
        <v>319</v>
      </c>
      <c r="F24" s="62" t="s">
        <v>31</v>
      </c>
      <c r="G24" s="61">
        <v>10</v>
      </c>
      <c r="H24" s="78">
        <v>0</v>
      </c>
      <c r="I24" s="78">
        <f t="shared" si="0"/>
        <v>10</v>
      </c>
      <c r="J24" s="78">
        <v>0</v>
      </c>
      <c r="K24" s="78">
        <f t="shared" si="1"/>
        <v>-10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7" ht="13.5" customHeight="1" thickBot="1">
      <c r="B25" s="57" t="s">
        <v>380</v>
      </c>
      <c r="C25" s="61" t="s">
        <v>68</v>
      </c>
      <c r="D25" s="62" t="s">
        <v>381</v>
      </c>
      <c r="E25" s="62" t="s">
        <v>382</v>
      </c>
      <c r="F25" s="62" t="s">
        <v>31</v>
      </c>
      <c r="G25" s="61">
        <v>3</v>
      </c>
      <c r="H25" s="78">
        <v>0</v>
      </c>
      <c r="I25" s="78">
        <f t="shared" si="0"/>
        <v>3</v>
      </c>
      <c r="J25" s="78">
        <v>0</v>
      </c>
      <c r="K25" s="78">
        <f t="shared" si="1"/>
        <v>-3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7" ht="13.5" customHeight="1">
      <c r="B26" s="57" t="s">
        <v>383</v>
      </c>
      <c r="C26" s="61" t="s">
        <v>74</v>
      </c>
      <c r="D26" s="62" t="s">
        <v>384</v>
      </c>
      <c r="E26" s="62" t="s">
        <v>382</v>
      </c>
      <c r="F26" s="62" t="s">
        <v>31</v>
      </c>
      <c r="G26" s="61">
        <v>8</v>
      </c>
      <c r="H26" s="78">
        <v>0</v>
      </c>
      <c r="I26" s="78">
        <f t="shared" si="0"/>
        <v>8</v>
      </c>
      <c r="J26" s="78">
        <v>0</v>
      </c>
      <c r="K26" s="78">
        <f t="shared" si="1"/>
        <v>-8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7" ht="12.75" customHeight="1" thickBot="1">
      <c r="B27" s="57" t="s">
        <v>385</v>
      </c>
      <c r="C27" s="61" t="s">
        <v>74</v>
      </c>
      <c r="D27" s="62" t="s">
        <v>386</v>
      </c>
      <c r="E27" s="62" t="s">
        <v>382</v>
      </c>
      <c r="F27" s="62" t="s">
        <v>31</v>
      </c>
      <c r="G27" s="61">
        <v>10</v>
      </c>
      <c r="H27" s="78">
        <v>0</v>
      </c>
      <c r="I27" s="78">
        <f t="shared" si="0"/>
        <v>10</v>
      </c>
      <c r="J27" s="78">
        <v>0</v>
      </c>
      <c r="K27" s="78">
        <f t="shared" si="1"/>
        <v>-10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96"/>
    </row>
    <row r="28" spans="2:27" ht="12.75" customHeight="1" thickBot="1">
      <c r="B28" s="57" t="s">
        <v>387</v>
      </c>
      <c r="C28" s="61" t="s">
        <v>74</v>
      </c>
      <c r="D28" s="62" t="s">
        <v>388</v>
      </c>
      <c r="E28" s="62" t="s">
        <v>382</v>
      </c>
      <c r="F28" s="62" t="s">
        <v>31</v>
      </c>
      <c r="G28" s="61">
        <v>3</v>
      </c>
      <c r="H28" s="78">
        <v>0</v>
      </c>
      <c r="I28" s="78">
        <f t="shared" si="0"/>
        <v>3</v>
      </c>
      <c r="J28" s="78">
        <v>0</v>
      </c>
      <c r="K28" s="78">
        <f t="shared" si="1"/>
        <v>-3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52"/>
    </row>
    <row r="29" spans="2:27" ht="12.75" customHeight="1">
      <c r="B29" s="57" t="s">
        <v>389</v>
      </c>
      <c r="C29" s="61" t="s">
        <v>96</v>
      </c>
      <c r="D29" s="62" t="s">
        <v>390</v>
      </c>
      <c r="E29" s="62" t="s">
        <v>377</v>
      </c>
      <c r="F29" s="62" t="s">
        <v>31</v>
      </c>
      <c r="G29" s="61">
        <v>10</v>
      </c>
      <c r="H29" s="78">
        <v>0</v>
      </c>
      <c r="I29" s="78">
        <f t="shared" si="0"/>
        <v>10</v>
      </c>
      <c r="J29" s="78">
        <v>0</v>
      </c>
      <c r="K29" s="78">
        <f t="shared" si="1"/>
        <v>-10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52"/>
    </row>
    <row r="30" spans="2:27" ht="12.75" customHeight="1">
      <c r="B30" s="57" t="s">
        <v>391</v>
      </c>
      <c r="C30" s="61" t="s">
        <v>96</v>
      </c>
      <c r="D30" s="62" t="s">
        <v>392</v>
      </c>
      <c r="E30" s="62" t="s">
        <v>377</v>
      </c>
      <c r="F30" s="62" t="s">
        <v>31</v>
      </c>
      <c r="G30" s="61">
        <v>10</v>
      </c>
      <c r="H30" s="78">
        <v>0</v>
      </c>
      <c r="I30" s="78">
        <f t="shared" si="0"/>
        <v>10</v>
      </c>
      <c r="J30" s="78">
        <v>0</v>
      </c>
      <c r="K30" s="78">
        <f t="shared" si="1"/>
        <v>-10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52"/>
    </row>
    <row r="31" spans="2:27" ht="12.75" customHeight="1">
      <c r="B31" s="57" t="s">
        <v>393</v>
      </c>
      <c r="C31" s="61" t="s">
        <v>79</v>
      </c>
      <c r="D31" s="62" t="s">
        <v>394</v>
      </c>
      <c r="E31" s="62" t="s">
        <v>358</v>
      </c>
      <c r="F31" s="62" t="s">
        <v>31</v>
      </c>
      <c r="G31" s="61">
        <v>10</v>
      </c>
      <c r="H31" s="78">
        <v>0</v>
      </c>
      <c r="I31" s="78">
        <f t="shared" si="0"/>
        <v>10</v>
      </c>
      <c r="J31" s="78">
        <v>0</v>
      </c>
      <c r="K31" s="78">
        <f t="shared" si="1"/>
        <v>-10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52"/>
    </row>
    <row r="32" spans="2:27" ht="12.75" customHeight="1" thickBot="1">
      <c r="B32" s="57" t="s">
        <v>395</v>
      </c>
      <c r="C32" s="61" t="s">
        <v>79</v>
      </c>
      <c r="D32" s="62" t="s">
        <v>396</v>
      </c>
      <c r="E32" s="62" t="s">
        <v>306</v>
      </c>
      <c r="F32" s="62" t="s">
        <v>31</v>
      </c>
      <c r="G32" s="61">
        <v>7</v>
      </c>
      <c r="H32" s="78">
        <v>0</v>
      </c>
      <c r="I32" s="78">
        <f t="shared" si="0"/>
        <v>7</v>
      </c>
      <c r="J32" s="78">
        <v>0</v>
      </c>
      <c r="K32" s="78">
        <f t="shared" si="1"/>
        <v>-7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2"/>
    </row>
    <row r="33" spans="2:28" ht="12.75" customHeight="1" thickBot="1">
      <c r="B33" s="57"/>
      <c r="C33" s="61"/>
      <c r="D33" s="62"/>
      <c r="E33" s="62"/>
      <c r="F33" s="62"/>
      <c r="G33" s="61"/>
      <c r="H33" s="78"/>
      <c r="I33" s="78"/>
      <c r="J33" s="78"/>
      <c r="K33" s="7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2"/>
    </row>
    <row r="34" spans="2:28" ht="12.75" customHeight="1" thickBot="1">
      <c r="B34" s="57"/>
      <c r="C34" s="61"/>
      <c r="D34" s="62"/>
      <c r="E34" s="62"/>
      <c r="F34" s="62" t="s">
        <v>261</v>
      </c>
      <c r="G34" s="61">
        <f>SUM(G8:G32)</f>
        <v>199</v>
      </c>
      <c r="H34" s="78">
        <f>SUM(H8:H32)</f>
        <v>0</v>
      </c>
      <c r="I34" s="78">
        <f>SUM(I8:I32)</f>
        <v>199</v>
      </c>
      <c r="J34" s="78">
        <f>SUM(J8:J32)</f>
        <v>0</v>
      </c>
      <c r="K34" s="78">
        <f>SUM(K8:K32)</f>
        <v>-199</v>
      </c>
      <c r="L34" s="6">
        <f t="shared" ref="L34:Z34" si="2">SUBTOTAL(9,L7:L32)</f>
        <v>0</v>
      </c>
      <c r="M34" s="6">
        <f t="shared" si="2"/>
        <v>0</v>
      </c>
      <c r="N34" s="6">
        <f t="shared" si="2"/>
        <v>0</v>
      </c>
      <c r="O34" s="6">
        <f t="shared" si="2"/>
        <v>0</v>
      </c>
      <c r="P34" s="6">
        <f t="shared" si="2"/>
        <v>0</v>
      </c>
      <c r="Q34" s="6">
        <f t="shared" si="2"/>
        <v>0</v>
      </c>
      <c r="R34" s="6">
        <f t="shared" si="2"/>
        <v>0</v>
      </c>
      <c r="S34" s="6">
        <f t="shared" si="2"/>
        <v>0</v>
      </c>
      <c r="T34" s="6">
        <f t="shared" si="2"/>
        <v>0</v>
      </c>
      <c r="U34" s="6">
        <f t="shared" si="2"/>
        <v>0</v>
      </c>
      <c r="V34" s="6">
        <f t="shared" si="2"/>
        <v>0</v>
      </c>
      <c r="W34" s="6">
        <f t="shared" si="2"/>
        <v>0</v>
      </c>
      <c r="X34" s="6">
        <f t="shared" si="2"/>
        <v>0</v>
      </c>
      <c r="Y34" s="6">
        <f t="shared" si="2"/>
        <v>0</v>
      </c>
      <c r="Z34" s="6">
        <f t="shared" si="2"/>
        <v>0</v>
      </c>
    </row>
    <row r="35" spans="2:28" ht="12.75" customHeight="1" thickBot="1">
      <c r="B35" s="57"/>
      <c r="C35" s="61"/>
      <c r="D35" s="62"/>
      <c r="E35" s="62"/>
      <c r="F35" s="62" t="s">
        <v>341</v>
      </c>
      <c r="G35" s="61"/>
      <c r="H35" s="78"/>
      <c r="I35" s="78"/>
      <c r="J35" s="78"/>
      <c r="K35" s="78"/>
      <c r="L35" s="6">
        <f>G34-L34</f>
        <v>199</v>
      </c>
      <c r="M35" s="6">
        <f t="shared" ref="M35:Z35" si="3">L35-M34</f>
        <v>199</v>
      </c>
      <c r="N35" s="6">
        <f t="shared" si="3"/>
        <v>199</v>
      </c>
      <c r="O35" s="6">
        <f t="shared" si="3"/>
        <v>199</v>
      </c>
      <c r="P35" s="6">
        <f t="shared" si="3"/>
        <v>199</v>
      </c>
      <c r="Q35" s="6">
        <f t="shared" si="3"/>
        <v>199</v>
      </c>
      <c r="R35" s="6">
        <f t="shared" si="3"/>
        <v>199</v>
      </c>
      <c r="S35" s="6">
        <f t="shared" si="3"/>
        <v>199</v>
      </c>
      <c r="T35" s="6">
        <f t="shared" si="3"/>
        <v>199</v>
      </c>
      <c r="U35" s="6">
        <f t="shared" si="3"/>
        <v>199</v>
      </c>
      <c r="V35" s="6">
        <f t="shared" si="3"/>
        <v>199</v>
      </c>
      <c r="W35" s="6">
        <f t="shared" si="3"/>
        <v>199</v>
      </c>
      <c r="X35" s="6">
        <f t="shared" si="3"/>
        <v>199</v>
      </c>
      <c r="Y35" s="6">
        <f t="shared" si="3"/>
        <v>199</v>
      </c>
      <c r="Z35" s="6">
        <f t="shared" si="3"/>
        <v>199</v>
      </c>
    </row>
    <row r="36" spans="2:28" ht="13.5" customHeight="1" thickBot="1">
      <c r="B36" s="57"/>
      <c r="C36" s="61"/>
      <c r="D36" s="62"/>
      <c r="E36" s="62"/>
      <c r="F36" s="62" t="s">
        <v>342</v>
      </c>
      <c r="G36" s="61"/>
      <c r="H36" s="78"/>
      <c r="I36" s="78"/>
      <c r="J36" s="78"/>
      <c r="K36" s="78"/>
      <c r="L36" s="6">
        <f>L34</f>
        <v>0</v>
      </c>
      <c r="M36" s="6">
        <f t="shared" ref="M36:Z36" si="4">L36+M34</f>
        <v>0</v>
      </c>
      <c r="N36" s="6">
        <f t="shared" si="4"/>
        <v>0</v>
      </c>
      <c r="O36" s="6">
        <f t="shared" si="4"/>
        <v>0</v>
      </c>
      <c r="P36" s="6">
        <f t="shared" si="4"/>
        <v>0</v>
      </c>
      <c r="Q36" s="6">
        <f t="shared" si="4"/>
        <v>0</v>
      </c>
      <c r="R36" s="6">
        <f t="shared" si="4"/>
        <v>0</v>
      </c>
      <c r="S36" s="6">
        <f t="shared" si="4"/>
        <v>0</v>
      </c>
      <c r="T36" s="6">
        <f t="shared" si="4"/>
        <v>0</v>
      </c>
      <c r="U36" s="6">
        <f t="shared" si="4"/>
        <v>0</v>
      </c>
      <c r="V36" s="6">
        <f t="shared" si="4"/>
        <v>0</v>
      </c>
      <c r="W36" s="6">
        <f t="shared" si="4"/>
        <v>0</v>
      </c>
      <c r="X36" s="6">
        <f t="shared" si="4"/>
        <v>0</v>
      </c>
      <c r="Y36" s="6">
        <f t="shared" si="4"/>
        <v>0</v>
      </c>
      <c r="Z36" s="6">
        <f t="shared" si="4"/>
        <v>0</v>
      </c>
    </row>
    <row r="37" spans="2:28" ht="13.5" customHeight="1">
      <c r="B37" s="51"/>
      <c r="C37" s="52"/>
    </row>
    <row r="38" spans="2:28" ht="13.5" customHeight="1">
      <c r="B38" s="51"/>
      <c r="C38" s="52"/>
    </row>
    <row r="39" spans="2:28" ht="13.5" customHeight="1">
      <c r="B39" s="51"/>
      <c r="C39" s="52"/>
    </row>
    <row r="40" spans="2:28" ht="13.5" customHeight="1">
      <c r="B40" s="51"/>
      <c r="C40" s="52"/>
      <c r="J40" s="110" t="s">
        <v>343</v>
      </c>
      <c r="K40" s="110"/>
      <c r="L40" s="1">
        <v>1</v>
      </c>
      <c r="M40" s="1">
        <v>2</v>
      </c>
      <c r="N40" s="1">
        <v>3</v>
      </c>
      <c r="O40" s="1">
        <v>4</v>
      </c>
      <c r="P40" s="1">
        <v>5</v>
      </c>
      <c r="Q40" s="1">
        <v>6</v>
      </c>
      <c r="R40" s="1">
        <v>7</v>
      </c>
      <c r="S40" s="1">
        <v>8</v>
      </c>
      <c r="T40" s="1">
        <v>9</v>
      </c>
      <c r="U40" s="1">
        <v>10</v>
      </c>
      <c r="V40" s="1">
        <v>11</v>
      </c>
      <c r="W40" s="1">
        <v>12</v>
      </c>
      <c r="X40" s="1">
        <v>13</v>
      </c>
      <c r="Y40" s="1">
        <v>14</v>
      </c>
      <c r="Z40" s="1">
        <v>15</v>
      </c>
      <c r="AA40" s="109" t="s">
        <v>344</v>
      </c>
      <c r="AB40" s="109"/>
    </row>
    <row r="41" spans="2:28" ht="13.5" customHeight="1">
      <c r="B41" s="51"/>
      <c r="C41" s="52"/>
      <c r="J41" s="110" t="s">
        <v>9</v>
      </c>
      <c r="K41" s="110"/>
      <c r="AA41" s="2">
        <f>SUM(L41:Z41)</f>
        <v>0</v>
      </c>
    </row>
    <row r="42" spans="2:28" ht="13.5" customHeight="1">
      <c r="B42" s="51"/>
      <c r="C42" s="52"/>
      <c r="J42" s="110" t="s">
        <v>7</v>
      </c>
      <c r="K42" s="110"/>
      <c r="AA42" s="2">
        <f>SUM(L42:Z42)</f>
        <v>0</v>
      </c>
    </row>
    <row r="43" spans="2:28" ht="13.5" customHeight="1">
      <c r="B43" s="51"/>
      <c r="C43" s="52"/>
      <c r="J43" s="110" t="s">
        <v>13</v>
      </c>
      <c r="K43" s="110"/>
      <c r="AA43" s="2">
        <f>SUM(L43:Z43)</f>
        <v>0</v>
      </c>
    </row>
    <row r="44" spans="2:28" ht="13.5" customHeight="1">
      <c r="B44" s="51"/>
      <c r="C44" s="52"/>
      <c r="J44" s="110" t="s">
        <v>345</v>
      </c>
      <c r="K44" s="110"/>
      <c r="AA44" s="2">
        <f>SUM(L44:Z44)</f>
        <v>0</v>
      </c>
    </row>
    <row r="45" spans="2:28" ht="13.5" customHeight="1">
      <c r="B45" s="51"/>
      <c r="C45" s="52"/>
      <c r="J45" s="110" t="s">
        <v>14</v>
      </c>
      <c r="K45" s="110"/>
      <c r="AA45" s="2">
        <f>SUM(L45:Z45)</f>
        <v>0</v>
      </c>
    </row>
    <row r="46" spans="2:28" ht="13.5" customHeight="1">
      <c r="B46" s="51"/>
      <c r="C46" s="52"/>
      <c r="AA46" s="2">
        <f>SUM(AA41:AA45)</f>
        <v>0</v>
      </c>
    </row>
    <row r="47" spans="2:28" ht="13.5" customHeight="1">
      <c r="B47" s="51"/>
      <c r="C47" s="52"/>
      <c r="J47" s="1" t="s">
        <v>346</v>
      </c>
    </row>
    <row r="48" spans="2:28" ht="13.5" customHeight="1">
      <c r="B48" s="51"/>
      <c r="C48" s="52"/>
    </row>
    <row r="49" spans="2:3" ht="13.5" customHeight="1">
      <c r="B49" s="51"/>
      <c r="C49" s="52"/>
    </row>
    <row r="50" spans="2:3" ht="13.5" customHeight="1">
      <c r="B50" s="51"/>
      <c r="C50" s="52"/>
    </row>
    <row r="51" spans="2:3" ht="13.5" customHeight="1">
      <c r="B51" s="51"/>
      <c r="C51" s="52"/>
    </row>
    <row r="52" spans="2:3" ht="13.5" customHeight="1">
      <c r="B52" s="51"/>
      <c r="C52" s="52"/>
    </row>
    <row r="53" spans="2:3" ht="13.5" customHeight="1">
      <c r="B53" s="51"/>
      <c r="C53" s="52"/>
    </row>
    <row r="54" spans="2:3" ht="13.5" customHeight="1">
      <c r="B54" s="51"/>
      <c r="C54" s="52"/>
    </row>
    <row r="55" spans="2:3" ht="13.5" customHeight="1">
      <c r="B55" s="51"/>
      <c r="C55" s="52"/>
    </row>
    <row r="56" spans="2:3" ht="13.5" customHeight="1">
      <c r="B56" s="51"/>
      <c r="C56" s="52"/>
    </row>
    <row r="57" spans="2:3" ht="13.5" customHeight="1">
      <c r="B57" s="51"/>
      <c r="C57" s="52"/>
    </row>
    <row r="58" spans="2:3" ht="13.5" customHeight="1">
      <c r="B58" s="51"/>
      <c r="C58" s="52"/>
    </row>
    <row r="59" spans="2:3" ht="13.5" customHeight="1">
      <c r="B59" s="51"/>
      <c r="C59" s="52"/>
    </row>
    <row r="60" spans="2:3" ht="13.5" customHeight="1">
      <c r="B60" s="51"/>
      <c r="C60" s="52"/>
    </row>
    <row r="61" spans="2:3" ht="13.5" customHeight="1">
      <c r="B61" s="51"/>
      <c r="C61" s="52"/>
    </row>
    <row r="62" spans="2:3" ht="13.5" customHeight="1">
      <c r="B62" s="51"/>
      <c r="C62" s="52"/>
    </row>
    <row r="63" spans="2:3" ht="13.5" customHeight="1">
      <c r="B63" s="51"/>
      <c r="C63" s="52"/>
    </row>
    <row r="64" spans="2:3" ht="13.5" customHeight="1">
      <c r="B64" s="51"/>
      <c r="C64" s="52"/>
    </row>
    <row r="65" spans="2:3" ht="13.5" customHeight="1">
      <c r="B65" s="51"/>
      <c r="C65" s="52"/>
    </row>
    <row r="66" spans="2:3" ht="13.5" customHeight="1">
      <c r="B66" s="51"/>
      <c r="C66" s="52"/>
    </row>
    <row r="67" spans="2:3" ht="13.5" customHeight="1">
      <c r="B67" s="51"/>
      <c r="C67" s="52"/>
    </row>
    <row r="68" spans="2:3" ht="13.5" customHeight="1">
      <c r="B68" s="51"/>
      <c r="C68" s="52"/>
    </row>
    <row r="69" spans="2:3" ht="13.5" customHeight="1">
      <c r="B69" s="51"/>
      <c r="C69" s="52"/>
    </row>
    <row r="70" spans="2:3" ht="13.5" customHeight="1">
      <c r="B70" s="51"/>
      <c r="C70" s="52"/>
    </row>
    <row r="71" spans="2:3" ht="13.5" customHeight="1">
      <c r="B71" s="51"/>
      <c r="C71" s="52"/>
    </row>
    <row r="72" spans="2:3" ht="13.5" customHeight="1">
      <c r="B72" s="51"/>
      <c r="C72" s="52"/>
    </row>
    <row r="73" spans="2:3" ht="13.5" customHeight="1">
      <c r="B73" s="51"/>
      <c r="C73" s="52"/>
    </row>
    <row r="74" spans="2:3" ht="13.5" customHeight="1">
      <c r="B74" s="51"/>
      <c r="C74" s="52"/>
    </row>
    <row r="75" spans="2:3" ht="13.5" customHeight="1">
      <c r="B75" s="51"/>
      <c r="C75" s="52"/>
    </row>
    <row r="76" spans="2:3" ht="13.5" customHeight="1">
      <c r="B76" s="51"/>
      <c r="C76" s="52"/>
    </row>
    <row r="77" spans="2:3" ht="13.5" customHeight="1">
      <c r="B77" s="51"/>
      <c r="C77" s="52"/>
    </row>
    <row r="78" spans="2:3" ht="13.5" customHeight="1">
      <c r="B78" s="51"/>
      <c r="C78" s="52"/>
    </row>
    <row r="79" spans="2:3" ht="13.5" customHeight="1">
      <c r="B79" s="51"/>
      <c r="C79" s="52"/>
    </row>
    <row r="80" spans="2:3" ht="13.5" customHeight="1">
      <c r="B80" s="51"/>
      <c r="C80" s="52"/>
    </row>
    <row r="81" spans="2:3" ht="13.5" customHeight="1">
      <c r="B81" s="51"/>
      <c r="C81" s="52"/>
    </row>
    <row r="82" spans="2:3" ht="13.5" customHeight="1">
      <c r="B82" s="51"/>
      <c r="C82" s="52"/>
    </row>
    <row r="83" spans="2:3" ht="13.5" customHeight="1">
      <c r="B83" s="51"/>
      <c r="C83" s="52"/>
    </row>
    <row r="84" spans="2:3" ht="13.5" customHeight="1">
      <c r="B84" s="51"/>
      <c r="C84" s="52"/>
    </row>
    <row r="85" spans="2:3" ht="13.5" customHeight="1">
      <c r="B85" s="51"/>
      <c r="C85" s="52"/>
    </row>
    <row r="86" spans="2:3" ht="13.5" customHeight="1">
      <c r="B86" s="51"/>
      <c r="C86" s="52"/>
    </row>
    <row r="87" spans="2:3" ht="13.5" customHeight="1">
      <c r="B87" s="51"/>
      <c r="C87" s="52"/>
    </row>
    <row r="88" spans="2:3" ht="13.5" customHeight="1">
      <c r="B88" s="51"/>
      <c r="C88" s="52"/>
    </row>
    <row r="89" spans="2:3" ht="13.5" customHeight="1">
      <c r="B89" s="51"/>
      <c r="C89" s="52"/>
    </row>
    <row r="90" spans="2:3" ht="13.5" customHeight="1">
      <c r="B90" s="51"/>
      <c r="C90" s="52"/>
    </row>
    <row r="91" spans="2:3" ht="13.5" customHeight="1">
      <c r="B91" s="51"/>
      <c r="C91" s="52"/>
    </row>
    <row r="92" spans="2:3" ht="13.5" customHeight="1">
      <c r="B92" s="51"/>
      <c r="C92" s="52"/>
    </row>
    <row r="93" spans="2:3" ht="13.5" customHeight="1">
      <c r="B93" s="51"/>
      <c r="C93" s="52"/>
    </row>
    <row r="94" spans="2:3" ht="13.5" customHeight="1">
      <c r="B94" s="51"/>
      <c r="C94" s="52"/>
    </row>
    <row r="95" spans="2:3" ht="13.5" customHeight="1">
      <c r="B95" s="51"/>
      <c r="C95" s="52"/>
    </row>
    <row r="96" spans="2:3" ht="13.5" customHeight="1">
      <c r="B96" s="51"/>
      <c r="C96" s="52"/>
    </row>
    <row r="97" spans="2:3" ht="13.5" customHeight="1">
      <c r="B97" s="51"/>
      <c r="C97" s="52"/>
    </row>
    <row r="98" spans="2:3" ht="13.5" customHeight="1">
      <c r="B98" s="51"/>
      <c r="C98" s="52"/>
    </row>
    <row r="99" spans="2:3" ht="13.5" customHeight="1">
      <c r="B99" s="51"/>
      <c r="C99" s="52"/>
    </row>
    <row r="100" spans="2:3" ht="13.5" customHeight="1">
      <c r="B100" s="51"/>
      <c r="C100" s="52"/>
    </row>
    <row r="101" spans="2:3" ht="13.5" customHeight="1">
      <c r="B101" s="51"/>
      <c r="C101" s="52"/>
    </row>
    <row r="102" spans="2:3" ht="13.5" customHeight="1">
      <c r="B102" s="51"/>
      <c r="C102" s="52"/>
    </row>
    <row r="103" spans="2:3" ht="13.5" customHeight="1">
      <c r="B103" s="51"/>
      <c r="C103" s="52"/>
    </row>
    <row r="104" spans="2:3" ht="13.5" customHeight="1">
      <c r="B104" s="51"/>
      <c r="C104" s="52"/>
    </row>
    <row r="105" spans="2:3" ht="13.5" customHeight="1">
      <c r="B105" s="51"/>
      <c r="C105" s="52"/>
    </row>
    <row r="106" spans="2:3" ht="13.5" customHeight="1">
      <c r="B106" s="51"/>
      <c r="C106" s="52"/>
    </row>
    <row r="107" spans="2:3" ht="13.5" customHeight="1">
      <c r="B107" s="51"/>
      <c r="C107" s="52"/>
    </row>
    <row r="108" spans="2:3" ht="13.5" customHeight="1">
      <c r="B108" s="51"/>
      <c r="C108" s="52"/>
    </row>
    <row r="109" spans="2:3" ht="13.5" customHeight="1">
      <c r="B109" s="51"/>
      <c r="C109" s="52"/>
    </row>
    <row r="110" spans="2:3" ht="13.5" customHeight="1">
      <c r="B110" s="51"/>
      <c r="C110" s="52"/>
    </row>
    <row r="111" spans="2:3" ht="13.5" customHeight="1">
      <c r="B111" s="51"/>
      <c r="C111" s="52"/>
    </row>
    <row r="112" spans="2:3" ht="13.5" customHeight="1">
      <c r="B112" s="51"/>
      <c r="C112" s="52"/>
    </row>
    <row r="113" spans="2:3" ht="13.5" customHeight="1">
      <c r="B113" s="51"/>
      <c r="C113" s="52"/>
    </row>
    <row r="114" spans="2:3" ht="13.5" customHeight="1">
      <c r="B114" s="51"/>
      <c r="C114" s="52"/>
    </row>
    <row r="115" spans="2:3" ht="13.5" customHeight="1">
      <c r="B115" s="51"/>
      <c r="C115" s="52"/>
    </row>
    <row r="116" spans="2:3" ht="13.5" customHeight="1">
      <c r="B116" s="51"/>
      <c r="C116" s="52"/>
    </row>
    <row r="117" spans="2:3" ht="13.5" customHeight="1">
      <c r="B117" s="51"/>
      <c r="C117" s="52"/>
    </row>
    <row r="118" spans="2:3" ht="13.5" customHeight="1">
      <c r="B118" s="51"/>
      <c r="C118" s="52"/>
    </row>
    <row r="119" spans="2:3" ht="13.5" customHeight="1">
      <c r="B119" s="51"/>
      <c r="C119" s="52"/>
    </row>
    <row r="120" spans="2:3" ht="13.5" customHeight="1">
      <c r="B120" s="51"/>
      <c r="C120" s="52"/>
    </row>
    <row r="121" spans="2:3" ht="13.5" customHeight="1">
      <c r="B121" s="51"/>
      <c r="C121" s="52"/>
    </row>
    <row r="122" spans="2:3" ht="13.5" customHeight="1">
      <c r="B122" s="51"/>
      <c r="C122" s="52"/>
    </row>
    <row r="123" spans="2:3" ht="13.5" customHeight="1">
      <c r="B123" s="51"/>
      <c r="C123" s="52"/>
    </row>
    <row r="124" spans="2:3" ht="13.5" customHeight="1">
      <c r="B124" s="51"/>
      <c r="C124" s="52"/>
    </row>
    <row r="125" spans="2:3" ht="13.5" customHeight="1">
      <c r="B125" s="51"/>
      <c r="C125" s="52"/>
    </row>
    <row r="126" spans="2:3" ht="13.5" customHeight="1">
      <c r="B126" s="51"/>
      <c r="C126" s="52"/>
    </row>
    <row r="127" spans="2:3" ht="13.5" customHeight="1">
      <c r="B127" s="51"/>
      <c r="C127" s="52"/>
    </row>
    <row r="128" spans="2:3" ht="13.5" customHeight="1">
      <c r="B128" s="51"/>
      <c r="C128" s="52"/>
    </row>
    <row r="129" spans="2:3" ht="13.5" customHeight="1">
      <c r="B129" s="51"/>
      <c r="C129" s="52"/>
    </row>
    <row r="130" spans="2:3" ht="13.5" customHeight="1">
      <c r="B130" s="51"/>
      <c r="C130" s="52"/>
    </row>
    <row r="131" spans="2:3" ht="13.5" customHeight="1">
      <c r="B131" s="51"/>
      <c r="C131" s="52"/>
    </row>
    <row r="132" spans="2:3" ht="13.5" customHeight="1">
      <c r="B132" s="51"/>
      <c r="C132" s="52"/>
    </row>
    <row r="133" spans="2:3" ht="13.5" customHeight="1">
      <c r="B133" s="51"/>
      <c r="C133" s="52"/>
    </row>
    <row r="134" spans="2:3" ht="13.5" customHeight="1">
      <c r="B134" s="51"/>
      <c r="C134" s="52"/>
    </row>
    <row r="135" spans="2:3" ht="13.5" customHeight="1">
      <c r="B135" s="51"/>
      <c r="C135" s="52"/>
    </row>
    <row r="136" spans="2:3" ht="13.5" customHeight="1">
      <c r="B136" s="51"/>
      <c r="C136" s="52"/>
    </row>
    <row r="137" spans="2:3" ht="13.5" customHeight="1">
      <c r="B137" s="51"/>
      <c r="C137" s="52"/>
    </row>
    <row r="138" spans="2:3" ht="13.5" customHeight="1">
      <c r="B138" s="51"/>
      <c r="C138" s="52"/>
    </row>
    <row r="139" spans="2:3" ht="13.5" customHeight="1">
      <c r="B139" s="51"/>
      <c r="C139" s="52"/>
    </row>
    <row r="140" spans="2:3" ht="13.5" customHeight="1">
      <c r="B140" s="51"/>
      <c r="C140" s="52"/>
    </row>
    <row r="141" spans="2:3" ht="13.5" customHeight="1">
      <c r="B141" s="51"/>
      <c r="C141" s="52"/>
    </row>
    <row r="142" spans="2:3" ht="13.5" customHeight="1">
      <c r="B142" s="51"/>
      <c r="C142" s="52"/>
    </row>
    <row r="143" spans="2:3" ht="13.5" customHeight="1">
      <c r="B143" s="51"/>
      <c r="C143" s="52"/>
    </row>
    <row r="144" spans="2:3" ht="13.5" customHeight="1">
      <c r="B144" s="51"/>
      <c r="C144" s="52"/>
    </row>
    <row r="145" spans="2:3" ht="13.5" customHeight="1">
      <c r="B145" s="51"/>
      <c r="C145" s="52"/>
    </row>
    <row r="146" spans="2:3" ht="13.5" customHeight="1">
      <c r="B146" s="51"/>
      <c r="C146" s="52"/>
    </row>
    <row r="147" spans="2:3" ht="13.5" customHeight="1">
      <c r="B147" s="51"/>
      <c r="C147" s="52"/>
    </row>
    <row r="148" spans="2:3" ht="13.5" customHeight="1">
      <c r="B148" s="51"/>
      <c r="C148" s="52"/>
    </row>
    <row r="149" spans="2:3" ht="13.5" customHeight="1">
      <c r="B149" s="51"/>
      <c r="C149" s="52"/>
    </row>
    <row r="150" spans="2:3" ht="13.5" customHeight="1">
      <c r="B150" s="51"/>
      <c r="C150" s="52"/>
    </row>
    <row r="151" spans="2:3" ht="13.5" customHeight="1">
      <c r="B151" s="51"/>
      <c r="C151" s="52"/>
    </row>
    <row r="152" spans="2:3" ht="13.5" customHeight="1">
      <c r="B152" s="51"/>
      <c r="C152" s="52"/>
    </row>
    <row r="153" spans="2:3" ht="13.5" customHeight="1">
      <c r="B153" s="51"/>
      <c r="C153" s="52"/>
    </row>
    <row r="154" spans="2:3" ht="13.5" customHeight="1">
      <c r="B154" s="51"/>
      <c r="C154" s="52"/>
    </row>
    <row r="155" spans="2:3" ht="13.5" customHeight="1">
      <c r="B155" s="51"/>
      <c r="C155" s="52"/>
    </row>
    <row r="156" spans="2:3" ht="13.5" customHeight="1">
      <c r="B156" s="51"/>
      <c r="C156" s="52"/>
    </row>
    <row r="157" spans="2:3" ht="13.5" customHeight="1">
      <c r="B157" s="51"/>
      <c r="C157" s="52"/>
    </row>
    <row r="158" spans="2:3" ht="13.5" customHeight="1">
      <c r="B158" s="51"/>
      <c r="C158" s="52"/>
    </row>
    <row r="159" spans="2:3" ht="13.5" customHeight="1">
      <c r="B159" s="51"/>
      <c r="C159" s="52"/>
    </row>
    <row r="160" spans="2:3" ht="13.5" customHeight="1">
      <c r="B160" s="51"/>
      <c r="C160" s="52"/>
    </row>
    <row r="161" spans="2:3" ht="13.5" customHeight="1">
      <c r="B161" s="51"/>
      <c r="C161" s="52"/>
    </row>
    <row r="162" spans="2:3" ht="13.5" customHeight="1">
      <c r="B162" s="51"/>
      <c r="C162" s="52"/>
    </row>
    <row r="163" spans="2:3" ht="13.5" customHeight="1">
      <c r="B163" s="51"/>
      <c r="C163" s="52"/>
    </row>
    <row r="164" spans="2:3" ht="13.5" customHeight="1">
      <c r="B164" s="51"/>
      <c r="C164" s="52"/>
    </row>
    <row r="165" spans="2:3" ht="13.5" customHeight="1">
      <c r="B165" s="51"/>
      <c r="C165" s="52"/>
    </row>
    <row r="166" spans="2:3" ht="13.5" customHeight="1">
      <c r="B166" s="51"/>
      <c r="C166" s="52"/>
    </row>
    <row r="167" spans="2:3" ht="13.5" customHeight="1">
      <c r="B167" s="51"/>
      <c r="C167" s="52"/>
    </row>
    <row r="168" spans="2:3" ht="13.5" customHeight="1">
      <c r="B168" s="51"/>
      <c r="C168" s="52"/>
    </row>
    <row r="169" spans="2:3" ht="13.5" customHeight="1">
      <c r="B169" s="51"/>
      <c r="C169" s="52"/>
    </row>
    <row r="170" spans="2:3" ht="13.5" customHeight="1">
      <c r="B170" s="51"/>
      <c r="C170" s="52"/>
    </row>
    <row r="171" spans="2:3" ht="13.5" customHeight="1">
      <c r="B171" s="51"/>
      <c r="C171" s="52"/>
    </row>
    <row r="172" spans="2:3" ht="13.5" customHeight="1">
      <c r="B172" s="51"/>
      <c r="C172" s="52"/>
    </row>
    <row r="173" spans="2:3" ht="13.5" customHeight="1">
      <c r="B173" s="51"/>
      <c r="C173" s="52"/>
    </row>
    <row r="174" spans="2:3" ht="13.5" customHeight="1">
      <c r="B174" s="51"/>
      <c r="C174" s="52"/>
    </row>
    <row r="175" spans="2:3" ht="13.5" customHeight="1">
      <c r="B175" s="51"/>
      <c r="C175" s="52"/>
    </row>
    <row r="176" spans="2:3" ht="13.5" customHeight="1">
      <c r="B176" s="51"/>
      <c r="C176" s="52"/>
    </row>
    <row r="177" spans="2:3" ht="13.5" customHeight="1">
      <c r="B177" s="51"/>
      <c r="C177" s="52"/>
    </row>
    <row r="178" spans="2:3" ht="13.5" customHeight="1">
      <c r="B178" s="51"/>
      <c r="C178" s="52"/>
    </row>
    <row r="179" spans="2:3" ht="13.5" customHeight="1">
      <c r="B179" s="51"/>
      <c r="C179" s="52"/>
    </row>
    <row r="180" spans="2:3" ht="13.5" customHeight="1">
      <c r="B180" s="51"/>
      <c r="C180" s="52"/>
    </row>
    <row r="181" spans="2:3" ht="13.5" customHeight="1">
      <c r="B181" s="51"/>
      <c r="C181" s="52"/>
    </row>
    <row r="182" spans="2:3" ht="13.5" customHeight="1">
      <c r="B182" s="51"/>
      <c r="C182" s="52"/>
    </row>
    <row r="183" spans="2:3" ht="13.5" customHeight="1">
      <c r="B183" s="51"/>
      <c r="C183" s="52"/>
    </row>
    <row r="184" spans="2:3" ht="13.5" customHeight="1">
      <c r="B184" s="51"/>
      <c r="C184" s="52"/>
    </row>
    <row r="185" spans="2:3" ht="13.5" customHeight="1">
      <c r="B185" s="51"/>
      <c r="C185" s="52"/>
    </row>
    <row r="186" spans="2:3" ht="13.5" customHeight="1">
      <c r="B186" s="51"/>
      <c r="C186" s="52"/>
    </row>
    <row r="187" spans="2:3" ht="13.5" customHeight="1">
      <c r="B187" s="51"/>
      <c r="C187" s="52"/>
    </row>
    <row r="188" spans="2:3" ht="13.5" customHeight="1">
      <c r="B188" s="51"/>
      <c r="C188" s="52"/>
    </row>
    <row r="189" spans="2:3" ht="13.5" customHeight="1">
      <c r="B189" s="51"/>
      <c r="C189" s="52"/>
    </row>
    <row r="190" spans="2:3" ht="13.5" customHeight="1">
      <c r="B190" s="51"/>
      <c r="C190" s="52"/>
    </row>
    <row r="191" spans="2:3" ht="13.5" customHeight="1">
      <c r="B191" s="51"/>
      <c r="C191" s="52"/>
    </row>
    <row r="192" spans="2:3" ht="13.5" customHeight="1">
      <c r="B192" s="51"/>
      <c r="C192" s="52"/>
    </row>
    <row r="193" spans="2:3" ht="13.5" customHeight="1">
      <c r="B193" s="51"/>
      <c r="C193" s="52"/>
    </row>
    <row r="194" spans="2:3" ht="13.5" customHeight="1">
      <c r="B194" s="51"/>
      <c r="C194" s="52"/>
    </row>
    <row r="195" spans="2:3" ht="13.5" customHeight="1">
      <c r="B195" s="51"/>
      <c r="C195" s="52"/>
    </row>
    <row r="196" spans="2:3" ht="13.5" customHeight="1">
      <c r="B196" s="51"/>
      <c r="C196" s="52"/>
    </row>
    <row r="197" spans="2:3" ht="13.5" customHeight="1">
      <c r="B197" s="51"/>
      <c r="C197" s="52"/>
    </row>
    <row r="198" spans="2:3" ht="13.5" customHeight="1">
      <c r="B198" s="51"/>
      <c r="C198" s="52"/>
    </row>
    <row r="199" spans="2:3" ht="13.5" customHeight="1">
      <c r="B199" s="51"/>
      <c r="C199" s="52"/>
    </row>
    <row r="200" spans="2:3" ht="13.5" customHeight="1">
      <c r="B200" s="51"/>
      <c r="C200" s="52"/>
    </row>
    <row r="201" spans="2:3" ht="13.5" customHeight="1">
      <c r="B201" s="51"/>
      <c r="C201" s="52"/>
    </row>
    <row r="202" spans="2:3" ht="13.5" customHeight="1">
      <c r="B202" s="51"/>
      <c r="C202" s="52"/>
    </row>
    <row r="203" spans="2:3" ht="13.5" customHeight="1">
      <c r="B203" s="51"/>
      <c r="C203" s="52"/>
    </row>
    <row r="204" spans="2:3" ht="13.5" customHeight="1">
      <c r="B204" s="51"/>
      <c r="C204" s="52"/>
    </row>
    <row r="205" spans="2:3" ht="13.5" customHeight="1">
      <c r="B205" s="51"/>
      <c r="C205" s="52"/>
    </row>
    <row r="206" spans="2:3" ht="13.5" customHeight="1">
      <c r="B206" s="51"/>
      <c r="C206" s="52"/>
    </row>
    <row r="207" spans="2:3" ht="13.5" customHeight="1">
      <c r="B207" s="51"/>
      <c r="C207" s="52"/>
    </row>
    <row r="208" spans="2:3" ht="13.5" customHeight="1">
      <c r="B208" s="51"/>
      <c r="C208" s="52"/>
    </row>
    <row r="209" spans="2:3" ht="13.5" customHeight="1">
      <c r="B209" s="51"/>
      <c r="C209" s="52"/>
    </row>
    <row r="210" spans="2:3" ht="13.5" customHeight="1">
      <c r="B210" s="51"/>
      <c r="C210" s="52"/>
    </row>
    <row r="211" spans="2:3" ht="13.5" customHeight="1">
      <c r="B211" s="51"/>
      <c r="C211" s="52"/>
    </row>
    <row r="212" spans="2:3" ht="13.5" customHeight="1">
      <c r="B212" s="51"/>
      <c r="C212" s="52"/>
    </row>
    <row r="213" spans="2:3" ht="13.5" customHeight="1">
      <c r="B213" s="51"/>
      <c r="C213" s="52"/>
    </row>
    <row r="214" spans="2:3" ht="13.5" customHeight="1">
      <c r="B214" s="51"/>
      <c r="C214" s="52"/>
    </row>
    <row r="215" spans="2:3" ht="13.5" customHeight="1">
      <c r="B215" s="51"/>
      <c r="C215" s="52"/>
    </row>
    <row r="216" spans="2:3" ht="13.5" customHeight="1">
      <c r="B216" s="51"/>
      <c r="C216" s="52"/>
    </row>
    <row r="217" spans="2:3" ht="13.5" customHeight="1">
      <c r="B217" s="51"/>
      <c r="C217" s="52"/>
    </row>
    <row r="218" spans="2:3" ht="13.5" customHeight="1">
      <c r="B218" s="51"/>
      <c r="C218" s="52"/>
    </row>
    <row r="219" spans="2:3" ht="13.5" customHeight="1">
      <c r="B219" s="51"/>
      <c r="C219" s="52"/>
    </row>
    <row r="220" spans="2:3" ht="13.5" customHeight="1">
      <c r="B220" s="51"/>
      <c r="C220" s="52"/>
    </row>
    <row r="221" spans="2:3" ht="13.5" customHeight="1">
      <c r="B221" s="51"/>
      <c r="C221" s="52"/>
    </row>
    <row r="222" spans="2:3" ht="13.5" customHeight="1">
      <c r="B222" s="51"/>
      <c r="C222" s="52"/>
    </row>
    <row r="223" spans="2:3" ht="13.5" customHeight="1">
      <c r="B223" s="51"/>
      <c r="C223" s="52"/>
    </row>
    <row r="224" spans="2:3" ht="13.5" customHeight="1">
      <c r="B224" s="51"/>
      <c r="C224" s="52"/>
    </row>
    <row r="225" spans="2:3" ht="13.5" customHeight="1">
      <c r="B225" s="51"/>
      <c r="C225" s="52"/>
    </row>
    <row r="226" spans="2:3" ht="13.5" customHeight="1">
      <c r="B226" s="51"/>
      <c r="C226" s="52"/>
    </row>
    <row r="227" spans="2:3" ht="13.5" customHeight="1">
      <c r="B227" s="51"/>
      <c r="C227" s="52"/>
    </row>
    <row r="228" spans="2:3" ht="13.5" customHeight="1">
      <c r="B228" s="51"/>
      <c r="C228" s="52"/>
    </row>
    <row r="229" spans="2:3" ht="13.5" customHeight="1">
      <c r="B229" s="51"/>
      <c r="C229" s="52"/>
    </row>
    <row r="230" spans="2:3" ht="13.5" customHeight="1">
      <c r="B230" s="51"/>
      <c r="C230" s="52"/>
    </row>
    <row r="231" spans="2:3" ht="13.5" customHeight="1">
      <c r="B231" s="51"/>
      <c r="C231" s="52"/>
    </row>
    <row r="232" spans="2:3" ht="13.5" customHeight="1">
      <c r="B232" s="51"/>
      <c r="C232" s="52"/>
    </row>
    <row r="233" spans="2:3" ht="13.5" customHeight="1">
      <c r="B233" s="51"/>
      <c r="C233" s="52"/>
    </row>
    <row r="234" spans="2:3" ht="13.5" customHeight="1">
      <c r="B234" s="51"/>
      <c r="C234" s="52"/>
    </row>
    <row r="235" spans="2:3" ht="13.5" customHeight="1">
      <c r="B235" s="51"/>
      <c r="C235" s="52"/>
    </row>
    <row r="236" spans="2:3" ht="13.5" customHeight="1">
      <c r="B236" s="51"/>
      <c r="C236" s="52"/>
    </row>
    <row r="237" spans="2:3" ht="13.5" customHeight="1">
      <c r="B237" s="51"/>
      <c r="C237" s="52"/>
    </row>
    <row r="238" spans="2:3" ht="13.5" customHeight="1">
      <c r="B238" s="51"/>
      <c r="C238" s="52"/>
    </row>
    <row r="239" spans="2:3" ht="13.5" customHeight="1">
      <c r="B239" s="51"/>
      <c r="C239" s="52"/>
    </row>
    <row r="240" spans="2:3" ht="13.5" customHeight="1">
      <c r="B240" s="51"/>
      <c r="C240" s="52"/>
    </row>
    <row r="241" spans="2:3" ht="13.5" customHeight="1">
      <c r="B241" s="51"/>
      <c r="C241" s="52"/>
    </row>
    <row r="242" spans="2:3" ht="13.5" customHeight="1">
      <c r="B242" s="51"/>
      <c r="C242" s="52"/>
    </row>
    <row r="243" spans="2:3" ht="13.5" customHeight="1">
      <c r="B243" s="51"/>
      <c r="C243" s="52"/>
    </row>
    <row r="244" spans="2:3" ht="13.5" customHeight="1">
      <c r="B244" s="51"/>
      <c r="C244" s="52"/>
    </row>
    <row r="245" spans="2:3" ht="13.5" customHeight="1">
      <c r="B245" s="51"/>
      <c r="C245" s="52"/>
    </row>
    <row r="246" spans="2:3" ht="13.5" customHeight="1">
      <c r="B246" s="51"/>
      <c r="C246" s="52"/>
    </row>
    <row r="247" spans="2:3" ht="13.5" customHeight="1">
      <c r="B247" s="51"/>
      <c r="C247" s="52"/>
    </row>
    <row r="248" spans="2:3" ht="13.5" customHeight="1">
      <c r="B248" s="51"/>
      <c r="C248" s="52"/>
    </row>
    <row r="249" spans="2:3" ht="13.5" customHeight="1">
      <c r="B249" s="51"/>
      <c r="C249" s="52"/>
    </row>
    <row r="250" spans="2:3" ht="13.5" customHeight="1">
      <c r="B250" s="51"/>
      <c r="C250" s="52"/>
    </row>
    <row r="251" spans="2:3" ht="13.5" customHeight="1">
      <c r="B251" s="51"/>
      <c r="C251" s="52"/>
    </row>
    <row r="252" spans="2:3" ht="13.5" customHeight="1">
      <c r="B252" s="51"/>
      <c r="C252" s="52"/>
    </row>
    <row r="253" spans="2:3" ht="13.5" customHeight="1">
      <c r="B253" s="51"/>
      <c r="C253" s="52"/>
    </row>
    <row r="254" spans="2:3" ht="13.5" customHeight="1">
      <c r="B254" s="51"/>
      <c r="C254" s="52"/>
    </row>
    <row r="255" spans="2:3" ht="13.5" customHeight="1">
      <c r="B255" s="51"/>
      <c r="C255" s="52"/>
    </row>
    <row r="256" spans="2:3" ht="13.5" customHeight="1">
      <c r="B256" s="51"/>
      <c r="C256" s="52"/>
    </row>
    <row r="257" spans="2:3" ht="13.5" customHeight="1">
      <c r="B257" s="51"/>
      <c r="C257" s="52"/>
    </row>
    <row r="258" spans="2:3" ht="13.5" customHeight="1">
      <c r="B258" s="51"/>
      <c r="C258" s="52"/>
    </row>
    <row r="259" spans="2:3" ht="13.5" customHeight="1">
      <c r="B259" s="51"/>
      <c r="C259" s="52"/>
    </row>
    <row r="260" spans="2:3" ht="13.5" customHeight="1">
      <c r="B260" s="51"/>
      <c r="C260" s="52"/>
    </row>
    <row r="261" spans="2:3" ht="13.5" customHeight="1">
      <c r="B261" s="51"/>
      <c r="C261" s="52"/>
    </row>
    <row r="262" spans="2:3" ht="13.5" customHeight="1">
      <c r="B262" s="51"/>
      <c r="C262" s="52"/>
    </row>
    <row r="263" spans="2:3" ht="13.5" customHeight="1">
      <c r="B263" s="51"/>
      <c r="C263" s="52"/>
    </row>
    <row r="264" spans="2:3" ht="13.5" customHeight="1">
      <c r="B264" s="51"/>
      <c r="C264" s="52"/>
    </row>
    <row r="265" spans="2:3" ht="13.5" customHeight="1">
      <c r="B265" s="51"/>
      <c r="C265" s="52"/>
    </row>
    <row r="266" spans="2:3" ht="13.5" customHeight="1">
      <c r="B266" s="51"/>
      <c r="C266" s="52"/>
    </row>
    <row r="267" spans="2:3" ht="13.5" customHeight="1">
      <c r="B267" s="51"/>
      <c r="C267" s="52"/>
    </row>
    <row r="268" spans="2:3" ht="13.5" customHeight="1">
      <c r="B268" s="51"/>
      <c r="C268" s="52"/>
    </row>
    <row r="269" spans="2:3" ht="13.5" customHeight="1">
      <c r="B269" s="51"/>
      <c r="C269" s="52"/>
    </row>
    <row r="270" spans="2:3" ht="13.5" customHeight="1">
      <c r="B270" s="51"/>
      <c r="C270" s="52"/>
    </row>
    <row r="271" spans="2:3" ht="13.5" customHeight="1">
      <c r="B271" s="51"/>
      <c r="C271" s="52"/>
    </row>
    <row r="272" spans="2:3" ht="13.5" customHeight="1">
      <c r="B272" s="51"/>
      <c r="C272" s="52"/>
    </row>
    <row r="273" spans="2:3" ht="13.5" customHeight="1">
      <c r="B273" s="51"/>
      <c r="C273" s="52"/>
    </row>
    <row r="274" spans="2:3" ht="13.5" customHeight="1">
      <c r="B274" s="51"/>
      <c r="C274" s="52"/>
    </row>
    <row r="275" spans="2:3" ht="13.5" customHeight="1">
      <c r="B275" s="51"/>
      <c r="C275" s="52"/>
    </row>
    <row r="276" spans="2:3" ht="13.5" customHeight="1">
      <c r="B276" s="51"/>
      <c r="C276" s="52"/>
    </row>
    <row r="277" spans="2:3" ht="13.5" customHeight="1">
      <c r="B277" s="51"/>
      <c r="C277" s="52"/>
    </row>
    <row r="278" spans="2:3" ht="13.5" customHeight="1">
      <c r="B278" s="51"/>
      <c r="C278" s="52"/>
    </row>
    <row r="279" spans="2:3" ht="13.5" customHeight="1">
      <c r="B279" s="51"/>
      <c r="C279" s="52"/>
    </row>
    <row r="280" spans="2:3" ht="13.5" customHeight="1">
      <c r="B280" s="51"/>
      <c r="C280" s="52"/>
    </row>
    <row r="281" spans="2:3" ht="13.5" customHeight="1">
      <c r="B281" s="51"/>
      <c r="C281" s="52"/>
    </row>
    <row r="282" spans="2:3" ht="13.5" customHeight="1">
      <c r="B282" s="51"/>
      <c r="C282" s="52"/>
    </row>
    <row r="283" spans="2:3" ht="13.5" customHeight="1">
      <c r="B283" s="51"/>
      <c r="C283" s="52"/>
    </row>
    <row r="284" spans="2:3" ht="13.5" customHeight="1">
      <c r="B284" s="51"/>
      <c r="C284" s="52"/>
    </row>
    <row r="285" spans="2:3" ht="13.5" customHeight="1">
      <c r="B285" s="51"/>
      <c r="C285" s="52"/>
    </row>
    <row r="286" spans="2:3" ht="13.5" customHeight="1">
      <c r="B286" s="51"/>
      <c r="C286" s="52"/>
    </row>
    <row r="287" spans="2:3" ht="13.5" customHeight="1">
      <c r="B287" s="51"/>
      <c r="C287" s="52"/>
    </row>
    <row r="288" spans="2:3" ht="13.5" customHeight="1">
      <c r="B288" s="51"/>
      <c r="C288" s="52"/>
    </row>
    <row r="289" spans="2:3" ht="13.5" customHeight="1">
      <c r="B289" s="51"/>
      <c r="C289" s="52"/>
    </row>
    <row r="290" spans="2:3" ht="13.5" customHeight="1">
      <c r="B290" s="51"/>
      <c r="C290" s="52"/>
    </row>
    <row r="291" spans="2:3" ht="13.5" customHeight="1">
      <c r="B291" s="51"/>
      <c r="C291" s="52"/>
    </row>
    <row r="292" spans="2:3" ht="13.5" customHeight="1">
      <c r="B292" s="51"/>
      <c r="C292" s="52"/>
    </row>
    <row r="293" spans="2:3" ht="13.5" customHeight="1">
      <c r="B293" s="51"/>
      <c r="C293" s="52"/>
    </row>
    <row r="294" spans="2:3" ht="13.5" customHeight="1">
      <c r="B294" s="51"/>
      <c r="C294" s="52"/>
    </row>
    <row r="295" spans="2:3" ht="13.5" customHeight="1">
      <c r="B295" s="51"/>
      <c r="C295" s="52"/>
    </row>
    <row r="296" spans="2:3" ht="13.5" customHeight="1">
      <c r="B296" s="51"/>
      <c r="C296" s="52"/>
    </row>
    <row r="297" spans="2:3" ht="13.5" customHeight="1">
      <c r="B297" s="51"/>
      <c r="C297" s="52"/>
    </row>
    <row r="298" spans="2:3" ht="13.5" customHeight="1">
      <c r="B298" s="51"/>
      <c r="C298" s="52"/>
    </row>
    <row r="299" spans="2:3" ht="13.5" customHeight="1">
      <c r="B299" s="51"/>
      <c r="C299" s="52"/>
    </row>
    <row r="300" spans="2:3" ht="13.5" customHeight="1">
      <c r="B300" s="51"/>
      <c r="C300" s="52"/>
    </row>
    <row r="301" spans="2:3" ht="13.5" customHeight="1">
      <c r="B301" s="51"/>
      <c r="C301" s="52"/>
    </row>
    <row r="302" spans="2:3" ht="13.5" customHeight="1">
      <c r="B302" s="51"/>
      <c r="C302" s="52"/>
    </row>
    <row r="303" spans="2:3" ht="13.5" customHeight="1">
      <c r="B303" s="51"/>
      <c r="C303" s="52"/>
    </row>
    <row r="304" spans="2:3" ht="13.5" customHeight="1">
      <c r="B304" s="51"/>
      <c r="C304" s="52"/>
    </row>
    <row r="305" spans="2:3" ht="13.5" customHeight="1">
      <c r="B305" s="51"/>
      <c r="C305" s="52"/>
    </row>
    <row r="306" spans="2:3" ht="13.5" customHeight="1">
      <c r="B306" s="51"/>
      <c r="C306" s="52"/>
    </row>
    <row r="307" spans="2:3" ht="13.5" customHeight="1">
      <c r="B307" s="51"/>
      <c r="C307" s="52"/>
    </row>
    <row r="308" spans="2:3" ht="13.5" customHeight="1">
      <c r="B308" s="51"/>
      <c r="C308" s="52"/>
    </row>
    <row r="309" spans="2:3" ht="13.5" customHeight="1">
      <c r="B309" s="51"/>
      <c r="C309" s="52"/>
    </row>
    <row r="310" spans="2:3" ht="13.5" customHeight="1">
      <c r="B310" s="51"/>
      <c r="C310" s="52"/>
    </row>
    <row r="311" spans="2:3" ht="13.5" customHeight="1">
      <c r="B311" s="51"/>
      <c r="C311" s="52"/>
    </row>
    <row r="312" spans="2:3" ht="13.5" customHeight="1">
      <c r="B312" s="51"/>
      <c r="C312" s="52"/>
    </row>
    <row r="313" spans="2:3" ht="13.5" customHeight="1">
      <c r="B313" s="51"/>
      <c r="C313" s="52"/>
    </row>
    <row r="314" spans="2:3" ht="13.5" customHeight="1">
      <c r="B314" s="51"/>
      <c r="C314" s="52"/>
    </row>
    <row r="315" spans="2:3" ht="13.5" customHeight="1">
      <c r="B315" s="51"/>
      <c r="C315" s="52"/>
    </row>
    <row r="316" spans="2:3" ht="13.5" customHeight="1">
      <c r="B316" s="51"/>
      <c r="C316" s="52"/>
    </row>
    <row r="317" spans="2:3" ht="13.5" customHeight="1">
      <c r="B317" s="51"/>
      <c r="C317" s="52"/>
    </row>
    <row r="318" spans="2:3" ht="13.5" customHeight="1">
      <c r="B318" s="51"/>
      <c r="C318" s="52"/>
    </row>
    <row r="319" spans="2:3" ht="13.5" customHeight="1">
      <c r="B319" s="51"/>
      <c r="C319" s="52"/>
    </row>
    <row r="320" spans="2:3" ht="13.5" customHeight="1">
      <c r="B320" s="51"/>
      <c r="C320" s="52"/>
    </row>
    <row r="321" spans="2:3" ht="13.5" customHeight="1">
      <c r="B321" s="51"/>
      <c r="C321" s="52"/>
    </row>
    <row r="322" spans="2:3" ht="13.5" customHeight="1">
      <c r="B322" s="51"/>
      <c r="C322" s="52"/>
    </row>
    <row r="323" spans="2:3" ht="13.5" customHeight="1">
      <c r="B323" s="51"/>
      <c r="C323" s="52"/>
    </row>
    <row r="324" spans="2:3" ht="13.5" customHeight="1">
      <c r="B324" s="51"/>
      <c r="C324" s="52"/>
    </row>
    <row r="325" spans="2:3" ht="13.5" customHeight="1">
      <c r="B325" s="51"/>
      <c r="C325" s="52"/>
    </row>
    <row r="326" spans="2:3" ht="13.5" customHeight="1">
      <c r="B326" s="51"/>
      <c r="C326" s="52"/>
    </row>
    <row r="327" spans="2:3" ht="13.5" customHeight="1">
      <c r="B327" s="51"/>
      <c r="C327" s="52"/>
    </row>
    <row r="328" spans="2:3" ht="13.5" customHeight="1">
      <c r="B328" s="51"/>
      <c r="C328" s="52"/>
    </row>
    <row r="329" spans="2:3" ht="13.5" customHeight="1">
      <c r="B329" s="51"/>
      <c r="C329" s="52"/>
    </row>
    <row r="330" spans="2:3" ht="13.5" customHeight="1">
      <c r="B330" s="51"/>
      <c r="C330" s="52"/>
    </row>
    <row r="331" spans="2:3" ht="13.5" customHeight="1">
      <c r="B331" s="51"/>
      <c r="C331" s="52"/>
    </row>
    <row r="332" spans="2:3" ht="13.5" customHeight="1">
      <c r="B332" s="51"/>
      <c r="C332" s="52"/>
    </row>
    <row r="333" spans="2:3" ht="13.5" customHeight="1">
      <c r="B333" s="51"/>
      <c r="C333" s="52"/>
    </row>
    <row r="334" spans="2:3" ht="13.5" customHeight="1">
      <c r="B334" s="51"/>
      <c r="C334" s="52"/>
    </row>
    <row r="335" spans="2:3" ht="13.5" customHeight="1">
      <c r="B335" s="51"/>
      <c r="C335" s="52"/>
    </row>
    <row r="336" spans="2:3" ht="13.5" customHeight="1">
      <c r="B336" s="51"/>
      <c r="C336" s="52"/>
    </row>
    <row r="337" spans="2:3" ht="13.5" customHeight="1">
      <c r="B337" s="51"/>
      <c r="C337" s="52"/>
    </row>
    <row r="338" spans="2:3" ht="13.5" customHeight="1">
      <c r="B338" s="51"/>
      <c r="C338" s="52"/>
    </row>
    <row r="339" spans="2:3" ht="13.5" customHeight="1">
      <c r="B339" s="51"/>
      <c r="C339" s="52"/>
    </row>
    <row r="340" spans="2:3" ht="13.5" customHeight="1">
      <c r="B340" s="51"/>
      <c r="C340" s="52"/>
    </row>
    <row r="341" spans="2:3" ht="13.5" customHeight="1">
      <c r="B341" s="51"/>
      <c r="C341" s="52"/>
    </row>
    <row r="342" spans="2:3" ht="13.5" customHeight="1">
      <c r="B342" s="51"/>
      <c r="C342" s="52"/>
    </row>
    <row r="343" spans="2:3" ht="13.5" customHeight="1">
      <c r="B343" s="51"/>
      <c r="C343" s="52"/>
    </row>
    <row r="344" spans="2:3" ht="13.5" customHeight="1">
      <c r="B344" s="51"/>
      <c r="C344" s="52"/>
    </row>
    <row r="345" spans="2:3" ht="13.5" customHeight="1">
      <c r="B345" s="51"/>
      <c r="C345" s="52"/>
    </row>
    <row r="346" spans="2:3" ht="13.5" customHeight="1">
      <c r="B346" s="51"/>
      <c r="C346" s="52"/>
    </row>
    <row r="347" spans="2:3" ht="13.5" customHeight="1">
      <c r="B347" s="51"/>
      <c r="C347" s="52"/>
    </row>
    <row r="348" spans="2:3" ht="13.5" customHeight="1">
      <c r="B348" s="51"/>
      <c r="C348" s="52"/>
    </row>
    <row r="349" spans="2:3" ht="13.5" customHeight="1">
      <c r="B349" s="51"/>
      <c r="C349" s="52"/>
    </row>
    <row r="350" spans="2:3" ht="13.5" customHeight="1">
      <c r="B350" s="51"/>
      <c r="C350" s="52"/>
    </row>
    <row r="351" spans="2:3" ht="13.5" customHeight="1">
      <c r="B351" s="51"/>
      <c r="C351" s="52"/>
    </row>
    <row r="352" spans="2:3" ht="13.5" customHeight="1">
      <c r="B352" s="51"/>
      <c r="C352" s="52"/>
    </row>
    <row r="353" spans="2:3" ht="13.5" customHeight="1">
      <c r="B353" s="51"/>
      <c r="C353" s="52"/>
    </row>
    <row r="354" spans="2:3" ht="13.5" customHeight="1">
      <c r="B354" s="51"/>
      <c r="C354" s="52"/>
    </row>
    <row r="355" spans="2:3" ht="13.5" customHeight="1">
      <c r="B355" s="51"/>
      <c r="C355" s="52"/>
    </row>
    <row r="356" spans="2:3" ht="13.5" customHeight="1">
      <c r="B356" s="51"/>
      <c r="C356" s="52"/>
    </row>
    <row r="357" spans="2:3" ht="13.5" customHeight="1">
      <c r="B357" s="51"/>
      <c r="C357" s="52"/>
    </row>
    <row r="358" spans="2:3" ht="13.5" customHeight="1">
      <c r="B358" s="51"/>
      <c r="C358" s="52"/>
    </row>
    <row r="359" spans="2:3" ht="13.5" customHeight="1">
      <c r="B359" s="51"/>
      <c r="C359" s="52"/>
    </row>
    <row r="360" spans="2:3" ht="13.5" customHeight="1">
      <c r="B360" s="51"/>
      <c r="C360" s="52"/>
    </row>
    <row r="361" spans="2:3" ht="13.5" customHeight="1">
      <c r="B361" s="51"/>
      <c r="C361" s="52"/>
    </row>
    <row r="362" spans="2:3" ht="13.5" customHeight="1">
      <c r="B362" s="51"/>
      <c r="C362" s="52"/>
    </row>
    <row r="363" spans="2:3" ht="13.5" customHeight="1">
      <c r="B363" s="51"/>
      <c r="C363" s="52"/>
    </row>
    <row r="364" spans="2:3" ht="13.5" customHeight="1">
      <c r="B364" s="51"/>
      <c r="C364" s="52"/>
    </row>
    <row r="365" spans="2:3" ht="13.5" customHeight="1">
      <c r="B365" s="51"/>
      <c r="C365" s="52"/>
    </row>
    <row r="366" spans="2:3" ht="13.5" customHeight="1">
      <c r="B366" s="51"/>
      <c r="C366" s="52"/>
    </row>
    <row r="367" spans="2:3" ht="13.5" customHeight="1">
      <c r="B367" s="51"/>
      <c r="C367" s="52"/>
    </row>
    <row r="368" spans="2:3" ht="13.5" customHeight="1">
      <c r="B368" s="51"/>
      <c r="C368" s="52"/>
    </row>
    <row r="369" spans="2:3" ht="13.5" customHeight="1">
      <c r="B369" s="51"/>
      <c r="C369" s="52"/>
    </row>
    <row r="370" spans="2:3" ht="13.5" customHeight="1">
      <c r="B370" s="51"/>
      <c r="C370" s="52"/>
    </row>
    <row r="371" spans="2:3" ht="13.5" customHeight="1">
      <c r="B371" s="51"/>
      <c r="C371" s="52"/>
    </row>
    <row r="372" spans="2:3" ht="13.5" customHeight="1">
      <c r="B372" s="51"/>
      <c r="C372" s="52"/>
    </row>
    <row r="373" spans="2:3" ht="13.5" customHeight="1">
      <c r="B373" s="51"/>
      <c r="C373" s="52"/>
    </row>
    <row r="374" spans="2:3" ht="13.5" customHeight="1">
      <c r="B374" s="51"/>
      <c r="C374" s="52"/>
    </row>
    <row r="375" spans="2:3" ht="13.5" customHeight="1">
      <c r="B375" s="51"/>
      <c r="C375" s="52"/>
    </row>
    <row r="376" spans="2:3" ht="13.5" customHeight="1">
      <c r="B376" s="51"/>
      <c r="C376" s="52"/>
    </row>
    <row r="377" spans="2:3" ht="13.5" customHeight="1">
      <c r="B377" s="51"/>
      <c r="C377" s="52"/>
    </row>
    <row r="378" spans="2:3" ht="13.5" customHeight="1">
      <c r="B378" s="51"/>
      <c r="C378" s="52"/>
    </row>
    <row r="379" spans="2:3" ht="13.5" customHeight="1">
      <c r="B379" s="51"/>
      <c r="C379" s="52"/>
    </row>
    <row r="380" spans="2:3" ht="13.5" customHeight="1">
      <c r="B380" s="51"/>
      <c r="C380" s="52"/>
    </row>
    <row r="381" spans="2:3" ht="13.5" customHeight="1">
      <c r="B381" s="51"/>
      <c r="C381" s="52"/>
    </row>
    <row r="382" spans="2:3" ht="13.5" customHeight="1">
      <c r="B382" s="51"/>
      <c r="C382" s="52"/>
    </row>
    <row r="383" spans="2:3" ht="13.5" customHeight="1">
      <c r="B383" s="51"/>
      <c r="C383" s="52"/>
    </row>
    <row r="384" spans="2:3" ht="13.5" customHeight="1">
      <c r="B384" s="51"/>
      <c r="C384" s="52"/>
    </row>
    <row r="385" spans="2:3" ht="13.5" customHeight="1">
      <c r="B385" s="51"/>
      <c r="C385" s="52"/>
    </row>
    <row r="386" spans="2:3" ht="13.5" customHeight="1">
      <c r="B386" s="51"/>
      <c r="C386" s="52"/>
    </row>
    <row r="387" spans="2:3" ht="13.5" customHeight="1">
      <c r="B387" s="51"/>
      <c r="C387" s="52"/>
    </row>
    <row r="388" spans="2:3" ht="13.5" customHeight="1">
      <c r="B388" s="51"/>
      <c r="C388" s="52"/>
    </row>
    <row r="389" spans="2:3" ht="13.5" customHeight="1">
      <c r="B389" s="51"/>
      <c r="C389" s="52"/>
    </row>
    <row r="390" spans="2:3" ht="13.5" customHeight="1">
      <c r="B390" s="51"/>
      <c r="C390" s="52"/>
    </row>
    <row r="391" spans="2:3" ht="13.5" customHeight="1">
      <c r="B391" s="51"/>
      <c r="C391" s="52"/>
    </row>
    <row r="392" spans="2:3" ht="13.5" customHeight="1">
      <c r="B392" s="51"/>
      <c r="C392" s="52"/>
    </row>
    <row r="393" spans="2:3" ht="13.5" customHeight="1">
      <c r="B393" s="51"/>
      <c r="C393" s="52"/>
    </row>
    <row r="394" spans="2:3" ht="13.5" customHeight="1">
      <c r="B394" s="51"/>
      <c r="C394" s="52"/>
    </row>
    <row r="395" spans="2:3" ht="13.5" customHeight="1">
      <c r="B395" s="51"/>
      <c r="C395" s="52"/>
    </row>
    <row r="396" spans="2:3" ht="13.5" customHeight="1">
      <c r="B396" s="51"/>
      <c r="C396" s="52"/>
    </row>
    <row r="397" spans="2:3" ht="13.5" customHeight="1">
      <c r="B397" s="51"/>
      <c r="C397" s="52"/>
    </row>
    <row r="398" spans="2:3" ht="13.5" customHeight="1">
      <c r="B398" s="51"/>
      <c r="C398" s="52"/>
    </row>
    <row r="399" spans="2:3" ht="13.5" customHeight="1">
      <c r="B399" s="51"/>
      <c r="C399" s="52"/>
    </row>
    <row r="400" spans="2:3" ht="13.5" customHeight="1">
      <c r="B400" s="51"/>
      <c r="C400" s="52"/>
    </row>
    <row r="401" spans="2:3" ht="13.5" customHeight="1">
      <c r="B401" s="51"/>
      <c r="C401" s="52"/>
    </row>
    <row r="402" spans="2:3" ht="13.5" customHeight="1">
      <c r="B402" s="51"/>
      <c r="C402" s="52"/>
    </row>
    <row r="403" spans="2:3" ht="13.5" customHeight="1">
      <c r="B403" s="51"/>
      <c r="C403" s="52"/>
    </row>
    <row r="404" spans="2:3" ht="13.5" customHeight="1">
      <c r="B404" s="51"/>
      <c r="C404" s="52"/>
    </row>
    <row r="405" spans="2:3" ht="13.5" customHeight="1">
      <c r="B405" s="51"/>
      <c r="C405" s="52"/>
    </row>
    <row r="406" spans="2:3" ht="13.5" customHeight="1">
      <c r="B406" s="51"/>
      <c r="C406" s="52"/>
    </row>
    <row r="407" spans="2:3" ht="13.5" customHeight="1">
      <c r="B407" s="51"/>
      <c r="C407" s="52"/>
    </row>
    <row r="408" spans="2:3" ht="13.5" customHeight="1">
      <c r="B408" s="51"/>
      <c r="C408" s="52"/>
    </row>
    <row r="409" spans="2:3" ht="13.5" customHeight="1">
      <c r="B409" s="51"/>
      <c r="C409" s="52"/>
    </row>
    <row r="410" spans="2:3" ht="13.5" customHeight="1">
      <c r="B410" s="51"/>
      <c r="C410" s="52"/>
    </row>
    <row r="411" spans="2:3" ht="13.5" customHeight="1">
      <c r="B411" s="51"/>
      <c r="C411" s="52"/>
    </row>
    <row r="412" spans="2:3" ht="13.5" customHeight="1">
      <c r="B412" s="51"/>
      <c r="C412" s="52"/>
    </row>
    <row r="413" spans="2:3" ht="13.5" customHeight="1">
      <c r="B413" s="51"/>
      <c r="C413" s="52"/>
    </row>
    <row r="414" spans="2:3" ht="13.5" customHeight="1">
      <c r="B414" s="51"/>
      <c r="C414" s="52"/>
    </row>
    <row r="415" spans="2:3" ht="13.5" customHeight="1">
      <c r="B415" s="51"/>
      <c r="C415" s="52"/>
    </row>
    <row r="416" spans="2:3" ht="13.5" customHeight="1">
      <c r="B416" s="51"/>
      <c r="C416" s="52"/>
    </row>
    <row r="417" spans="2:3" ht="13.5" customHeight="1">
      <c r="B417" s="51"/>
      <c r="C417" s="52"/>
    </row>
    <row r="418" spans="2:3" ht="13.5" customHeight="1">
      <c r="B418" s="51"/>
      <c r="C418" s="52"/>
    </row>
    <row r="419" spans="2:3" ht="13.5" customHeight="1">
      <c r="B419" s="51"/>
      <c r="C419" s="52"/>
    </row>
    <row r="420" spans="2:3" ht="13.5" customHeight="1">
      <c r="B420" s="51"/>
      <c r="C420" s="52"/>
    </row>
    <row r="421" spans="2:3" ht="13.5" customHeight="1">
      <c r="B421" s="51"/>
      <c r="C421" s="52"/>
    </row>
    <row r="422" spans="2:3" ht="13.5" customHeight="1">
      <c r="B422" s="51"/>
      <c r="C422" s="52"/>
    </row>
    <row r="423" spans="2:3" ht="13.5" customHeight="1">
      <c r="B423" s="51"/>
      <c r="C423" s="52"/>
    </row>
    <row r="424" spans="2:3" ht="13.5" customHeight="1">
      <c r="B424" s="51"/>
      <c r="C424" s="52"/>
    </row>
    <row r="425" spans="2:3" ht="13.5" customHeight="1">
      <c r="B425" s="51"/>
      <c r="C425" s="52"/>
    </row>
    <row r="426" spans="2:3" ht="13.5" customHeight="1">
      <c r="B426" s="51"/>
      <c r="C426" s="52"/>
    </row>
    <row r="427" spans="2:3" ht="13.5" customHeight="1">
      <c r="B427" s="51"/>
      <c r="C427" s="52"/>
    </row>
    <row r="428" spans="2:3" ht="13.5" customHeight="1">
      <c r="B428" s="51"/>
      <c r="C428" s="52"/>
    </row>
    <row r="429" spans="2:3" ht="13.5" customHeight="1">
      <c r="B429" s="51"/>
      <c r="C429" s="52"/>
    </row>
    <row r="430" spans="2:3" ht="13.5" customHeight="1">
      <c r="B430" s="51"/>
      <c r="C430" s="52"/>
    </row>
    <row r="431" spans="2:3" ht="13.5" customHeight="1">
      <c r="B431" s="51"/>
      <c r="C431" s="52"/>
    </row>
    <row r="432" spans="2:3" ht="13.5" customHeight="1">
      <c r="B432" s="51"/>
      <c r="C432" s="52"/>
    </row>
    <row r="433" spans="2:3" ht="13.5" customHeight="1">
      <c r="B433" s="51"/>
      <c r="C433" s="52"/>
    </row>
    <row r="434" spans="2:3" ht="13.5" customHeight="1">
      <c r="B434" s="51"/>
      <c r="C434" s="52"/>
    </row>
    <row r="435" spans="2:3" ht="13.5" customHeight="1">
      <c r="B435" s="51"/>
      <c r="C435" s="52"/>
    </row>
    <row r="436" spans="2:3" ht="13.5" customHeight="1">
      <c r="B436" s="51"/>
      <c r="C436" s="52"/>
    </row>
    <row r="437" spans="2:3" ht="13.5" customHeight="1">
      <c r="B437" s="51"/>
      <c r="C437" s="52"/>
    </row>
    <row r="438" spans="2:3" ht="13.5" customHeight="1">
      <c r="B438" s="51"/>
      <c r="C438" s="52"/>
    </row>
    <row r="439" spans="2:3" ht="13.5" customHeight="1">
      <c r="B439" s="51"/>
      <c r="C439" s="52"/>
    </row>
    <row r="440" spans="2:3" ht="13.5" customHeight="1">
      <c r="B440" s="51"/>
      <c r="C440" s="52"/>
    </row>
    <row r="441" spans="2:3" ht="13.5" customHeight="1">
      <c r="B441" s="51"/>
      <c r="C441" s="52"/>
    </row>
    <row r="442" spans="2:3" ht="13.5" customHeight="1">
      <c r="B442" s="51"/>
      <c r="C442" s="52"/>
    </row>
    <row r="443" spans="2:3" ht="13.5" customHeight="1">
      <c r="B443" s="51"/>
      <c r="C443" s="52"/>
    </row>
    <row r="444" spans="2:3" ht="13.5" customHeight="1">
      <c r="B444" s="51"/>
      <c r="C444" s="52"/>
    </row>
    <row r="445" spans="2:3" ht="13.5" customHeight="1">
      <c r="B445" s="51"/>
      <c r="C445" s="52"/>
    </row>
    <row r="446" spans="2:3" ht="13.5" customHeight="1">
      <c r="B446" s="51"/>
      <c r="C446" s="52"/>
    </row>
    <row r="447" spans="2:3" ht="13.5" customHeight="1">
      <c r="B447" s="51"/>
      <c r="C447" s="52"/>
    </row>
    <row r="448" spans="2:3" ht="13.5" customHeight="1">
      <c r="B448" s="51"/>
      <c r="C448" s="52"/>
    </row>
    <row r="449" spans="2:3" ht="13.5" customHeight="1">
      <c r="B449" s="51"/>
      <c r="C449" s="52"/>
    </row>
    <row r="450" spans="2:3" ht="13.5" customHeight="1">
      <c r="B450" s="51"/>
      <c r="C450" s="52"/>
    </row>
    <row r="451" spans="2:3" ht="13.5" customHeight="1">
      <c r="B451" s="51"/>
      <c r="C451" s="52"/>
    </row>
    <row r="452" spans="2:3" ht="13.5" customHeight="1">
      <c r="B452" s="51"/>
      <c r="C452" s="52"/>
    </row>
    <row r="453" spans="2:3" ht="13.5" customHeight="1">
      <c r="B453" s="51"/>
      <c r="C453" s="52"/>
    </row>
    <row r="454" spans="2:3" ht="13.5" customHeight="1">
      <c r="B454" s="51"/>
      <c r="C454" s="52"/>
    </row>
    <row r="455" spans="2:3" ht="13.5" customHeight="1">
      <c r="B455" s="51"/>
      <c r="C455" s="52"/>
    </row>
    <row r="456" spans="2:3" ht="13.5" customHeight="1">
      <c r="B456" s="51"/>
      <c r="C456" s="52"/>
    </row>
    <row r="457" spans="2:3" ht="13.5" customHeight="1">
      <c r="B457" s="51"/>
      <c r="C457" s="52"/>
    </row>
    <row r="458" spans="2:3" ht="13.5" customHeight="1">
      <c r="B458" s="51"/>
      <c r="C458" s="52"/>
    </row>
    <row r="459" spans="2:3" ht="13.5" customHeight="1">
      <c r="B459" s="51"/>
      <c r="C459" s="52"/>
    </row>
    <row r="460" spans="2:3" ht="13.5" customHeight="1">
      <c r="B460" s="51"/>
      <c r="C460" s="52"/>
    </row>
    <row r="461" spans="2:3" ht="13.5" customHeight="1">
      <c r="B461" s="51"/>
      <c r="C461" s="52"/>
    </row>
    <row r="462" spans="2:3" ht="13.5" customHeight="1">
      <c r="B462" s="51"/>
      <c r="C462" s="52"/>
    </row>
    <row r="463" spans="2:3" ht="13.5" customHeight="1">
      <c r="B463" s="51"/>
      <c r="C463" s="52"/>
    </row>
    <row r="464" spans="2:3" ht="13.5" customHeight="1">
      <c r="B464" s="51"/>
      <c r="C464" s="52"/>
    </row>
    <row r="465" spans="2:3" ht="13.5" customHeight="1">
      <c r="B465" s="51"/>
      <c r="C465" s="52"/>
    </row>
    <row r="466" spans="2:3" ht="13.5" customHeight="1">
      <c r="B466" s="51"/>
      <c r="C466" s="52"/>
    </row>
    <row r="467" spans="2:3" ht="13.5" customHeight="1">
      <c r="B467" s="51"/>
      <c r="C467" s="52"/>
    </row>
    <row r="468" spans="2:3" ht="13.5" customHeight="1">
      <c r="B468" s="51"/>
      <c r="C468" s="52"/>
    </row>
    <row r="469" spans="2:3" ht="13.5" customHeight="1">
      <c r="B469" s="51"/>
      <c r="C469" s="52"/>
    </row>
    <row r="470" spans="2:3" ht="13.5" customHeight="1">
      <c r="B470" s="51"/>
      <c r="C470" s="52"/>
    </row>
    <row r="471" spans="2:3" ht="13.5" customHeight="1">
      <c r="B471" s="51"/>
      <c r="C471" s="52"/>
    </row>
    <row r="472" spans="2:3" ht="13.5" customHeight="1">
      <c r="B472" s="51"/>
      <c r="C472" s="52"/>
    </row>
    <row r="473" spans="2:3" ht="13.5" customHeight="1">
      <c r="B473" s="51"/>
      <c r="C473" s="52"/>
    </row>
    <row r="474" spans="2:3" ht="13.5" customHeight="1">
      <c r="B474" s="51"/>
      <c r="C474" s="52"/>
    </row>
    <row r="475" spans="2:3" ht="13.5" customHeight="1">
      <c r="B475" s="51"/>
      <c r="C475" s="52"/>
    </row>
    <row r="476" spans="2:3" ht="13.5" customHeight="1">
      <c r="B476" s="51"/>
      <c r="C476" s="52"/>
    </row>
    <row r="477" spans="2:3" ht="13.5" customHeight="1">
      <c r="B477" s="51"/>
      <c r="C477" s="52"/>
    </row>
    <row r="478" spans="2:3" ht="13.5" customHeight="1">
      <c r="B478" s="51"/>
      <c r="C478" s="52"/>
    </row>
    <row r="479" spans="2:3" ht="13.5" customHeight="1">
      <c r="B479" s="51"/>
      <c r="C479" s="52"/>
    </row>
    <row r="480" spans="2:3" ht="13.5" customHeight="1">
      <c r="B480" s="51"/>
      <c r="C480" s="52"/>
    </row>
    <row r="481" spans="2:3" ht="13.5" customHeight="1">
      <c r="B481" s="51"/>
      <c r="C481" s="52"/>
    </row>
    <row r="482" spans="2:3" ht="13.5" customHeight="1">
      <c r="B482" s="51"/>
      <c r="C482" s="52"/>
    </row>
    <row r="483" spans="2:3" ht="13.5" customHeight="1">
      <c r="B483" s="51"/>
      <c r="C483" s="52"/>
    </row>
    <row r="484" spans="2:3" ht="13.5" customHeight="1">
      <c r="B484" s="51"/>
      <c r="C484" s="52"/>
    </row>
    <row r="485" spans="2:3" ht="13.5" customHeight="1">
      <c r="B485" s="51"/>
      <c r="C485" s="52"/>
    </row>
    <row r="486" spans="2:3" ht="13.5" customHeight="1">
      <c r="B486" s="51"/>
      <c r="C486" s="52"/>
    </row>
    <row r="487" spans="2:3" ht="13.5" customHeight="1">
      <c r="B487" s="51"/>
      <c r="C487" s="52"/>
    </row>
    <row r="488" spans="2:3" ht="13.5" customHeight="1">
      <c r="B488" s="51"/>
      <c r="C488" s="52"/>
    </row>
    <row r="489" spans="2:3" ht="13.5" customHeight="1">
      <c r="B489" s="51"/>
      <c r="C489" s="52"/>
    </row>
    <row r="490" spans="2:3" ht="13.5" customHeight="1">
      <c r="B490" s="51"/>
      <c r="C490" s="52"/>
    </row>
    <row r="491" spans="2:3" ht="13.5" customHeight="1">
      <c r="B491" s="51"/>
      <c r="C491" s="52"/>
    </row>
    <row r="492" spans="2:3" ht="13.5" customHeight="1">
      <c r="B492" s="51"/>
      <c r="C492" s="52"/>
    </row>
    <row r="493" spans="2:3" ht="13.5" customHeight="1">
      <c r="B493" s="51"/>
      <c r="C493" s="52"/>
    </row>
    <row r="494" spans="2:3" ht="13.5" customHeight="1">
      <c r="B494" s="51"/>
      <c r="C494" s="52"/>
    </row>
    <row r="495" spans="2:3" ht="13.5" customHeight="1">
      <c r="B495" s="51"/>
      <c r="C495" s="52"/>
    </row>
    <row r="496" spans="2:3" ht="13.5" customHeight="1">
      <c r="B496" s="51"/>
      <c r="C496" s="52"/>
    </row>
    <row r="497" spans="2:3" ht="13.5" customHeight="1">
      <c r="B497" s="51"/>
      <c r="C497" s="52"/>
    </row>
    <row r="498" spans="2:3" ht="13.5" customHeight="1">
      <c r="B498" s="51"/>
      <c r="C498" s="52"/>
    </row>
    <row r="499" spans="2:3" ht="13.5" customHeight="1">
      <c r="B499" s="51"/>
      <c r="C499" s="52"/>
    </row>
    <row r="500" spans="2:3" ht="13.5" customHeight="1">
      <c r="B500" s="51"/>
      <c r="C500" s="52"/>
    </row>
    <row r="501" spans="2:3" ht="13.5" customHeight="1">
      <c r="B501" s="51"/>
      <c r="C501" s="52"/>
    </row>
    <row r="502" spans="2:3" ht="13.5" customHeight="1">
      <c r="B502" s="51"/>
      <c r="C502" s="52"/>
    </row>
    <row r="503" spans="2:3" ht="13.5" customHeight="1">
      <c r="B503" s="51"/>
      <c r="C503" s="52"/>
    </row>
    <row r="504" spans="2:3" ht="13.5" customHeight="1">
      <c r="B504" s="51"/>
      <c r="C504" s="52"/>
    </row>
    <row r="505" spans="2:3" ht="13.5" customHeight="1">
      <c r="B505" s="51"/>
      <c r="C505" s="52"/>
    </row>
    <row r="506" spans="2:3" ht="13.5" customHeight="1">
      <c r="B506" s="51"/>
      <c r="C506" s="52"/>
    </row>
    <row r="507" spans="2:3" ht="13.5" customHeight="1">
      <c r="B507" s="51"/>
      <c r="C507" s="52"/>
    </row>
    <row r="508" spans="2:3" ht="13.5" customHeight="1">
      <c r="B508" s="51"/>
      <c r="C508" s="52"/>
    </row>
    <row r="509" spans="2:3" ht="13.5" customHeight="1">
      <c r="B509" s="51"/>
      <c r="C509" s="52"/>
    </row>
    <row r="510" spans="2:3" ht="13.5" customHeight="1">
      <c r="B510" s="51"/>
      <c r="C510" s="52"/>
    </row>
    <row r="511" spans="2:3" ht="13.5" customHeight="1">
      <c r="B511" s="51"/>
      <c r="C511" s="52"/>
    </row>
    <row r="512" spans="2:3" ht="13.5" customHeight="1">
      <c r="B512" s="51"/>
      <c r="C512" s="52"/>
    </row>
    <row r="513" spans="2:3" ht="13.5" customHeight="1">
      <c r="B513" s="51"/>
      <c r="C513" s="52"/>
    </row>
    <row r="514" spans="2:3" ht="13.5" customHeight="1">
      <c r="B514" s="51"/>
      <c r="C514" s="52"/>
    </row>
    <row r="515" spans="2:3" ht="13.5" customHeight="1">
      <c r="B515" s="51"/>
      <c r="C515" s="52"/>
    </row>
    <row r="516" spans="2:3" ht="13.5" customHeight="1">
      <c r="B516" s="51"/>
      <c r="C516" s="52"/>
    </row>
    <row r="517" spans="2:3" ht="13.5" customHeight="1">
      <c r="B517" s="51"/>
      <c r="C517" s="52"/>
    </row>
    <row r="518" spans="2:3" ht="13.5" customHeight="1">
      <c r="B518" s="51"/>
      <c r="C518" s="52"/>
    </row>
    <row r="519" spans="2:3" ht="13.5" customHeight="1">
      <c r="B519" s="51"/>
      <c r="C519" s="52"/>
    </row>
    <row r="520" spans="2:3" ht="13.5" customHeight="1">
      <c r="B520" s="51"/>
      <c r="C520" s="52"/>
    </row>
    <row r="521" spans="2:3" ht="13.5" customHeight="1">
      <c r="B521" s="51"/>
      <c r="C521" s="52"/>
    </row>
    <row r="522" spans="2:3" ht="13.5" customHeight="1">
      <c r="B522" s="51"/>
      <c r="C522" s="52"/>
    </row>
    <row r="523" spans="2:3" ht="13.5" customHeight="1">
      <c r="B523" s="51"/>
      <c r="C523" s="52"/>
    </row>
    <row r="524" spans="2:3" ht="13.5" customHeight="1">
      <c r="B524" s="51"/>
      <c r="C524" s="52"/>
    </row>
    <row r="525" spans="2:3" ht="13.5" customHeight="1">
      <c r="B525" s="51"/>
      <c r="C525" s="52"/>
    </row>
    <row r="526" spans="2:3" ht="13.5" customHeight="1">
      <c r="B526" s="51"/>
      <c r="C526" s="52"/>
    </row>
    <row r="527" spans="2:3" ht="13.5" customHeight="1">
      <c r="B527" s="51"/>
      <c r="C527" s="52"/>
    </row>
    <row r="528" spans="2:3" ht="13.5" customHeight="1">
      <c r="B528" s="51"/>
      <c r="C528" s="52"/>
    </row>
    <row r="529" spans="2:3" ht="13.5" customHeight="1">
      <c r="B529" s="51"/>
      <c r="C529" s="52"/>
    </row>
    <row r="530" spans="2:3" ht="13.5" customHeight="1">
      <c r="B530" s="51"/>
      <c r="C530" s="52"/>
    </row>
    <row r="531" spans="2:3" ht="13.5" customHeight="1">
      <c r="B531" s="51"/>
      <c r="C531" s="52"/>
    </row>
    <row r="532" spans="2:3" ht="13.5" customHeight="1">
      <c r="B532" s="51"/>
      <c r="C532" s="52"/>
    </row>
    <row r="533" spans="2:3" ht="13.5" customHeight="1">
      <c r="B533" s="51"/>
      <c r="C533" s="52"/>
    </row>
    <row r="534" spans="2:3" ht="13.5" customHeight="1">
      <c r="B534" s="51"/>
      <c r="C534" s="52"/>
    </row>
    <row r="535" spans="2:3" ht="13.5" customHeight="1">
      <c r="B535" s="51"/>
      <c r="C535" s="52"/>
    </row>
    <row r="536" spans="2:3" ht="13.5" customHeight="1">
      <c r="B536" s="51"/>
      <c r="C536" s="52"/>
    </row>
    <row r="537" spans="2:3" ht="13.5" customHeight="1">
      <c r="B537" s="51"/>
      <c r="C537" s="52"/>
    </row>
    <row r="538" spans="2:3" ht="13.5" customHeight="1">
      <c r="B538" s="51"/>
      <c r="C538" s="52"/>
    </row>
    <row r="539" spans="2:3" ht="13.5" customHeight="1">
      <c r="B539" s="51"/>
      <c r="C539" s="52"/>
    </row>
    <row r="540" spans="2:3" ht="13.5" customHeight="1">
      <c r="B540" s="51"/>
      <c r="C540" s="52"/>
    </row>
    <row r="541" spans="2:3" ht="13.5" customHeight="1">
      <c r="B541" s="51"/>
      <c r="C541" s="52"/>
    </row>
    <row r="542" spans="2:3" ht="13.5" customHeight="1">
      <c r="B542" s="51"/>
      <c r="C542" s="52"/>
    </row>
    <row r="543" spans="2:3" ht="13.5" customHeight="1">
      <c r="B543" s="51"/>
      <c r="C543" s="52"/>
    </row>
    <row r="544" spans="2:3" ht="13.5" customHeight="1">
      <c r="B544" s="51"/>
      <c r="C544" s="52"/>
    </row>
    <row r="545" spans="2:3" ht="13.5" customHeight="1">
      <c r="B545" s="51"/>
      <c r="C545" s="52"/>
    </row>
    <row r="546" spans="2:3" ht="13.5" customHeight="1">
      <c r="B546" s="51"/>
      <c r="C546" s="52"/>
    </row>
    <row r="547" spans="2:3" ht="13.5" customHeight="1">
      <c r="B547" s="51"/>
      <c r="C547" s="52"/>
    </row>
    <row r="548" spans="2:3" ht="13.5" customHeight="1">
      <c r="B548" s="51"/>
      <c r="C548" s="52"/>
    </row>
    <row r="549" spans="2:3" ht="13.5" customHeight="1">
      <c r="B549" s="51"/>
      <c r="C549" s="52"/>
    </row>
    <row r="550" spans="2:3" ht="13.5" customHeight="1">
      <c r="B550" s="51"/>
      <c r="C550" s="52"/>
    </row>
    <row r="551" spans="2:3" ht="13.5" customHeight="1">
      <c r="B551" s="51"/>
      <c r="C551" s="52"/>
    </row>
    <row r="552" spans="2:3" ht="13.5" customHeight="1">
      <c r="B552" s="51"/>
      <c r="C552" s="52"/>
    </row>
    <row r="553" spans="2:3" ht="13.5" customHeight="1">
      <c r="B553" s="51"/>
      <c r="C553" s="52"/>
    </row>
    <row r="554" spans="2:3" ht="13.5" customHeight="1">
      <c r="B554" s="51"/>
      <c r="C554" s="52"/>
    </row>
    <row r="555" spans="2:3" ht="13.5" customHeight="1">
      <c r="B555" s="51"/>
      <c r="C555" s="52"/>
    </row>
    <row r="556" spans="2:3" ht="13.5" customHeight="1">
      <c r="B556" s="51"/>
      <c r="C556" s="52"/>
    </row>
    <row r="557" spans="2:3" ht="13.5" customHeight="1">
      <c r="B557" s="51"/>
      <c r="C557" s="52"/>
    </row>
    <row r="558" spans="2:3" ht="13.5" customHeight="1">
      <c r="B558" s="51"/>
      <c r="C558" s="52"/>
    </row>
    <row r="559" spans="2:3" ht="13.5" customHeight="1">
      <c r="B559" s="51"/>
      <c r="C559" s="52"/>
    </row>
    <row r="560" spans="2:3" ht="13.5" customHeight="1">
      <c r="B560" s="51"/>
      <c r="C560" s="52"/>
    </row>
    <row r="561" spans="2:3" ht="13.5" customHeight="1">
      <c r="B561" s="51"/>
      <c r="C561" s="52"/>
    </row>
    <row r="562" spans="2:3" ht="13.5" customHeight="1">
      <c r="B562" s="51"/>
      <c r="C562" s="52"/>
    </row>
    <row r="563" spans="2:3" ht="13.5" customHeight="1">
      <c r="B563" s="51"/>
      <c r="C563" s="52"/>
    </row>
    <row r="564" spans="2:3" ht="13.5" customHeight="1">
      <c r="B564" s="51"/>
      <c r="C564" s="52"/>
    </row>
    <row r="565" spans="2:3" ht="13.5" customHeight="1">
      <c r="B565" s="51"/>
      <c r="C565" s="52"/>
    </row>
    <row r="566" spans="2:3" ht="13.5" customHeight="1">
      <c r="B566" s="51"/>
      <c r="C566" s="52"/>
    </row>
    <row r="567" spans="2:3" ht="13.5" customHeight="1">
      <c r="B567" s="51"/>
      <c r="C567" s="52"/>
    </row>
    <row r="568" spans="2:3" ht="13.5" customHeight="1">
      <c r="B568" s="51"/>
      <c r="C568" s="52"/>
    </row>
    <row r="569" spans="2:3" ht="13.5" customHeight="1">
      <c r="B569" s="51"/>
      <c r="C569" s="52"/>
    </row>
    <row r="570" spans="2:3" ht="13.5" customHeight="1">
      <c r="B570" s="51"/>
      <c r="C570" s="52"/>
    </row>
    <row r="571" spans="2:3" ht="13.5" customHeight="1">
      <c r="B571" s="51"/>
      <c r="C571" s="52"/>
    </row>
    <row r="572" spans="2:3" ht="13.5" customHeight="1">
      <c r="B572" s="51"/>
      <c r="C572" s="52"/>
    </row>
    <row r="573" spans="2:3" ht="13.5" customHeight="1">
      <c r="B573" s="51"/>
      <c r="C573" s="52"/>
    </row>
    <row r="574" spans="2:3" ht="13.5" customHeight="1">
      <c r="B574" s="51"/>
      <c r="C574" s="52"/>
    </row>
    <row r="575" spans="2:3" ht="13.5" customHeight="1">
      <c r="B575" s="51"/>
      <c r="C575" s="52"/>
    </row>
    <row r="576" spans="2:3" ht="13.5" customHeight="1">
      <c r="B576" s="51"/>
      <c r="C576" s="52"/>
    </row>
    <row r="577" spans="2:3" ht="13.5" customHeight="1">
      <c r="B577" s="51"/>
      <c r="C577" s="52"/>
    </row>
    <row r="578" spans="2:3" ht="13.5" customHeight="1">
      <c r="B578" s="51"/>
      <c r="C578" s="52"/>
    </row>
    <row r="579" spans="2:3" ht="13.5" customHeight="1">
      <c r="B579" s="51"/>
      <c r="C579" s="52"/>
    </row>
    <row r="580" spans="2:3" ht="13.5" customHeight="1">
      <c r="B580" s="51"/>
      <c r="C580" s="52"/>
    </row>
    <row r="581" spans="2:3" ht="13.5" customHeight="1">
      <c r="B581" s="51"/>
      <c r="C581" s="52"/>
    </row>
    <row r="582" spans="2:3" ht="13.5" customHeight="1">
      <c r="B582" s="51"/>
      <c r="C582" s="52"/>
    </row>
    <row r="583" spans="2:3" ht="13.5" customHeight="1">
      <c r="B583" s="51"/>
      <c r="C583" s="52"/>
    </row>
    <row r="584" spans="2:3" ht="13.5" customHeight="1">
      <c r="B584" s="51"/>
      <c r="C584" s="52"/>
    </row>
    <row r="585" spans="2:3" ht="13.5" customHeight="1">
      <c r="B585" s="51"/>
      <c r="C585" s="52"/>
    </row>
    <row r="586" spans="2:3" ht="13.5" customHeight="1">
      <c r="B586" s="51"/>
      <c r="C586" s="52"/>
    </row>
    <row r="587" spans="2:3" ht="13.5" customHeight="1">
      <c r="B587" s="51"/>
      <c r="C587" s="52"/>
    </row>
    <row r="588" spans="2:3" ht="13.5" customHeight="1">
      <c r="B588" s="51"/>
      <c r="C588" s="52"/>
    </row>
    <row r="589" spans="2:3" ht="13.5" customHeight="1">
      <c r="B589" s="51"/>
      <c r="C589" s="52"/>
    </row>
    <row r="590" spans="2:3" ht="13.5" customHeight="1">
      <c r="B590" s="51"/>
      <c r="C590" s="52"/>
    </row>
    <row r="591" spans="2:3" ht="13.5" customHeight="1">
      <c r="B591" s="51"/>
      <c r="C591" s="52"/>
    </row>
    <row r="592" spans="2:3" ht="13.5" customHeight="1">
      <c r="B592" s="51"/>
      <c r="C592" s="52"/>
    </row>
    <row r="593" spans="2:3" ht="13.5" customHeight="1">
      <c r="B593" s="51"/>
      <c r="C593" s="52"/>
    </row>
    <row r="594" spans="2:3" ht="13.5" customHeight="1">
      <c r="B594" s="51"/>
      <c r="C594" s="52"/>
    </row>
    <row r="595" spans="2:3" ht="13.5" customHeight="1">
      <c r="B595" s="51"/>
      <c r="C595" s="52"/>
    </row>
    <row r="596" spans="2:3" ht="13.5" customHeight="1">
      <c r="B596" s="51"/>
      <c r="C596" s="52"/>
    </row>
    <row r="597" spans="2:3" ht="13.5" customHeight="1">
      <c r="B597" s="51"/>
      <c r="C597" s="52"/>
    </row>
    <row r="598" spans="2:3" ht="13.5" customHeight="1">
      <c r="B598" s="51"/>
      <c r="C598" s="52"/>
    </row>
    <row r="599" spans="2:3" ht="13.5" customHeight="1">
      <c r="B599" s="51"/>
      <c r="C599" s="52"/>
    </row>
    <row r="600" spans="2:3" ht="13.5" customHeight="1">
      <c r="B600" s="51"/>
      <c r="C600" s="52"/>
    </row>
    <row r="601" spans="2:3" ht="13.5" customHeight="1">
      <c r="B601" s="51"/>
      <c r="C601" s="52"/>
    </row>
    <row r="602" spans="2:3" ht="13.5" customHeight="1">
      <c r="B602" s="51"/>
      <c r="C602" s="52"/>
    </row>
    <row r="603" spans="2:3" ht="13.5" customHeight="1">
      <c r="B603" s="51"/>
      <c r="C603" s="52"/>
    </row>
    <row r="604" spans="2:3" ht="13.5" customHeight="1">
      <c r="B604" s="51"/>
      <c r="C604" s="52"/>
    </row>
    <row r="605" spans="2:3" ht="13.5" customHeight="1">
      <c r="B605" s="51"/>
      <c r="C605" s="52"/>
    </row>
    <row r="606" spans="2:3" ht="13.5" customHeight="1">
      <c r="B606" s="51"/>
      <c r="C606" s="52"/>
    </row>
    <row r="607" spans="2:3" ht="13.5" customHeight="1">
      <c r="B607" s="51"/>
      <c r="C607" s="52"/>
    </row>
    <row r="608" spans="2:3" ht="13.5" customHeight="1">
      <c r="B608" s="51"/>
      <c r="C608" s="52"/>
    </row>
    <row r="609" spans="2:3" ht="13.5" customHeight="1">
      <c r="B609" s="51"/>
      <c r="C609" s="52"/>
    </row>
    <row r="610" spans="2:3" ht="13.5" customHeight="1">
      <c r="B610" s="51"/>
      <c r="C610" s="52"/>
    </row>
    <row r="611" spans="2:3" ht="13.5" customHeight="1">
      <c r="B611" s="51"/>
      <c r="C611" s="52"/>
    </row>
    <row r="612" spans="2:3" ht="13.5" customHeight="1">
      <c r="B612" s="51"/>
      <c r="C612" s="52"/>
    </row>
    <row r="613" spans="2:3" ht="13.5" customHeight="1">
      <c r="B613" s="51"/>
      <c r="C613" s="52"/>
    </row>
    <row r="614" spans="2:3" ht="13.5" customHeight="1">
      <c r="B614" s="51"/>
      <c r="C614" s="52"/>
    </row>
    <row r="615" spans="2:3" ht="13.5" customHeight="1">
      <c r="B615" s="51"/>
      <c r="C615" s="52"/>
    </row>
    <row r="616" spans="2:3" ht="13.5" customHeight="1">
      <c r="B616" s="51"/>
      <c r="C616" s="52"/>
    </row>
    <row r="617" spans="2:3" ht="13.5" customHeight="1">
      <c r="B617" s="51"/>
      <c r="C617" s="52"/>
    </row>
    <row r="618" spans="2:3" ht="13.5" customHeight="1">
      <c r="B618" s="51"/>
      <c r="C618" s="52"/>
    </row>
    <row r="619" spans="2:3" ht="13.5" customHeight="1">
      <c r="B619" s="51"/>
      <c r="C619" s="52"/>
    </row>
    <row r="620" spans="2:3" ht="13.5" customHeight="1">
      <c r="B620" s="51"/>
      <c r="C620" s="52"/>
    </row>
    <row r="621" spans="2:3" ht="13.5" customHeight="1">
      <c r="B621" s="51"/>
      <c r="C621" s="52"/>
    </row>
    <row r="622" spans="2:3" ht="13.5" customHeight="1">
      <c r="B622" s="51"/>
      <c r="C622" s="52"/>
    </row>
    <row r="623" spans="2:3" ht="13.5" customHeight="1">
      <c r="B623" s="51"/>
      <c r="C623" s="52"/>
    </row>
    <row r="624" spans="2:3" ht="13.5" customHeight="1">
      <c r="B624" s="51"/>
      <c r="C624" s="52"/>
    </row>
    <row r="625" spans="2:3" ht="13.5" customHeight="1">
      <c r="B625" s="51"/>
      <c r="C625" s="52"/>
    </row>
    <row r="626" spans="2:3" ht="13.5" customHeight="1">
      <c r="B626" s="51"/>
      <c r="C626" s="52"/>
    </row>
    <row r="627" spans="2:3" ht="13.5" customHeight="1">
      <c r="B627" s="51"/>
      <c r="C627" s="52"/>
    </row>
    <row r="628" spans="2:3" ht="13.5" customHeight="1">
      <c r="B628" s="51"/>
      <c r="C628" s="52"/>
    </row>
    <row r="629" spans="2:3" ht="13.5" customHeight="1">
      <c r="B629" s="51"/>
      <c r="C629" s="52"/>
    </row>
    <row r="630" spans="2:3" ht="13.5" customHeight="1">
      <c r="B630" s="51"/>
      <c r="C630" s="52"/>
    </row>
    <row r="631" spans="2:3" ht="13.5" customHeight="1">
      <c r="B631" s="51"/>
      <c r="C631" s="52"/>
    </row>
    <row r="632" spans="2:3" ht="13.5" customHeight="1">
      <c r="B632" s="51"/>
      <c r="C632" s="52"/>
    </row>
    <row r="633" spans="2:3" ht="13.5" customHeight="1">
      <c r="B633" s="51"/>
      <c r="C633" s="52"/>
    </row>
    <row r="634" spans="2:3" ht="13.5" customHeight="1">
      <c r="B634" s="51"/>
      <c r="C634" s="52"/>
    </row>
    <row r="635" spans="2:3" ht="13.5" customHeight="1">
      <c r="B635" s="51"/>
      <c r="C635" s="52"/>
    </row>
    <row r="636" spans="2:3" ht="13.5" customHeight="1">
      <c r="B636" s="51"/>
      <c r="C636" s="52"/>
    </row>
    <row r="637" spans="2:3" ht="13.5" customHeight="1">
      <c r="B637" s="51"/>
      <c r="C637" s="52"/>
    </row>
    <row r="638" spans="2:3" ht="13.5" customHeight="1">
      <c r="B638" s="51"/>
      <c r="C638" s="52"/>
    </row>
    <row r="639" spans="2:3" ht="13.5" customHeight="1">
      <c r="B639" s="51"/>
      <c r="C639" s="52"/>
    </row>
    <row r="640" spans="2:3" ht="13.5" customHeight="1">
      <c r="B640" s="51"/>
      <c r="C640" s="52"/>
    </row>
    <row r="641" spans="2:3" ht="13.5" customHeight="1">
      <c r="B641" s="51"/>
      <c r="C641" s="52"/>
    </row>
    <row r="642" spans="2:3" ht="13.5" customHeight="1">
      <c r="B642" s="51"/>
      <c r="C642" s="52"/>
    </row>
    <row r="643" spans="2:3" ht="13.5" customHeight="1">
      <c r="B643" s="51"/>
      <c r="C643" s="52"/>
    </row>
    <row r="644" spans="2:3" ht="13.5" customHeight="1">
      <c r="B644" s="51"/>
      <c r="C644" s="52"/>
    </row>
    <row r="645" spans="2:3" ht="13.5" customHeight="1">
      <c r="B645" s="51"/>
      <c r="C645" s="52"/>
    </row>
    <row r="646" spans="2:3" ht="13.5" customHeight="1">
      <c r="B646" s="51"/>
      <c r="C646" s="52"/>
    </row>
    <row r="647" spans="2:3" ht="13.5" customHeight="1">
      <c r="B647" s="51"/>
      <c r="C647" s="52"/>
    </row>
    <row r="648" spans="2:3" ht="13.5" customHeight="1">
      <c r="B648" s="51"/>
      <c r="C648" s="52"/>
    </row>
    <row r="649" spans="2:3" ht="13.5" customHeight="1">
      <c r="B649" s="51"/>
      <c r="C649" s="52"/>
    </row>
    <row r="650" spans="2:3" ht="13.5" customHeight="1">
      <c r="B650" s="51"/>
      <c r="C650" s="52"/>
    </row>
    <row r="651" spans="2:3" ht="13.5" customHeight="1">
      <c r="B651" s="51"/>
      <c r="C651" s="52"/>
    </row>
    <row r="652" spans="2:3" ht="13.5" customHeight="1">
      <c r="B652" s="51"/>
      <c r="C652" s="52"/>
    </row>
    <row r="653" spans="2:3" ht="13.5" customHeight="1">
      <c r="B653" s="51"/>
      <c r="C653" s="52"/>
    </row>
    <row r="654" spans="2:3" ht="13.5" customHeight="1">
      <c r="B654" s="51"/>
      <c r="C654" s="52"/>
    </row>
    <row r="655" spans="2:3" ht="13.5" customHeight="1">
      <c r="B655" s="51"/>
      <c r="C655" s="52"/>
    </row>
    <row r="656" spans="2:3" ht="13.5" customHeight="1">
      <c r="B656" s="51"/>
      <c r="C656" s="52"/>
    </row>
    <row r="657" spans="2:3" ht="13.5" customHeight="1">
      <c r="B657" s="51"/>
      <c r="C657" s="52"/>
    </row>
    <row r="658" spans="2:3" ht="13.5" customHeight="1">
      <c r="B658" s="51"/>
      <c r="C658" s="52"/>
    </row>
    <row r="659" spans="2:3" ht="13.5" customHeight="1">
      <c r="B659" s="51"/>
      <c r="C659" s="52"/>
    </row>
    <row r="660" spans="2:3" ht="13.5" customHeight="1">
      <c r="B660" s="51"/>
      <c r="C660" s="52"/>
    </row>
    <row r="661" spans="2:3" ht="13.5" customHeight="1">
      <c r="B661" s="51"/>
      <c r="C661" s="52"/>
    </row>
    <row r="662" spans="2:3" ht="13.5" customHeight="1">
      <c r="B662" s="51"/>
      <c r="C662" s="52"/>
    </row>
    <row r="663" spans="2:3" ht="13.5" customHeight="1">
      <c r="B663" s="51"/>
      <c r="C663" s="52"/>
    </row>
    <row r="664" spans="2:3" ht="13.5" customHeight="1">
      <c r="B664" s="51"/>
      <c r="C664" s="52"/>
    </row>
    <row r="665" spans="2:3" ht="13.5" customHeight="1">
      <c r="B665" s="51"/>
      <c r="C665" s="52"/>
    </row>
    <row r="666" spans="2:3" ht="13.5" customHeight="1">
      <c r="B666" s="51"/>
      <c r="C666" s="52"/>
    </row>
    <row r="667" spans="2:3" ht="13.5" customHeight="1">
      <c r="B667" s="51"/>
      <c r="C667" s="52"/>
    </row>
    <row r="668" spans="2:3" ht="13.5" customHeight="1">
      <c r="B668" s="51"/>
      <c r="C668" s="52"/>
    </row>
    <row r="669" spans="2:3" ht="13.5" customHeight="1">
      <c r="B669" s="51"/>
      <c r="C669" s="52"/>
    </row>
    <row r="670" spans="2:3" ht="13.5" customHeight="1">
      <c r="B670" s="51"/>
      <c r="C670" s="52"/>
    </row>
    <row r="671" spans="2:3" ht="13.5" customHeight="1">
      <c r="B671" s="51"/>
      <c r="C671" s="52"/>
    </row>
    <row r="672" spans="2:3" ht="13.5" customHeight="1">
      <c r="B672" s="51"/>
      <c r="C672" s="52"/>
    </row>
    <row r="673" spans="2:3" ht="13.5" customHeight="1">
      <c r="B673" s="51"/>
      <c r="C673" s="52"/>
    </row>
    <row r="674" spans="2:3" ht="13.5" customHeight="1">
      <c r="B674" s="51"/>
      <c r="C674" s="52"/>
    </row>
    <row r="675" spans="2:3" ht="13.5" customHeight="1">
      <c r="B675" s="51"/>
      <c r="C675" s="52"/>
    </row>
    <row r="676" spans="2:3" ht="13.5" customHeight="1">
      <c r="B676" s="51"/>
      <c r="C676" s="52"/>
    </row>
    <row r="677" spans="2:3" ht="13.5" customHeight="1">
      <c r="B677" s="51"/>
      <c r="C677" s="52"/>
    </row>
    <row r="678" spans="2:3" ht="13.5" customHeight="1">
      <c r="B678" s="51"/>
      <c r="C678" s="52"/>
    </row>
    <row r="679" spans="2:3" ht="13.5" customHeight="1">
      <c r="B679" s="51"/>
      <c r="C679" s="52"/>
    </row>
    <row r="680" spans="2:3" ht="13.5" customHeight="1">
      <c r="B680" s="51"/>
      <c r="C680" s="52"/>
    </row>
    <row r="681" spans="2:3" ht="13.5" customHeight="1">
      <c r="B681" s="51"/>
      <c r="C681" s="52"/>
    </row>
    <row r="682" spans="2:3" ht="13.5" customHeight="1">
      <c r="B682" s="51"/>
      <c r="C682" s="52"/>
    </row>
    <row r="683" spans="2:3" ht="13.5" customHeight="1">
      <c r="B683" s="51"/>
      <c r="C683" s="52"/>
    </row>
    <row r="684" spans="2:3" ht="13.5" customHeight="1">
      <c r="B684" s="51"/>
      <c r="C684" s="52"/>
    </row>
    <row r="685" spans="2:3" ht="13.5" customHeight="1">
      <c r="B685" s="51"/>
      <c r="C685" s="52"/>
    </row>
    <row r="686" spans="2:3" ht="13.5" customHeight="1">
      <c r="B686" s="51"/>
      <c r="C686" s="52"/>
    </row>
    <row r="687" spans="2:3" ht="13.5" customHeight="1">
      <c r="B687" s="51"/>
      <c r="C687" s="52"/>
    </row>
    <row r="688" spans="2:3" ht="13.5" customHeight="1">
      <c r="B688" s="51"/>
      <c r="C688" s="52"/>
    </row>
    <row r="689" spans="2:3" ht="13.5" customHeight="1">
      <c r="B689" s="51"/>
      <c r="C689" s="52"/>
    </row>
    <row r="690" spans="2:3" ht="13.5" customHeight="1">
      <c r="B690" s="51"/>
      <c r="C690" s="52"/>
    </row>
    <row r="691" spans="2:3" ht="13.5" customHeight="1">
      <c r="B691" s="51"/>
      <c r="C691" s="52"/>
    </row>
    <row r="692" spans="2:3" ht="13.5" customHeight="1">
      <c r="B692" s="51"/>
      <c r="C692" s="52"/>
    </row>
    <row r="693" spans="2:3" ht="13.5" customHeight="1">
      <c r="B693" s="51"/>
      <c r="C693" s="52"/>
    </row>
    <row r="694" spans="2:3" ht="13.5" customHeight="1">
      <c r="B694" s="51"/>
      <c r="C694" s="52"/>
    </row>
    <row r="695" spans="2:3" ht="13.5" customHeight="1">
      <c r="B695" s="51"/>
      <c r="C695" s="52"/>
    </row>
    <row r="696" spans="2:3" ht="13.5" customHeight="1">
      <c r="B696" s="51"/>
      <c r="C696" s="52"/>
    </row>
    <row r="697" spans="2:3" ht="13.5" customHeight="1">
      <c r="B697" s="51"/>
      <c r="C697" s="52"/>
    </row>
    <row r="698" spans="2:3" ht="13.5" customHeight="1">
      <c r="B698" s="51"/>
      <c r="C698" s="52"/>
    </row>
    <row r="699" spans="2:3" ht="13.5" customHeight="1">
      <c r="B699" s="51"/>
      <c r="C699" s="52"/>
    </row>
    <row r="700" spans="2:3" ht="13.5" customHeight="1">
      <c r="B700" s="51"/>
      <c r="C700" s="52"/>
    </row>
    <row r="701" spans="2:3" ht="13.5" customHeight="1">
      <c r="B701" s="51"/>
      <c r="C701" s="52"/>
    </row>
    <row r="702" spans="2:3" ht="13.5" customHeight="1">
      <c r="B702" s="51"/>
      <c r="C702" s="52"/>
    </row>
    <row r="703" spans="2:3" ht="13.5" customHeight="1">
      <c r="B703" s="51"/>
      <c r="C703" s="52"/>
    </row>
    <row r="704" spans="2:3" ht="13.5" customHeight="1">
      <c r="B704" s="51"/>
      <c r="C704" s="52"/>
    </row>
    <row r="705" spans="2:3" ht="13.5" customHeight="1">
      <c r="B705" s="51"/>
      <c r="C705" s="52"/>
    </row>
    <row r="706" spans="2:3" ht="13.5" customHeight="1">
      <c r="B706" s="51"/>
      <c r="C706" s="52"/>
    </row>
    <row r="707" spans="2:3" ht="13.5" customHeight="1">
      <c r="B707" s="51"/>
      <c r="C707" s="52"/>
    </row>
    <row r="708" spans="2:3" ht="13.5" customHeight="1">
      <c r="B708" s="51"/>
      <c r="C708" s="52"/>
    </row>
    <row r="709" spans="2:3" ht="13.5" customHeight="1">
      <c r="B709" s="51"/>
      <c r="C709" s="52"/>
    </row>
    <row r="710" spans="2:3" ht="13.5" customHeight="1">
      <c r="B710" s="51"/>
      <c r="C710" s="52"/>
    </row>
    <row r="711" spans="2:3" ht="13.5" customHeight="1">
      <c r="B711" s="51"/>
      <c r="C711" s="52"/>
    </row>
    <row r="712" spans="2:3" ht="13.5" customHeight="1">
      <c r="B712" s="51"/>
      <c r="C712" s="52"/>
    </row>
    <row r="713" spans="2:3" ht="13.5" customHeight="1">
      <c r="B713" s="51"/>
      <c r="C713" s="52"/>
    </row>
    <row r="714" spans="2:3" ht="13.5" customHeight="1">
      <c r="B714" s="51"/>
      <c r="C714" s="52"/>
    </row>
    <row r="715" spans="2:3" ht="13.5" customHeight="1">
      <c r="B715" s="51"/>
      <c r="C715" s="52"/>
    </row>
    <row r="716" spans="2:3" ht="13.5" customHeight="1">
      <c r="B716" s="51"/>
      <c r="C716" s="52"/>
    </row>
    <row r="717" spans="2:3" ht="13.5" customHeight="1">
      <c r="B717" s="51"/>
      <c r="C717" s="52"/>
    </row>
    <row r="718" spans="2:3" ht="13.5" customHeight="1">
      <c r="B718" s="51"/>
      <c r="C718" s="52"/>
    </row>
    <row r="719" spans="2:3" ht="13.5" customHeight="1">
      <c r="B719" s="51"/>
      <c r="C719" s="52"/>
    </row>
    <row r="720" spans="2:3" ht="13.5" customHeight="1">
      <c r="B720" s="51"/>
      <c r="C720" s="52"/>
    </row>
    <row r="721" spans="2:3" ht="13.5" customHeight="1">
      <c r="B721" s="51"/>
      <c r="C721" s="52"/>
    </row>
    <row r="722" spans="2:3" ht="13.5" customHeight="1">
      <c r="B722" s="51"/>
      <c r="C722" s="52"/>
    </row>
    <row r="723" spans="2:3" ht="13.5" customHeight="1">
      <c r="B723" s="51"/>
      <c r="C723" s="52"/>
    </row>
    <row r="724" spans="2:3" ht="13.5" customHeight="1">
      <c r="B724" s="51"/>
      <c r="C724" s="52"/>
    </row>
    <row r="725" spans="2:3" ht="13.5" customHeight="1">
      <c r="B725" s="51"/>
      <c r="C725" s="52"/>
    </row>
    <row r="726" spans="2:3" ht="13.5" customHeight="1">
      <c r="B726" s="51"/>
      <c r="C726" s="52"/>
    </row>
    <row r="727" spans="2:3" ht="13.5" customHeight="1">
      <c r="B727" s="51"/>
      <c r="C727" s="52"/>
    </row>
    <row r="728" spans="2:3" ht="13.5" customHeight="1">
      <c r="B728" s="51"/>
      <c r="C728" s="52"/>
    </row>
    <row r="729" spans="2:3" ht="13.5" customHeight="1">
      <c r="B729" s="51"/>
      <c r="C729" s="52"/>
    </row>
    <row r="730" spans="2:3" ht="13.5" customHeight="1">
      <c r="B730" s="51"/>
      <c r="C730" s="52"/>
    </row>
    <row r="731" spans="2:3" ht="13.5" customHeight="1">
      <c r="B731" s="51"/>
      <c r="C731" s="52"/>
    </row>
    <row r="732" spans="2:3" ht="13.5" customHeight="1">
      <c r="B732" s="51"/>
      <c r="C732" s="52"/>
    </row>
    <row r="733" spans="2:3" ht="13.5" customHeight="1">
      <c r="B733" s="51"/>
      <c r="C733" s="52"/>
    </row>
    <row r="734" spans="2:3" ht="13.5" customHeight="1">
      <c r="B734" s="51"/>
      <c r="C734" s="52"/>
    </row>
    <row r="735" spans="2:3" ht="13.5" customHeight="1">
      <c r="B735" s="51"/>
      <c r="C735" s="52"/>
    </row>
    <row r="736" spans="2:3" ht="13.5" customHeight="1">
      <c r="B736" s="51"/>
      <c r="C736" s="52"/>
    </row>
    <row r="737" spans="2:3" ht="13.5" customHeight="1">
      <c r="B737" s="51"/>
      <c r="C737" s="52"/>
    </row>
    <row r="738" spans="2:3" ht="13.5" customHeight="1">
      <c r="B738" s="51"/>
      <c r="C738" s="52"/>
    </row>
    <row r="739" spans="2:3" ht="13.5" customHeight="1">
      <c r="B739" s="51"/>
      <c r="C739" s="52"/>
    </row>
    <row r="740" spans="2:3" ht="13.5" customHeight="1">
      <c r="B740" s="51"/>
      <c r="C740" s="52"/>
    </row>
    <row r="741" spans="2:3" ht="13.5" customHeight="1">
      <c r="B741" s="51"/>
      <c r="C741" s="52"/>
    </row>
    <row r="742" spans="2:3" ht="13.5" customHeight="1">
      <c r="B742" s="51"/>
      <c r="C742" s="52"/>
    </row>
    <row r="743" spans="2:3" ht="13.5" customHeight="1">
      <c r="B743" s="51"/>
      <c r="C743" s="52"/>
    </row>
    <row r="744" spans="2:3" ht="13.5" customHeight="1">
      <c r="B744" s="51"/>
      <c r="C744" s="52"/>
    </row>
    <row r="745" spans="2:3" ht="13.5" customHeight="1">
      <c r="B745" s="51"/>
      <c r="C745" s="52"/>
    </row>
    <row r="746" spans="2:3" ht="13.5" customHeight="1">
      <c r="B746" s="51"/>
      <c r="C746" s="52"/>
    </row>
    <row r="747" spans="2:3" ht="13.5" customHeight="1">
      <c r="B747" s="51"/>
      <c r="C747" s="52"/>
    </row>
    <row r="748" spans="2:3" ht="13.5" customHeight="1">
      <c r="B748" s="51"/>
      <c r="C748" s="52"/>
    </row>
    <row r="749" spans="2:3" ht="13.5" customHeight="1">
      <c r="B749" s="51"/>
      <c r="C749" s="52"/>
    </row>
    <row r="750" spans="2:3" ht="13.5" customHeight="1">
      <c r="B750" s="51"/>
      <c r="C750" s="52"/>
    </row>
    <row r="751" spans="2:3" ht="13.5" customHeight="1">
      <c r="B751" s="51"/>
      <c r="C751" s="52"/>
    </row>
    <row r="752" spans="2:3" ht="13.5" customHeight="1">
      <c r="B752" s="51"/>
      <c r="C752" s="52"/>
    </row>
    <row r="753" spans="2:3" ht="13.5" customHeight="1">
      <c r="B753" s="51"/>
      <c r="C753" s="52"/>
    </row>
    <row r="754" spans="2:3" ht="13.5" customHeight="1">
      <c r="B754" s="51"/>
      <c r="C754" s="52"/>
    </row>
    <row r="755" spans="2:3" ht="13.5" customHeight="1">
      <c r="B755" s="51"/>
      <c r="C755" s="52"/>
    </row>
    <row r="756" spans="2:3" ht="13.5" customHeight="1">
      <c r="B756" s="51"/>
      <c r="C756" s="52"/>
    </row>
    <row r="757" spans="2:3" ht="13.5" customHeight="1">
      <c r="B757" s="51"/>
      <c r="C757" s="52"/>
    </row>
    <row r="758" spans="2:3" ht="13.5" customHeight="1">
      <c r="B758" s="51"/>
      <c r="C758" s="52"/>
    </row>
    <row r="759" spans="2:3" ht="13.5" customHeight="1">
      <c r="B759" s="51"/>
      <c r="C759" s="52"/>
    </row>
    <row r="760" spans="2:3" ht="13.5" customHeight="1">
      <c r="B760" s="51"/>
      <c r="C760" s="52"/>
    </row>
    <row r="761" spans="2:3" ht="13.5" customHeight="1">
      <c r="B761" s="51"/>
      <c r="C761" s="52"/>
    </row>
    <row r="762" spans="2:3" ht="13.5" customHeight="1">
      <c r="B762" s="51"/>
      <c r="C762" s="52"/>
    </row>
    <row r="763" spans="2:3" ht="13.5" customHeight="1">
      <c r="B763" s="51"/>
      <c r="C763" s="52"/>
    </row>
    <row r="764" spans="2:3" ht="13.5" customHeight="1">
      <c r="B764" s="51"/>
      <c r="C764" s="52"/>
    </row>
    <row r="765" spans="2:3" ht="13.5" customHeight="1">
      <c r="B765" s="51"/>
      <c r="C765" s="52"/>
    </row>
    <row r="766" spans="2:3" ht="13.5" customHeight="1">
      <c r="B766" s="51"/>
      <c r="C766" s="52"/>
    </row>
    <row r="767" spans="2:3" ht="13.5" customHeight="1">
      <c r="B767" s="51"/>
      <c r="C767" s="52"/>
    </row>
    <row r="768" spans="2:3" ht="13.5" customHeight="1">
      <c r="B768" s="51"/>
      <c r="C768" s="52"/>
    </row>
    <row r="769" spans="2:3" ht="13.5" customHeight="1">
      <c r="B769" s="51"/>
      <c r="C769" s="52"/>
    </row>
    <row r="770" spans="2:3" ht="13.5" customHeight="1">
      <c r="B770" s="51"/>
      <c r="C770" s="52"/>
    </row>
    <row r="771" spans="2:3" ht="13.5" customHeight="1">
      <c r="B771" s="51"/>
      <c r="C771" s="52"/>
    </row>
    <row r="772" spans="2:3" ht="13.5" customHeight="1">
      <c r="B772" s="51"/>
      <c r="C772" s="52"/>
    </row>
    <row r="773" spans="2:3" ht="13.5" customHeight="1">
      <c r="B773" s="51"/>
      <c r="C773" s="52"/>
    </row>
    <row r="774" spans="2:3" ht="13.5" customHeight="1">
      <c r="B774" s="51"/>
      <c r="C774" s="52"/>
    </row>
    <row r="775" spans="2:3" ht="13.5" customHeight="1">
      <c r="B775" s="51"/>
      <c r="C775" s="52"/>
    </row>
    <row r="776" spans="2:3" ht="13.5" customHeight="1">
      <c r="B776" s="51"/>
      <c r="C776" s="52"/>
    </row>
    <row r="777" spans="2:3" ht="13.5" customHeight="1">
      <c r="B777" s="51"/>
      <c r="C777" s="52"/>
    </row>
    <row r="778" spans="2:3" ht="13.5" customHeight="1">
      <c r="B778" s="51"/>
      <c r="C778" s="52"/>
    </row>
    <row r="779" spans="2:3" ht="13.5" customHeight="1">
      <c r="B779" s="51"/>
      <c r="C779" s="52"/>
    </row>
    <row r="780" spans="2:3" ht="13.5" customHeight="1">
      <c r="B780" s="51"/>
      <c r="C780" s="52"/>
    </row>
    <row r="781" spans="2:3" ht="13.5" customHeight="1">
      <c r="B781" s="51"/>
      <c r="C781" s="52"/>
    </row>
    <row r="782" spans="2:3" ht="13.5" customHeight="1">
      <c r="B782" s="51"/>
      <c r="C782" s="52"/>
    </row>
    <row r="783" spans="2:3" ht="13.5" customHeight="1">
      <c r="B783" s="51"/>
      <c r="C783" s="52"/>
    </row>
    <row r="784" spans="2:3" ht="13.5" customHeight="1">
      <c r="B784" s="51"/>
      <c r="C784" s="52"/>
    </row>
    <row r="785" spans="2:3" ht="13.5" customHeight="1">
      <c r="B785" s="51"/>
      <c r="C785" s="52"/>
    </row>
    <row r="786" spans="2:3" ht="13.5" customHeight="1">
      <c r="B786" s="51"/>
      <c r="C786" s="52"/>
    </row>
    <row r="787" spans="2:3" ht="13.5" customHeight="1">
      <c r="B787" s="51"/>
      <c r="C787" s="52"/>
    </row>
    <row r="788" spans="2:3" ht="13.5" customHeight="1">
      <c r="B788" s="51"/>
      <c r="C788" s="52"/>
    </row>
    <row r="789" spans="2:3" ht="13.5" customHeight="1">
      <c r="B789" s="51"/>
      <c r="C789" s="52"/>
    </row>
    <row r="790" spans="2:3" ht="13.5" customHeight="1">
      <c r="B790" s="51"/>
      <c r="C790" s="52"/>
    </row>
    <row r="791" spans="2:3" ht="13.5" customHeight="1">
      <c r="B791" s="51"/>
      <c r="C791" s="52"/>
    </row>
    <row r="792" spans="2:3" ht="13.5" customHeight="1">
      <c r="B792" s="51"/>
      <c r="C792" s="52"/>
    </row>
    <row r="793" spans="2:3" ht="13.5" customHeight="1">
      <c r="B793" s="51"/>
      <c r="C793" s="52"/>
    </row>
    <row r="794" spans="2:3" ht="13.5" customHeight="1">
      <c r="B794" s="51"/>
      <c r="C794" s="52"/>
    </row>
    <row r="795" spans="2:3" ht="13.5" customHeight="1">
      <c r="B795" s="51"/>
      <c r="C795" s="52"/>
    </row>
    <row r="796" spans="2:3" ht="13.5" customHeight="1">
      <c r="B796" s="51"/>
      <c r="C796" s="52"/>
    </row>
    <row r="797" spans="2:3" ht="13.5" customHeight="1">
      <c r="B797" s="51"/>
      <c r="C797" s="52"/>
    </row>
    <row r="798" spans="2:3" ht="13.5" customHeight="1">
      <c r="B798" s="51"/>
      <c r="C798" s="52"/>
    </row>
    <row r="799" spans="2:3" ht="13.5" customHeight="1">
      <c r="B799" s="51"/>
      <c r="C799" s="52"/>
    </row>
    <row r="800" spans="2:3" ht="13.5" customHeight="1">
      <c r="B800" s="51"/>
      <c r="C800" s="52"/>
    </row>
    <row r="801" spans="2:3" ht="13.5" customHeight="1">
      <c r="B801" s="51"/>
      <c r="C801" s="52"/>
    </row>
    <row r="802" spans="2:3" ht="13.5" customHeight="1">
      <c r="B802" s="51"/>
      <c r="C802" s="52"/>
    </row>
    <row r="803" spans="2:3" ht="13.5" customHeight="1">
      <c r="B803" s="51"/>
      <c r="C803" s="52"/>
    </row>
    <row r="804" spans="2:3" ht="13.5" customHeight="1">
      <c r="B804" s="51"/>
      <c r="C804" s="52"/>
    </row>
    <row r="805" spans="2:3" ht="13.5" customHeight="1">
      <c r="B805" s="51"/>
      <c r="C805" s="52"/>
    </row>
    <row r="806" spans="2:3" ht="13.5" customHeight="1">
      <c r="B806" s="51"/>
      <c r="C806" s="52"/>
    </row>
    <row r="807" spans="2:3" ht="13.5" customHeight="1">
      <c r="B807" s="51"/>
      <c r="C807" s="52"/>
    </row>
    <row r="808" spans="2:3" ht="13.5" customHeight="1">
      <c r="B808" s="51"/>
      <c r="C808" s="52"/>
    </row>
    <row r="809" spans="2:3" ht="13.5" customHeight="1">
      <c r="B809" s="51"/>
      <c r="C809" s="52"/>
    </row>
    <row r="810" spans="2:3" ht="13.5" customHeight="1">
      <c r="B810" s="51"/>
      <c r="C810" s="52"/>
    </row>
    <row r="811" spans="2:3" ht="13.5" customHeight="1">
      <c r="B811" s="51"/>
      <c r="C811" s="52"/>
    </row>
    <row r="812" spans="2:3" ht="13.5" customHeight="1">
      <c r="B812" s="51"/>
      <c r="C812" s="52"/>
    </row>
    <row r="813" spans="2:3" ht="13.5" customHeight="1">
      <c r="B813" s="51"/>
      <c r="C813" s="52"/>
    </row>
    <row r="814" spans="2:3" ht="13.5" customHeight="1">
      <c r="B814" s="51"/>
      <c r="C814" s="52"/>
    </row>
    <row r="815" spans="2:3" ht="13.5" customHeight="1">
      <c r="B815" s="51"/>
      <c r="C815" s="52"/>
    </row>
    <row r="816" spans="2:3" ht="13.5" customHeight="1">
      <c r="B816" s="51"/>
      <c r="C816" s="52"/>
    </row>
    <row r="817" spans="2:3" ht="13.5" customHeight="1">
      <c r="B817" s="51"/>
      <c r="C817" s="52"/>
    </row>
    <row r="818" spans="2:3" ht="13.5" customHeight="1">
      <c r="B818" s="51"/>
      <c r="C818" s="52"/>
    </row>
    <row r="819" spans="2:3" ht="13.5" customHeight="1">
      <c r="B819" s="51"/>
      <c r="C819" s="52"/>
    </row>
    <row r="820" spans="2:3" ht="13.5" customHeight="1">
      <c r="B820" s="51"/>
      <c r="C820" s="52"/>
    </row>
    <row r="821" spans="2:3" ht="13.5" customHeight="1">
      <c r="B821" s="51"/>
      <c r="C821" s="52"/>
    </row>
    <row r="822" spans="2:3" ht="13.5" customHeight="1">
      <c r="B822" s="51"/>
      <c r="C822" s="52"/>
    </row>
    <row r="823" spans="2:3" ht="13.5" customHeight="1">
      <c r="B823" s="51"/>
      <c r="C823" s="52"/>
    </row>
    <row r="824" spans="2:3" ht="13.5" customHeight="1">
      <c r="B824" s="51"/>
      <c r="C824" s="52"/>
    </row>
    <row r="825" spans="2:3" ht="13.5" customHeight="1">
      <c r="B825" s="51"/>
      <c r="C825" s="52"/>
    </row>
    <row r="826" spans="2:3" ht="13.5" customHeight="1">
      <c r="B826" s="51"/>
      <c r="C826" s="52"/>
    </row>
    <row r="827" spans="2:3" ht="13.5" customHeight="1">
      <c r="B827" s="51"/>
      <c r="C827" s="52"/>
    </row>
    <row r="828" spans="2:3" ht="13.5" customHeight="1">
      <c r="B828" s="51"/>
      <c r="C828" s="52"/>
    </row>
    <row r="829" spans="2:3" ht="13.5" customHeight="1">
      <c r="B829" s="51"/>
      <c r="C829" s="52"/>
    </row>
    <row r="830" spans="2:3" ht="13.5" customHeight="1">
      <c r="B830" s="51"/>
      <c r="C830" s="52"/>
    </row>
    <row r="831" spans="2:3" ht="13.5" customHeight="1">
      <c r="B831" s="51"/>
      <c r="C831" s="52"/>
    </row>
    <row r="832" spans="2:3" ht="13.5" customHeight="1">
      <c r="B832" s="51"/>
      <c r="C832" s="52"/>
    </row>
    <row r="833" spans="2:3" ht="13.5" customHeight="1">
      <c r="B833" s="51"/>
      <c r="C833" s="52"/>
    </row>
    <row r="834" spans="2:3" ht="13.5" customHeight="1">
      <c r="B834" s="51"/>
      <c r="C834" s="52"/>
    </row>
    <row r="835" spans="2:3" ht="13.5" customHeight="1">
      <c r="B835" s="51"/>
      <c r="C835" s="52"/>
    </row>
    <row r="836" spans="2:3" ht="13.5" customHeight="1">
      <c r="B836" s="51"/>
      <c r="C836" s="52"/>
    </row>
    <row r="837" spans="2:3" ht="13.5" customHeight="1">
      <c r="B837" s="51"/>
      <c r="C837" s="52"/>
    </row>
    <row r="838" spans="2:3" ht="13.5" customHeight="1">
      <c r="B838" s="51"/>
      <c r="C838" s="52"/>
    </row>
    <row r="839" spans="2:3" ht="13.5" customHeight="1">
      <c r="B839" s="51"/>
      <c r="C839" s="52"/>
    </row>
    <row r="840" spans="2:3" ht="13.5" customHeight="1">
      <c r="B840" s="51"/>
      <c r="C840" s="52"/>
    </row>
    <row r="841" spans="2:3" ht="13.5" customHeight="1">
      <c r="B841" s="51"/>
      <c r="C841" s="52"/>
    </row>
    <row r="842" spans="2:3" ht="13.5" customHeight="1">
      <c r="B842" s="51"/>
      <c r="C842" s="52"/>
    </row>
    <row r="843" spans="2:3" ht="13.5" customHeight="1">
      <c r="B843" s="51"/>
      <c r="C843" s="52"/>
    </row>
    <row r="844" spans="2:3" ht="13.5" customHeight="1">
      <c r="B844" s="51"/>
      <c r="C844" s="52"/>
    </row>
    <row r="845" spans="2:3" ht="13.5" customHeight="1">
      <c r="B845" s="51"/>
      <c r="C845" s="52"/>
    </row>
    <row r="846" spans="2:3" ht="13.5" customHeight="1">
      <c r="B846" s="51"/>
      <c r="C846" s="52"/>
    </row>
    <row r="847" spans="2:3" ht="13.5" customHeight="1">
      <c r="B847" s="51"/>
      <c r="C847" s="52"/>
    </row>
    <row r="848" spans="2:3" ht="13.5" customHeight="1">
      <c r="B848" s="51"/>
      <c r="C848" s="52"/>
    </row>
    <row r="849" spans="2:3" ht="13.5" customHeight="1">
      <c r="B849" s="51"/>
      <c r="C849" s="52"/>
    </row>
    <row r="850" spans="2:3" ht="13.5" customHeight="1">
      <c r="B850" s="51"/>
      <c r="C850" s="52"/>
    </row>
    <row r="851" spans="2:3" ht="13.5" customHeight="1">
      <c r="B851" s="51"/>
      <c r="C851" s="52"/>
    </row>
    <row r="852" spans="2:3" ht="13.5" customHeight="1">
      <c r="B852" s="51"/>
      <c r="C852" s="52"/>
    </row>
    <row r="853" spans="2:3" ht="13.5" customHeight="1">
      <c r="B853" s="51"/>
      <c r="C853" s="52"/>
    </row>
    <row r="854" spans="2:3" ht="13.5" customHeight="1">
      <c r="B854" s="51"/>
      <c r="C854" s="52"/>
    </row>
    <row r="855" spans="2:3" ht="13.5" customHeight="1">
      <c r="B855" s="51"/>
      <c r="C855" s="52"/>
    </row>
    <row r="856" spans="2:3" ht="13.5" customHeight="1">
      <c r="B856" s="51"/>
      <c r="C856" s="52"/>
    </row>
    <row r="857" spans="2:3" ht="13.5" customHeight="1">
      <c r="B857" s="51"/>
      <c r="C857" s="52"/>
    </row>
    <row r="858" spans="2:3" ht="13.5" customHeight="1">
      <c r="B858" s="51"/>
      <c r="C858" s="52"/>
    </row>
    <row r="859" spans="2:3" ht="13.5" customHeight="1">
      <c r="B859" s="51"/>
      <c r="C859" s="52"/>
    </row>
    <row r="860" spans="2:3" ht="13.5" customHeight="1">
      <c r="B860" s="51"/>
      <c r="C860" s="52"/>
    </row>
    <row r="861" spans="2:3" ht="13.5" customHeight="1">
      <c r="B861" s="51"/>
      <c r="C861" s="52"/>
    </row>
    <row r="862" spans="2:3" ht="13.5" customHeight="1">
      <c r="B862" s="51"/>
      <c r="C862" s="52"/>
    </row>
    <row r="863" spans="2:3" ht="13.5" customHeight="1">
      <c r="B863" s="51"/>
      <c r="C863" s="52"/>
    </row>
    <row r="864" spans="2:3" ht="13.5" customHeight="1">
      <c r="B864" s="51"/>
      <c r="C864" s="52"/>
    </row>
    <row r="865" spans="2:3" ht="13.5" customHeight="1">
      <c r="B865" s="51"/>
      <c r="C865" s="52"/>
    </row>
    <row r="866" spans="2:3" ht="13.5" customHeight="1">
      <c r="B866" s="51"/>
      <c r="C866" s="52"/>
    </row>
    <row r="867" spans="2:3" ht="13.5" customHeight="1">
      <c r="B867" s="51"/>
      <c r="C867" s="52"/>
    </row>
    <row r="868" spans="2:3" ht="13.5" customHeight="1">
      <c r="B868" s="51"/>
      <c r="C868" s="52"/>
    </row>
    <row r="869" spans="2:3" ht="13.5" customHeight="1">
      <c r="B869" s="51"/>
      <c r="C869" s="52"/>
    </row>
    <row r="870" spans="2:3" ht="13.5" customHeight="1">
      <c r="B870" s="51"/>
      <c r="C870" s="52"/>
    </row>
    <row r="871" spans="2:3" ht="13.5" customHeight="1">
      <c r="B871" s="51"/>
      <c r="C871" s="52"/>
    </row>
    <row r="872" spans="2:3" ht="13.5" customHeight="1">
      <c r="B872" s="51"/>
      <c r="C872" s="52"/>
    </row>
    <row r="873" spans="2:3" ht="13.5" customHeight="1">
      <c r="B873" s="51"/>
      <c r="C873" s="52"/>
    </row>
    <row r="874" spans="2:3" ht="13.5" customHeight="1">
      <c r="B874" s="51"/>
      <c r="C874" s="52"/>
    </row>
    <row r="875" spans="2:3" ht="13.5" customHeight="1">
      <c r="B875" s="51"/>
      <c r="C875" s="52"/>
    </row>
    <row r="876" spans="2:3" ht="13.5" customHeight="1">
      <c r="B876" s="51"/>
      <c r="C876" s="52"/>
    </row>
    <row r="877" spans="2:3" ht="13.5" customHeight="1">
      <c r="B877" s="51"/>
      <c r="C877" s="52"/>
    </row>
    <row r="878" spans="2:3" ht="13.5" customHeight="1">
      <c r="B878" s="51"/>
      <c r="C878" s="52"/>
    </row>
    <row r="879" spans="2:3" ht="13.5" customHeight="1">
      <c r="B879" s="51"/>
      <c r="C879" s="52"/>
    </row>
    <row r="880" spans="2:3" ht="13.5" customHeight="1">
      <c r="B880" s="51"/>
      <c r="C880" s="52"/>
    </row>
    <row r="881" spans="2:3" ht="13.5" customHeight="1">
      <c r="B881" s="51"/>
      <c r="C881" s="52"/>
    </row>
    <row r="882" spans="2:3" ht="13.5" customHeight="1">
      <c r="B882" s="51"/>
      <c r="C882" s="52"/>
    </row>
    <row r="883" spans="2:3" ht="13.5" customHeight="1">
      <c r="B883" s="51"/>
      <c r="C883" s="52"/>
    </row>
    <row r="884" spans="2:3" ht="13.5" customHeight="1">
      <c r="B884" s="51"/>
      <c r="C884" s="52"/>
    </row>
    <row r="885" spans="2:3" ht="13.5" customHeight="1">
      <c r="B885" s="51"/>
      <c r="C885" s="52"/>
    </row>
    <row r="886" spans="2:3" ht="13.5" customHeight="1">
      <c r="B886" s="51"/>
      <c r="C886" s="52"/>
    </row>
    <row r="887" spans="2:3" ht="13.5" customHeight="1">
      <c r="B887" s="51"/>
      <c r="C887" s="52"/>
    </row>
    <row r="888" spans="2:3" ht="13.5" customHeight="1">
      <c r="B888" s="51"/>
      <c r="C888" s="52"/>
    </row>
    <row r="889" spans="2:3" ht="13.5" customHeight="1">
      <c r="B889" s="51"/>
      <c r="C889" s="52"/>
    </row>
    <row r="890" spans="2:3" ht="13.5" customHeight="1">
      <c r="B890" s="51"/>
      <c r="C890" s="52"/>
    </row>
    <row r="891" spans="2:3" ht="13.5" customHeight="1">
      <c r="B891" s="51"/>
      <c r="C891" s="52"/>
    </row>
    <row r="892" spans="2:3" ht="13.5" customHeight="1">
      <c r="B892" s="51"/>
      <c r="C892" s="52"/>
    </row>
    <row r="893" spans="2:3" ht="13.5" customHeight="1">
      <c r="B893" s="51"/>
      <c r="C893" s="52"/>
    </row>
    <row r="894" spans="2:3" ht="13.5" customHeight="1">
      <c r="B894" s="51"/>
      <c r="C894" s="52"/>
    </row>
    <row r="895" spans="2:3" ht="13.5" customHeight="1">
      <c r="B895" s="51"/>
      <c r="C895" s="52"/>
    </row>
    <row r="896" spans="2:3" ht="13.5" customHeight="1">
      <c r="B896" s="51"/>
      <c r="C896" s="52"/>
    </row>
    <row r="897" spans="2:3" ht="13.5" customHeight="1">
      <c r="B897" s="51"/>
      <c r="C897" s="52"/>
    </row>
    <row r="898" spans="2:3" ht="13.5" customHeight="1">
      <c r="B898" s="51"/>
      <c r="C898" s="52"/>
    </row>
    <row r="899" spans="2:3" ht="13.5" customHeight="1">
      <c r="B899" s="51"/>
      <c r="C899" s="52"/>
    </row>
    <row r="900" spans="2:3" ht="13.5" customHeight="1">
      <c r="B900" s="51"/>
      <c r="C900" s="52"/>
    </row>
    <row r="901" spans="2:3" ht="13.5" customHeight="1">
      <c r="B901" s="51"/>
      <c r="C901" s="52"/>
    </row>
    <row r="902" spans="2:3" ht="13.5" customHeight="1">
      <c r="B902" s="51"/>
      <c r="C902" s="52"/>
    </row>
    <row r="903" spans="2:3" ht="13.5" customHeight="1">
      <c r="B903" s="51"/>
      <c r="C903" s="52"/>
    </row>
    <row r="904" spans="2:3" ht="13.5" customHeight="1">
      <c r="B904" s="51"/>
      <c r="C904" s="52"/>
    </row>
    <row r="905" spans="2:3" ht="13.5" customHeight="1">
      <c r="B905" s="51"/>
      <c r="C905" s="52"/>
    </row>
    <row r="906" spans="2:3" ht="13.5" customHeight="1">
      <c r="B906" s="51"/>
      <c r="C906" s="52"/>
    </row>
    <row r="907" spans="2:3" ht="13.5" customHeight="1">
      <c r="B907" s="51"/>
      <c r="C907" s="52"/>
    </row>
    <row r="908" spans="2:3" ht="13.5" customHeight="1">
      <c r="B908" s="51"/>
      <c r="C908" s="52"/>
    </row>
    <row r="909" spans="2:3" ht="13.5" customHeight="1">
      <c r="B909" s="51"/>
      <c r="C909" s="52"/>
    </row>
    <row r="910" spans="2:3" ht="13.5" customHeight="1">
      <c r="B910" s="51"/>
      <c r="C910" s="52"/>
    </row>
    <row r="911" spans="2:3" ht="13.5" customHeight="1">
      <c r="B911" s="51"/>
      <c r="C911" s="52"/>
    </row>
    <row r="912" spans="2:3" ht="13.5" customHeight="1">
      <c r="B912" s="51"/>
      <c r="C912" s="52"/>
    </row>
    <row r="913" spans="2:3" ht="13.5" customHeight="1">
      <c r="B913" s="51"/>
      <c r="C913" s="52"/>
    </row>
    <row r="914" spans="2:3" ht="13.5" customHeight="1">
      <c r="B914" s="51"/>
      <c r="C914" s="52"/>
    </row>
    <row r="915" spans="2:3" ht="13.5" customHeight="1">
      <c r="B915" s="51"/>
      <c r="C915" s="52"/>
    </row>
    <row r="916" spans="2:3" ht="13.5" customHeight="1">
      <c r="B916" s="51"/>
      <c r="C916" s="52"/>
    </row>
    <row r="917" spans="2:3" ht="13.5" customHeight="1">
      <c r="B917" s="51"/>
      <c r="C917" s="52"/>
    </row>
    <row r="918" spans="2:3" ht="13.5" customHeight="1">
      <c r="B918" s="51"/>
      <c r="C918" s="52"/>
    </row>
    <row r="919" spans="2:3" ht="13.5" customHeight="1">
      <c r="B919" s="51"/>
      <c r="C919" s="52"/>
    </row>
    <row r="920" spans="2:3" ht="13.5" customHeight="1">
      <c r="B920" s="51"/>
      <c r="C920" s="52"/>
    </row>
    <row r="921" spans="2:3" ht="13.5" customHeight="1">
      <c r="B921" s="51"/>
      <c r="C921" s="52"/>
    </row>
    <row r="922" spans="2:3" ht="13.5" customHeight="1">
      <c r="B922" s="51"/>
      <c r="C922" s="52"/>
    </row>
    <row r="923" spans="2:3" ht="13.5" customHeight="1">
      <c r="B923" s="51"/>
      <c r="C923" s="52"/>
    </row>
    <row r="924" spans="2:3" ht="13.5" customHeight="1">
      <c r="B924" s="51"/>
      <c r="C924" s="52"/>
    </row>
    <row r="925" spans="2:3" ht="13.5" customHeight="1">
      <c r="B925" s="51"/>
      <c r="C925" s="52"/>
    </row>
    <row r="926" spans="2:3" ht="13.5" customHeight="1">
      <c r="B926" s="51"/>
      <c r="C926" s="52"/>
    </row>
    <row r="927" spans="2:3" ht="13.5" customHeight="1">
      <c r="B927" s="51"/>
      <c r="C927" s="52"/>
    </row>
    <row r="928" spans="2:3" ht="13.5" customHeight="1">
      <c r="B928" s="51"/>
      <c r="C928" s="52"/>
    </row>
    <row r="929" spans="2:3" ht="13.5" customHeight="1">
      <c r="B929" s="51"/>
      <c r="C929" s="52"/>
    </row>
    <row r="930" spans="2:3" ht="13.5" customHeight="1">
      <c r="B930" s="51"/>
      <c r="C930" s="52"/>
    </row>
    <row r="931" spans="2:3" ht="13.5" customHeight="1">
      <c r="B931" s="51"/>
      <c r="C931" s="52"/>
    </row>
    <row r="932" spans="2:3" ht="13.5" customHeight="1">
      <c r="B932" s="51"/>
      <c r="C932" s="52"/>
    </row>
    <row r="933" spans="2:3" ht="13.5" customHeight="1">
      <c r="B933" s="51"/>
      <c r="C933" s="52"/>
    </row>
    <row r="934" spans="2:3" ht="13.5" customHeight="1">
      <c r="B934" s="51"/>
      <c r="C934" s="52"/>
    </row>
    <row r="935" spans="2:3" ht="13.5" customHeight="1">
      <c r="B935" s="51"/>
      <c r="C935" s="52"/>
    </row>
    <row r="936" spans="2:3" ht="13.5" customHeight="1">
      <c r="B936" s="51"/>
      <c r="C936" s="52"/>
    </row>
    <row r="937" spans="2:3" ht="13.5" customHeight="1">
      <c r="B937" s="51"/>
      <c r="C937" s="52"/>
    </row>
    <row r="938" spans="2:3" ht="13.5" customHeight="1">
      <c r="B938" s="51"/>
      <c r="C938" s="52"/>
    </row>
    <row r="939" spans="2:3" ht="13.5" customHeight="1">
      <c r="B939" s="51"/>
      <c r="C939" s="52"/>
    </row>
    <row r="940" spans="2:3" ht="13.5" customHeight="1">
      <c r="B940" s="51"/>
      <c r="C940" s="52"/>
    </row>
    <row r="941" spans="2:3" ht="13.5" customHeight="1">
      <c r="B941" s="51"/>
      <c r="C941" s="52"/>
    </row>
    <row r="942" spans="2:3" ht="13.5" customHeight="1">
      <c r="B942" s="51"/>
      <c r="C942" s="52"/>
    </row>
    <row r="943" spans="2:3" ht="13.5" customHeight="1">
      <c r="B943" s="51"/>
      <c r="C943" s="52"/>
    </row>
    <row r="944" spans="2:3" ht="13.5" customHeight="1">
      <c r="B944" s="51"/>
      <c r="C944" s="52"/>
    </row>
    <row r="945" spans="2:3" ht="13.5" customHeight="1">
      <c r="B945" s="51"/>
      <c r="C945" s="52"/>
    </row>
    <row r="946" spans="2:3" ht="13.5" customHeight="1">
      <c r="B946" s="51"/>
      <c r="C946" s="52"/>
    </row>
    <row r="947" spans="2:3" ht="13.5" customHeight="1">
      <c r="B947" s="51"/>
      <c r="C947" s="52"/>
    </row>
    <row r="948" spans="2:3" ht="13.5" customHeight="1">
      <c r="B948" s="51"/>
      <c r="C948" s="52"/>
    </row>
    <row r="949" spans="2:3" ht="13.5" customHeight="1">
      <c r="B949" s="51"/>
      <c r="C949" s="52"/>
    </row>
    <row r="950" spans="2:3" ht="13.5" customHeight="1">
      <c r="B950" s="51"/>
      <c r="C950" s="52"/>
    </row>
    <row r="951" spans="2:3" ht="13.5" customHeight="1">
      <c r="B951" s="51"/>
      <c r="C951" s="52"/>
    </row>
    <row r="952" spans="2:3" ht="13.5" customHeight="1">
      <c r="B952" s="51"/>
      <c r="C952" s="52"/>
    </row>
    <row r="953" spans="2:3" ht="13.5" customHeight="1">
      <c r="B953" s="51"/>
      <c r="C953" s="52"/>
    </row>
    <row r="954" spans="2:3" ht="13.5" customHeight="1">
      <c r="B954" s="51"/>
      <c r="C954" s="52"/>
    </row>
    <row r="955" spans="2:3" ht="13.5" customHeight="1">
      <c r="B955" s="51"/>
      <c r="C955" s="52"/>
    </row>
    <row r="956" spans="2:3" ht="13.5" customHeight="1">
      <c r="B956" s="51"/>
      <c r="C956" s="52"/>
    </row>
    <row r="957" spans="2:3" ht="13.5" customHeight="1">
      <c r="B957" s="51"/>
      <c r="C957" s="52"/>
    </row>
    <row r="958" spans="2:3" ht="13.5" customHeight="1">
      <c r="B958" s="51"/>
      <c r="C958" s="52"/>
    </row>
    <row r="959" spans="2:3" ht="13.5" customHeight="1">
      <c r="B959" s="51"/>
      <c r="C959" s="52"/>
    </row>
    <row r="960" spans="2:3" ht="13.5" customHeight="1">
      <c r="B960" s="51"/>
      <c r="C960" s="52"/>
    </row>
    <row r="961" spans="2:3" ht="13.5" customHeight="1">
      <c r="B961" s="51"/>
      <c r="C961" s="52"/>
    </row>
    <row r="962" spans="2:3" ht="13.5" customHeight="1">
      <c r="B962" s="51"/>
      <c r="C962" s="52"/>
    </row>
    <row r="963" spans="2:3" ht="13.5" customHeight="1">
      <c r="B963" s="51"/>
      <c r="C963" s="52"/>
    </row>
    <row r="964" spans="2:3" ht="13.5" customHeight="1">
      <c r="B964" s="51"/>
      <c r="C964" s="52"/>
    </row>
    <row r="965" spans="2:3" ht="13.5" customHeight="1">
      <c r="B965" s="51"/>
      <c r="C965" s="52"/>
    </row>
    <row r="966" spans="2:3" ht="13.5" customHeight="1">
      <c r="B966" s="51"/>
      <c r="C966" s="52"/>
    </row>
    <row r="967" spans="2:3" ht="13.5" customHeight="1">
      <c r="B967" s="51"/>
      <c r="C967" s="52"/>
    </row>
    <row r="968" spans="2:3" ht="13.5" customHeight="1">
      <c r="B968" s="51"/>
      <c r="C968" s="52"/>
    </row>
    <row r="969" spans="2:3" ht="13.5" customHeight="1">
      <c r="B969" s="51"/>
      <c r="C969" s="52"/>
    </row>
    <row r="970" spans="2:3" ht="13.5" customHeight="1">
      <c r="B970" s="51"/>
      <c r="C970" s="52"/>
    </row>
    <row r="971" spans="2:3" ht="13.5" customHeight="1">
      <c r="B971" s="51"/>
      <c r="C971" s="52"/>
    </row>
    <row r="972" spans="2:3" ht="13.5" customHeight="1">
      <c r="B972" s="51"/>
      <c r="C972" s="52"/>
    </row>
    <row r="973" spans="2:3" ht="13.5" customHeight="1">
      <c r="B973" s="51"/>
      <c r="C973" s="52"/>
    </row>
    <row r="974" spans="2:3" ht="13.5" customHeight="1">
      <c r="B974" s="51"/>
      <c r="C974" s="52"/>
    </row>
    <row r="975" spans="2:3" ht="13.5" customHeight="1">
      <c r="B975" s="51"/>
      <c r="C975" s="52"/>
    </row>
    <row r="976" spans="2:3" ht="13.5" customHeight="1">
      <c r="B976" s="51"/>
      <c r="C976" s="52"/>
    </row>
    <row r="977" spans="2:3" ht="13.5" customHeight="1">
      <c r="B977" s="51"/>
      <c r="C977" s="52"/>
    </row>
    <row r="978" spans="2:3" ht="13.5" customHeight="1">
      <c r="B978" s="51"/>
      <c r="C978" s="52"/>
    </row>
    <row r="979" spans="2:3" ht="13.5" customHeight="1">
      <c r="B979" s="51"/>
      <c r="C979" s="52"/>
    </row>
    <row r="980" spans="2:3" ht="13.5" customHeight="1">
      <c r="B980" s="51"/>
      <c r="C980" s="52"/>
    </row>
    <row r="981" spans="2:3" ht="13.5" customHeight="1">
      <c r="B981" s="51"/>
      <c r="C981" s="52"/>
    </row>
    <row r="982" spans="2:3" ht="13.5" customHeight="1">
      <c r="B982" s="51"/>
      <c r="C982" s="52"/>
    </row>
    <row r="983" spans="2:3" ht="13.5" customHeight="1">
      <c r="B983" s="51"/>
      <c r="C983" s="52"/>
    </row>
  </sheetData>
  <mergeCells count="16">
    <mergeCell ref="J42:K42"/>
    <mergeCell ref="J43:K43"/>
    <mergeCell ref="J44:K44"/>
    <mergeCell ref="J45:K45"/>
    <mergeCell ref="B5:C5"/>
    <mergeCell ref="F5:F6"/>
    <mergeCell ref="J40:K40"/>
    <mergeCell ref="E4:E6"/>
    <mergeCell ref="G4:G6"/>
    <mergeCell ref="AA40:AB40"/>
    <mergeCell ref="J41:K41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1000"/>
  <sheetViews>
    <sheetView showGridLines="0" zoomScale="67" zoomScaleNormal="67" workbookViewId="0">
      <selection activeCell="P39" sqref="P39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23" ht="13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ht="13.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3.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ht="13.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3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3" ht="13.5" customHeight="1">
      <c r="B6" s="75" t="s">
        <v>347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ht="13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3" ht="13.5" customHeight="1">
      <c r="B8" s="1"/>
      <c r="C8" s="1"/>
      <c r="D8" s="1"/>
      <c r="E8" s="1"/>
      <c r="F8" s="1"/>
      <c r="G8" s="1"/>
      <c r="H8" s="76" t="s">
        <v>348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76" t="s">
        <v>349</v>
      </c>
    </row>
    <row r="9" spans="2:23" ht="13.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ht="13.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ht="13.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13.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ht="13.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ht="13.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ht="13.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ADB"/>
  </sheetPr>
  <dimension ref="B1:AB998"/>
  <sheetViews>
    <sheetView showGridLines="0" topLeftCell="A25" zoomScaleNormal="100" workbookViewId="0">
      <selection activeCell="D27" sqref="D27"/>
    </sheetView>
  </sheetViews>
  <sheetFormatPr defaultColWidth="14.42578125" defaultRowHeight="13.15"/>
  <cols>
    <col min="1" max="1" width="5.42578125" style="2" customWidth="1"/>
    <col min="2" max="3" width="11.42578125" style="2" customWidth="1"/>
    <col min="4" max="4" width="46.42578125" style="2" customWidth="1"/>
    <col min="5" max="5" width="15" style="2" customWidth="1"/>
    <col min="6" max="6" width="13.28515625" style="2" customWidth="1"/>
    <col min="7" max="7" width="12.5703125" style="2" customWidth="1"/>
    <col min="8" max="11" width="11.5703125" style="2" customWidth="1"/>
    <col min="12" max="26" width="3.7109375" style="2" customWidth="1"/>
    <col min="27" max="16384" width="14.42578125" style="2"/>
  </cols>
  <sheetData>
    <row r="1" spans="2:26" ht="13.5" customHeight="1">
      <c r="B1" s="51"/>
      <c r="C1" s="52"/>
    </row>
    <row r="2" spans="2:26" ht="13.5" customHeight="1">
      <c r="B2" s="51"/>
      <c r="C2" s="52"/>
      <c r="H2" s="102" t="s">
        <v>262</v>
      </c>
    </row>
    <row r="3" spans="2:26" ht="13.5" customHeight="1">
      <c r="B3" s="51"/>
      <c r="C3" s="52"/>
      <c r="H3" s="102"/>
      <c r="K3" s="99" t="s">
        <v>263</v>
      </c>
      <c r="L3" s="98" t="s">
        <v>264</v>
      </c>
      <c r="M3" s="98"/>
      <c r="N3" s="98"/>
      <c r="O3" s="98"/>
      <c r="P3" s="98"/>
      <c r="Q3" s="98"/>
      <c r="R3" s="98"/>
      <c r="S3" s="98"/>
      <c r="T3" s="98"/>
      <c r="U3" s="98"/>
    </row>
    <row r="4" spans="2:26" ht="12.75" customHeight="1">
      <c r="B4" s="51"/>
      <c r="C4" s="52"/>
      <c r="E4" s="101" t="s">
        <v>265</v>
      </c>
      <c r="G4" s="100" t="s">
        <v>266</v>
      </c>
      <c r="H4" s="102"/>
      <c r="I4" s="99" t="s">
        <v>267</v>
      </c>
      <c r="J4" s="102" t="s">
        <v>268</v>
      </c>
      <c r="K4" s="99"/>
      <c r="L4" s="99"/>
      <c r="M4" s="98"/>
      <c r="N4" s="98"/>
      <c r="O4" s="98"/>
      <c r="P4" s="98"/>
      <c r="Q4" s="98"/>
      <c r="R4" s="98"/>
      <c r="S4" s="98"/>
      <c r="T4" s="98"/>
      <c r="U4" s="98"/>
    </row>
    <row r="5" spans="2:26" ht="18" customHeight="1">
      <c r="B5" s="104" t="s">
        <v>269</v>
      </c>
      <c r="C5" s="104"/>
      <c r="E5" s="101"/>
      <c r="F5" s="105" t="s">
        <v>270</v>
      </c>
      <c r="G5" s="100"/>
      <c r="H5" s="100"/>
      <c r="I5" s="100"/>
      <c r="J5" s="100"/>
      <c r="K5" s="100"/>
      <c r="L5" s="100"/>
      <c r="M5" s="98"/>
      <c r="N5" s="98"/>
      <c r="O5" s="98"/>
      <c r="P5" s="98"/>
      <c r="Q5" s="98"/>
      <c r="R5" s="98"/>
      <c r="S5" s="98"/>
      <c r="T5" s="98"/>
      <c r="U5" s="98"/>
    </row>
    <row r="6" spans="2:26" ht="13.5" customHeight="1">
      <c r="B6" s="53"/>
      <c r="C6" s="52"/>
      <c r="E6" s="101"/>
      <c r="F6" s="101"/>
      <c r="G6" s="101"/>
      <c r="H6" s="101"/>
      <c r="I6" s="101"/>
      <c r="J6" s="101"/>
      <c r="K6" s="101"/>
      <c r="L6" s="101"/>
      <c r="M6" s="98"/>
      <c r="N6" s="98"/>
      <c r="O6" s="98"/>
      <c r="P6" s="98"/>
      <c r="Q6" s="98"/>
      <c r="R6" s="98"/>
      <c r="S6" s="98"/>
      <c r="T6" s="98"/>
      <c r="U6" s="98"/>
    </row>
    <row r="7" spans="2:26" ht="34.5" customHeight="1">
      <c r="B7" s="54" t="s">
        <v>271</v>
      </c>
      <c r="C7" s="54" t="s">
        <v>272</v>
      </c>
      <c r="D7" s="54" t="s">
        <v>19</v>
      </c>
      <c r="E7" s="54" t="s">
        <v>50</v>
      </c>
      <c r="F7" s="54" t="s">
        <v>22</v>
      </c>
      <c r="G7" s="55" t="s">
        <v>273</v>
      </c>
      <c r="H7" s="55" t="s">
        <v>274</v>
      </c>
      <c r="I7" s="55" t="s">
        <v>275</v>
      </c>
      <c r="J7" s="55" t="s">
        <v>276</v>
      </c>
      <c r="K7" s="55" t="s">
        <v>277</v>
      </c>
      <c r="L7" s="56" t="s">
        <v>278</v>
      </c>
      <c r="M7" s="56" t="s">
        <v>279</v>
      </c>
      <c r="N7" s="56" t="s">
        <v>280</v>
      </c>
      <c r="O7" s="56" t="s">
        <v>281</v>
      </c>
      <c r="P7" s="56" t="s">
        <v>282</v>
      </c>
      <c r="Q7" s="56" t="s">
        <v>283</v>
      </c>
      <c r="R7" s="56" t="s">
        <v>284</v>
      </c>
      <c r="S7" s="56" t="s">
        <v>285</v>
      </c>
      <c r="T7" s="56" t="s">
        <v>286</v>
      </c>
      <c r="U7" s="56" t="s">
        <v>287</v>
      </c>
      <c r="V7" s="56" t="s">
        <v>288</v>
      </c>
      <c r="W7" s="56" t="s">
        <v>289</v>
      </c>
      <c r="X7" s="56" t="s">
        <v>290</v>
      </c>
      <c r="Y7" s="56" t="s">
        <v>291</v>
      </c>
      <c r="Z7" s="56" t="s">
        <v>292</v>
      </c>
    </row>
    <row r="8" spans="2:26" ht="13.5" customHeight="1">
      <c r="B8" s="57">
        <v>3.01</v>
      </c>
      <c r="C8" s="58" t="s">
        <v>121</v>
      </c>
      <c r="D8" s="59" t="s">
        <v>397</v>
      </c>
      <c r="E8" s="59" t="s">
        <v>398</v>
      </c>
      <c r="F8" s="59" t="s">
        <v>31</v>
      </c>
      <c r="G8" s="58">
        <v>7.5</v>
      </c>
      <c r="H8" s="77">
        <v>0</v>
      </c>
      <c r="I8" s="77">
        <f t="shared" ref="I8:I34" si="0">SUM(G8-H8)</f>
        <v>7.5</v>
      </c>
      <c r="J8" s="77">
        <v>0</v>
      </c>
      <c r="K8" s="77">
        <f t="shared" ref="K8:K34" si="1">SUM(J8-G8)</f>
        <v>-7.5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>
      <c r="B9" s="60">
        <v>3.02</v>
      </c>
      <c r="C9" s="61" t="s">
        <v>121</v>
      </c>
      <c r="D9" s="62" t="s">
        <v>399</v>
      </c>
      <c r="E9" s="62" t="s">
        <v>322</v>
      </c>
      <c r="F9" s="62" t="s">
        <v>31</v>
      </c>
      <c r="G9" s="61">
        <v>7.5</v>
      </c>
      <c r="H9" s="78">
        <v>0</v>
      </c>
      <c r="I9" s="78">
        <f t="shared" si="0"/>
        <v>7.5</v>
      </c>
      <c r="J9" s="78">
        <v>0</v>
      </c>
      <c r="K9" s="78">
        <f t="shared" si="1"/>
        <v>-7.5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>
      <c r="B10" s="60">
        <v>3.03</v>
      </c>
      <c r="C10" s="61" t="s">
        <v>121</v>
      </c>
      <c r="D10" s="62" t="s">
        <v>400</v>
      </c>
      <c r="E10" s="62" t="s">
        <v>351</v>
      </c>
      <c r="F10" s="62" t="s">
        <v>31</v>
      </c>
      <c r="G10" s="61">
        <v>3</v>
      </c>
      <c r="H10" s="78">
        <v>0</v>
      </c>
      <c r="I10" s="78">
        <f t="shared" si="0"/>
        <v>3</v>
      </c>
      <c r="J10" s="78">
        <v>0</v>
      </c>
      <c r="K10" s="78">
        <f t="shared" si="1"/>
        <v>-3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>
      <c r="B11" s="60">
        <v>3.04</v>
      </c>
      <c r="C11" s="61" t="s">
        <v>126</v>
      </c>
      <c r="D11" s="62" t="s">
        <v>401</v>
      </c>
      <c r="E11" s="62" t="s">
        <v>355</v>
      </c>
      <c r="F11" s="62" t="s">
        <v>31</v>
      </c>
      <c r="G11" s="61">
        <v>7.5</v>
      </c>
      <c r="H11" s="78">
        <v>0</v>
      </c>
      <c r="I11" s="78">
        <f t="shared" si="0"/>
        <v>7.5</v>
      </c>
      <c r="J11" s="78">
        <v>0</v>
      </c>
      <c r="K11" s="78">
        <f t="shared" si="1"/>
        <v>-7.5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>
      <c r="B12" s="60">
        <v>3.05</v>
      </c>
      <c r="C12" s="61" t="s">
        <v>126</v>
      </c>
      <c r="D12" s="62" t="s">
        <v>402</v>
      </c>
      <c r="E12" s="62" t="s">
        <v>322</v>
      </c>
      <c r="F12" s="62" t="s">
        <v>31</v>
      </c>
      <c r="G12" s="61">
        <v>7.5</v>
      </c>
      <c r="H12" s="78">
        <v>0</v>
      </c>
      <c r="I12" s="78">
        <f t="shared" si="0"/>
        <v>7.5</v>
      </c>
      <c r="J12" s="78">
        <v>0</v>
      </c>
      <c r="K12" s="78">
        <f t="shared" si="1"/>
        <v>-7.5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>
      <c r="B13" s="60">
        <v>3.06</v>
      </c>
      <c r="C13" s="61" t="s">
        <v>126</v>
      </c>
      <c r="D13" s="62" t="s">
        <v>403</v>
      </c>
      <c r="E13" s="62" t="s">
        <v>329</v>
      </c>
      <c r="F13" s="62" t="s">
        <v>31</v>
      </c>
      <c r="G13" s="61">
        <v>6.5</v>
      </c>
      <c r="H13" s="78">
        <v>0</v>
      </c>
      <c r="I13" s="78">
        <f t="shared" si="0"/>
        <v>6.5</v>
      </c>
      <c r="J13" s="78">
        <v>0</v>
      </c>
      <c r="K13" s="78">
        <f t="shared" si="1"/>
        <v>-6.5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>
      <c r="B14" s="60">
        <v>3.07</v>
      </c>
      <c r="C14" s="61" t="s">
        <v>131</v>
      </c>
      <c r="D14" s="62" t="s">
        <v>404</v>
      </c>
      <c r="E14" s="62" t="s">
        <v>351</v>
      </c>
      <c r="F14" s="62" t="s">
        <v>31</v>
      </c>
      <c r="G14" s="61">
        <v>5</v>
      </c>
      <c r="H14" s="78">
        <v>0</v>
      </c>
      <c r="I14" s="78">
        <f t="shared" si="0"/>
        <v>5</v>
      </c>
      <c r="J14" s="78">
        <v>0</v>
      </c>
      <c r="K14" s="78">
        <f t="shared" si="1"/>
        <v>-5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>
      <c r="B15" s="60">
        <v>3.08</v>
      </c>
      <c r="C15" s="61" t="s">
        <v>131</v>
      </c>
      <c r="D15" s="62" t="s">
        <v>405</v>
      </c>
      <c r="E15" s="62" t="s">
        <v>406</v>
      </c>
      <c r="F15" s="62" t="s">
        <v>31</v>
      </c>
      <c r="G15" s="61">
        <v>5</v>
      </c>
      <c r="H15" s="78">
        <v>0</v>
      </c>
      <c r="I15" s="78">
        <f t="shared" si="0"/>
        <v>5</v>
      </c>
      <c r="J15" s="78">
        <v>0</v>
      </c>
      <c r="K15" s="78">
        <f t="shared" si="1"/>
        <v>-5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>
      <c r="B16" s="60">
        <v>3.09</v>
      </c>
      <c r="C16" s="61" t="s">
        <v>131</v>
      </c>
      <c r="D16" s="62" t="s">
        <v>407</v>
      </c>
      <c r="E16" s="62" t="s">
        <v>398</v>
      </c>
      <c r="F16" s="62" t="s">
        <v>31</v>
      </c>
      <c r="G16" s="61">
        <v>3</v>
      </c>
      <c r="H16" s="78">
        <v>0</v>
      </c>
      <c r="I16" s="78">
        <f t="shared" si="0"/>
        <v>3</v>
      </c>
      <c r="J16" s="78">
        <v>0</v>
      </c>
      <c r="K16" s="78">
        <f t="shared" si="1"/>
        <v>-3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ht="13.5" customHeight="1">
      <c r="B17" s="60" t="s">
        <v>408</v>
      </c>
      <c r="C17" s="61" t="s">
        <v>136</v>
      </c>
      <c r="D17" s="62" t="s">
        <v>409</v>
      </c>
      <c r="E17" s="62" t="s">
        <v>370</v>
      </c>
      <c r="F17" s="62" t="s">
        <v>31</v>
      </c>
      <c r="G17" s="61">
        <v>5</v>
      </c>
      <c r="H17" s="78">
        <v>0</v>
      </c>
      <c r="I17" s="78">
        <f t="shared" si="0"/>
        <v>5</v>
      </c>
      <c r="J17" s="78">
        <v>0</v>
      </c>
      <c r="K17" s="78">
        <f t="shared" si="1"/>
        <v>-5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ht="13.5" customHeight="1">
      <c r="B18" s="60">
        <v>3.11</v>
      </c>
      <c r="C18" s="61" t="s">
        <v>136</v>
      </c>
      <c r="D18" s="62" t="s">
        <v>410</v>
      </c>
      <c r="E18" s="62" t="s">
        <v>303</v>
      </c>
      <c r="F18" s="62" t="s">
        <v>31</v>
      </c>
      <c r="G18" s="61">
        <v>5</v>
      </c>
      <c r="H18" s="78">
        <v>0</v>
      </c>
      <c r="I18" s="78">
        <f t="shared" si="0"/>
        <v>5</v>
      </c>
      <c r="J18" s="78">
        <v>0</v>
      </c>
      <c r="K18" s="78">
        <f t="shared" si="1"/>
        <v>-5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ht="13.5" customHeight="1">
      <c r="B19" s="60">
        <v>3.12</v>
      </c>
      <c r="C19" s="61" t="s">
        <v>141</v>
      </c>
      <c r="D19" s="62" t="s">
        <v>411</v>
      </c>
      <c r="E19" s="62" t="s">
        <v>309</v>
      </c>
      <c r="F19" s="62" t="s">
        <v>31</v>
      </c>
      <c r="G19" s="61">
        <v>5</v>
      </c>
      <c r="H19" s="78">
        <v>0</v>
      </c>
      <c r="I19" s="78">
        <f t="shared" si="0"/>
        <v>5</v>
      </c>
      <c r="J19" s="78">
        <v>0</v>
      </c>
      <c r="K19" s="78">
        <f t="shared" si="1"/>
        <v>-5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ht="13.5" customHeight="1">
      <c r="B20" s="60">
        <v>3.13</v>
      </c>
      <c r="C20" s="61" t="s">
        <v>141</v>
      </c>
      <c r="D20" s="62" t="s">
        <v>412</v>
      </c>
      <c r="E20" s="62" t="s">
        <v>370</v>
      </c>
      <c r="F20" s="62" t="s">
        <v>31</v>
      </c>
      <c r="G20" s="61">
        <v>5</v>
      </c>
      <c r="H20" s="78">
        <v>0</v>
      </c>
      <c r="I20" s="78">
        <f t="shared" si="0"/>
        <v>5</v>
      </c>
      <c r="J20" s="78">
        <v>0</v>
      </c>
      <c r="K20" s="78">
        <f t="shared" si="1"/>
        <v>-5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3.5" customHeight="1">
      <c r="B21" s="60">
        <v>3.14</v>
      </c>
      <c r="C21" s="61" t="s">
        <v>146</v>
      </c>
      <c r="D21" s="62" t="s">
        <v>413</v>
      </c>
      <c r="E21" s="62" t="s">
        <v>355</v>
      </c>
      <c r="F21" s="62" t="s">
        <v>31</v>
      </c>
      <c r="G21" s="61">
        <v>7.5</v>
      </c>
      <c r="H21" s="78">
        <v>0</v>
      </c>
      <c r="I21" s="78">
        <f t="shared" si="0"/>
        <v>7.5</v>
      </c>
      <c r="J21" s="78">
        <v>0</v>
      </c>
      <c r="K21" s="78">
        <f t="shared" si="1"/>
        <v>-7.5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ht="13.5" customHeight="1">
      <c r="B22" s="60">
        <v>3.15</v>
      </c>
      <c r="C22" s="61" t="s">
        <v>146</v>
      </c>
      <c r="D22" s="62" t="s">
        <v>414</v>
      </c>
      <c r="E22" s="62" t="s">
        <v>322</v>
      </c>
      <c r="F22" s="62" t="s">
        <v>31</v>
      </c>
      <c r="G22" s="61">
        <v>7.5</v>
      </c>
      <c r="H22" s="78">
        <v>0</v>
      </c>
      <c r="I22" s="78">
        <f t="shared" si="0"/>
        <v>7.5</v>
      </c>
      <c r="J22" s="78">
        <v>0</v>
      </c>
      <c r="K22" s="78">
        <f t="shared" si="1"/>
        <v>-7.5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ht="13.5" customHeight="1">
      <c r="B23" s="60">
        <v>3.16</v>
      </c>
      <c r="C23" s="61" t="s">
        <v>146</v>
      </c>
      <c r="D23" s="62" t="s">
        <v>415</v>
      </c>
      <c r="E23" s="62" t="s">
        <v>309</v>
      </c>
      <c r="F23" s="62" t="s">
        <v>31</v>
      </c>
      <c r="G23" s="61">
        <v>3</v>
      </c>
      <c r="H23" s="78">
        <v>0</v>
      </c>
      <c r="I23" s="78">
        <f t="shared" si="0"/>
        <v>3</v>
      </c>
      <c r="J23" s="78">
        <v>0</v>
      </c>
      <c r="K23" s="78">
        <f t="shared" si="1"/>
        <v>-3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6" ht="13.5" customHeight="1">
      <c r="B24" s="60">
        <v>3.17</v>
      </c>
      <c r="C24" s="61" t="s">
        <v>152</v>
      </c>
      <c r="D24" s="62" t="s">
        <v>416</v>
      </c>
      <c r="E24" s="62" t="s">
        <v>398</v>
      </c>
      <c r="F24" s="62" t="s">
        <v>31</v>
      </c>
      <c r="G24" s="61">
        <v>14</v>
      </c>
      <c r="H24" s="78">
        <v>0</v>
      </c>
      <c r="I24" s="78">
        <f t="shared" si="0"/>
        <v>14</v>
      </c>
      <c r="J24" s="78">
        <v>0</v>
      </c>
      <c r="K24" s="78">
        <f t="shared" si="1"/>
        <v>-14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ht="13.5" customHeight="1">
      <c r="B25" s="60">
        <v>3.18</v>
      </c>
      <c r="C25" s="61" t="s">
        <v>152</v>
      </c>
      <c r="D25" s="62" t="s">
        <v>417</v>
      </c>
      <c r="E25" s="62" t="s">
        <v>351</v>
      </c>
      <c r="F25" s="62" t="s">
        <v>31</v>
      </c>
      <c r="G25" s="61">
        <v>10.5</v>
      </c>
      <c r="H25" s="78">
        <v>0</v>
      </c>
      <c r="I25" s="78">
        <f t="shared" si="0"/>
        <v>10.5</v>
      </c>
      <c r="J25" s="78">
        <v>0</v>
      </c>
      <c r="K25" s="78">
        <f t="shared" si="1"/>
        <v>-10.5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3.5" customHeight="1">
      <c r="B26" s="60">
        <v>3.19</v>
      </c>
      <c r="C26" s="61" t="s">
        <v>152</v>
      </c>
      <c r="D26" s="62" t="s">
        <v>418</v>
      </c>
      <c r="E26" s="62" t="s">
        <v>322</v>
      </c>
      <c r="F26" s="62" t="s">
        <v>31</v>
      </c>
      <c r="G26" s="61">
        <v>7</v>
      </c>
      <c r="H26" s="78">
        <v>0</v>
      </c>
      <c r="I26" s="78">
        <f t="shared" si="0"/>
        <v>7</v>
      </c>
      <c r="J26" s="78">
        <v>0</v>
      </c>
      <c r="K26" s="78">
        <f t="shared" si="1"/>
        <v>-7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>
      <c r="B27" s="60" t="s">
        <v>419</v>
      </c>
      <c r="C27" s="61" t="s">
        <v>152</v>
      </c>
      <c r="D27" s="62" t="s">
        <v>420</v>
      </c>
      <c r="E27" s="62" t="s">
        <v>398</v>
      </c>
      <c r="F27" s="62" t="s">
        <v>31</v>
      </c>
      <c r="G27" s="61">
        <v>7</v>
      </c>
      <c r="H27" s="78">
        <v>0</v>
      </c>
      <c r="I27" s="78">
        <f t="shared" si="0"/>
        <v>7</v>
      </c>
      <c r="J27" s="78">
        <v>0</v>
      </c>
      <c r="K27" s="78">
        <f t="shared" si="1"/>
        <v>-7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>
      <c r="B28" s="60">
        <v>3.21</v>
      </c>
      <c r="C28" s="61" t="s">
        <v>157</v>
      </c>
      <c r="D28" s="62" t="s">
        <v>421</v>
      </c>
      <c r="E28" s="62" t="s">
        <v>355</v>
      </c>
      <c r="F28" s="62" t="s">
        <v>31</v>
      </c>
      <c r="G28" s="61">
        <v>7.5</v>
      </c>
      <c r="H28" s="78">
        <v>0</v>
      </c>
      <c r="I28" s="78">
        <f t="shared" si="0"/>
        <v>7.5</v>
      </c>
      <c r="J28" s="78">
        <v>0</v>
      </c>
      <c r="K28" s="78">
        <f t="shared" si="1"/>
        <v>-7.5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>
      <c r="B29" s="60">
        <v>3.22</v>
      </c>
      <c r="C29" s="61" t="s">
        <v>157</v>
      </c>
      <c r="D29" s="62" t="s">
        <v>422</v>
      </c>
      <c r="E29" s="62" t="s">
        <v>322</v>
      </c>
      <c r="F29" s="62" t="s">
        <v>31</v>
      </c>
      <c r="G29" s="61">
        <v>5</v>
      </c>
      <c r="H29" s="78">
        <v>0</v>
      </c>
      <c r="I29" s="78">
        <f t="shared" si="0"/>
        <v>5</v>
      </c>
      <c r="J29" s="78">
        <v>0</v>
      </c>
      <c r="K29" s="78">
        <f t="shared" si="1"/>
        <v>-5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3.5" customHeight="1">
      <c r="B30" s="60">
        <v>3.23</v>
      </c>
      <c r="C30" s="61" t="s">
        <v>157</v>
      </c>
      <c r="D30" s="62" t="s">
        <v>423</v>
      </c>
      <c r="E30" s="62" t="s">
        <v>309</v>
      </c>
      <c r="F30" s="62" t="s">
        <v>31</v>
      </c>
      <c r="G30" s="61">
        <v>3</v>
      </c>
      <c r="H30" s="78">
        <v>0</v>
      </c>
      <c r="I30" s="78">
        <f t="shared" si="0"/>
        <v>3</v>
      </c>
      <c r="J30" s="78">
        <v>0</v>
      </c>
      <c r="K30" s="78">
        <f t="shared" si="1"/>
        <v>-3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3.5" customHeight="1">
      <c r="B31" s="60">
        <v>3.24</v>
      </c>
      <c r="C31" s="61" t="s">
        <v>161</v>
      </c>
      <c r="D31" s="62" t="s">
        <v>424</v>
      </c>
      <c r="E31" s="62" t="s">
        <v>425</v>
      </c>
      <c r="F31" s="62" t="s">
        <v>31</v>
      </c>
      <c r="G31" s="61">
        <v>7</v>
      </c>
      <c r="H31" s="78">
        <v>0</v>
      </c>
      <c r="I31" s="78">
        <f t="shared" si="0"/>
        <v>7</v>
      </c>
      <c r="J31" s="78">
        <v>0</v>
      </c>
      <c r="K31" s="78">
        <f t="shared" si="1"/>
        <v>-7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3.5" customHeight="1">
      <c r="B32" s="60">
        <v>3.25</v>
      </c>
      <c r="C32" s="61" t="s">
        <v>161</v>
      </c>
      <c r="D32" s="62" t="s">
        <v>426</v>
      </c>
      <c r="E32" s="62" t="s">
        <v>322</v>
      </c>
      <c r="F32" s="62" t="s">
        <v>31</v>
      </c>
      <c r="G32" s="61">
        <v>17.5</v>
      </c>
      <c r="H32" s="78">
        <v>0</v>
      </c>
      <c r="I32" s="78">
        <f t="shared" si="0"/>
        <v>17.5</v>
      </c>
      <c r="J32" s="78">
        <v>0</v>
      </c>
      <c r="K32" s="78">
        <f t="shared" si="1"/>
        <v>-17.5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28" ht="13.5" customHeight="1">
      <c r="B33" s="60">
        <v>3.26</v>
      </c>
      <c r="C33" s="61" t="s">
        <v>161</v>
      </c>
      <c r="D33" s="62" t="s">
        <v>427</v>
      </c>
      <c r="E33" s="62" t="s">
        <v>358</v>
      </c>
      <c r="F33" s="62" t="s">
        <v>31</v>
      </c>
      <c r="G33" s="61">
        <v>7</v>
      </c>
      <c r="H33" s="78">
        <v>0</v>
      </c>
      <c r="I33" s="78">
        <f t="shared" si="0"/>
        <v>7</v>
      </c>
      <c r="J33" s="78">
        <v>0</v>
      </c>
      <c r="K33" s="78">
        <f t="shared" si="1"/>
        <v>-7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2:28" ht="13.5" customHeight="1">
      <c r="B34" s="60">
        <v>3.27</v>
      </c>
      <c r="C34" s="61" t="s">
        <v>161</v>
      </c>
      <c r="D34" s="62" t="s">
        <v>428</v>
      </c>
      <c r="E34" s="62" t="s">
        <v>295</v>
      </c>
      <c r="F34" s="62" t="s">
        <v>31</v>
      </c>
      <c r="G34" s="61">
        <v>3.5</v>
      </c>
      <c r="H34" s="78">
        <v>0</v>
      </c>
      <c r="I34" s="78">
        <f t="shared" si="0"/>
        <v>3.5</v>
      </c>
      <c r="J34" s="78">
        <v>0</v>
      </c>
      <c r="K34" s="78">
        <f t="shared" si="1"/>
        <v>-3.5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2:28" ht="13.5" customHeight="1">
      <c r="B35" s="63"/>
      <c r="C35" s="64"/>
      <c r="D35" s="65"/>
      <c r="E35" s="65"/>
      <c r="F35" s="66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2:28" ht="13.5" customHeight="1">
      <c r="B36" s="67"/>
      <c r="C36" s="68"/>
      <c r="D36" s="69"/>
      <c r="E36" s="69"/>
      <c r="F36" s="70" t="s">
        <v>261</v>
      </c>
      <c r="G36" s="93">
        <f>SUM(G8:G34)</f>
        <v>179.5</v>
      </c>
      <c r="H36" s="93">
        <f>SUM(H8:H34)</f>
        <v>0</v>
      </c>
      <c r="I36" s="93">
        <f>SUM(I8:I34)</f>
        <v>179.5</v>
      </c>
      <c r="J36" s="93">
        <f>SUM(J8:J34)</f>
        <v>0</v>
      </c>
      <c r="K36" s="93">
        <f>SUM(K8:K34)</f>
        <v>-179.5</v>
      </c>
      <c r="L36" s="93">
        <f t="shared" ref="L36:Z36" si="2">SUBTOTAL(9,L7:L34)</f>
        <v>0</v>
      </c>
      <c r="M36" s="93">
        <f t="shared" si="2"/>
        <v>0</v>
      </c>
      <c r="N36" s="93">
        <f t="shared" si="2"/>
        <v>0</v>
      </c>
      <c r="O36" s="93">
        <f t="shared" si="2"/>
        <v>0</v>
      </c>
      <c r="P36" s="93">
        <f t="shared" si="2"/>
        <v>0</v>
      </c>
      <c r="Q36" s="93">
        <f t="shared" si="2"/>
        <v>0</v>
      </c>
      <c r="R36" s="93">
        <f t="shared" si="2"/>
        <v>0</v>
      </c>
      <c r="S36" s="93">
        <f t="shared" si="2"/>
        <v>0</v>
      </c>
      <c r="T36" s="93">
        <f t="shared" si="2"/>
        <v>0</v>
      </c>
      <c r="U36" s="93">
        <f t="shared" si="2"/>
        <v>0</v>
      </c>
      <c r="V36" s="93">
        <f t="shared" si="2"/>
        <v>0</v>
      </c>
      <c r="W36" s="93">
        <f t="shared" si="2"/>
        <v>0</v>
      </c>
      <c r="X36" s="93">
        <f t="shared" si="2"/>
        <v>0</v>
      </c>
      <c r="Y36" s="93">
        <f t="shared" si="2"/>
        <v>0</v>
      </c>
      <c r="Z36" s="93">
        <f t="shared" si="2"/>
        <v>0</v>
      </c>
    </row>
    <row r="37" spans="2:28" ht="13.5" customHeight="1">
      <c r="B37" s="67"/>
      <c r="C37" s="68"/>
      <c r="D37" s="69"/>
      <c r="E37" s="69"/>
      <c r="F37" s="70" t="s">
        <v>341</v>
      </c>
      <c r="G37" s="93"/>
      <c r="H37" s="93"/>
      <c r="I37" s="93"/>
      <c r="J37" s="93"/>
      <c r="K37" s="93"/>
      <c r="L37" s="93">
        <f>G36-L36</f>
        <v>179.5</v>
      </c>
      <c r="M37" s="93">
        <f t="shared" ref="M37:Z37" si="3">L37-M36</f>
        <v>179.5</v>
      </c>
      <c r="N37" s="93">
        <f t="shared" si="3"/>
        <v>179.5</v>
      </c>
      <c r="O37" s="93">
        <f t="shared" si="3"/>
        <v>179.5</v>
      </c>
      <c r="P37" s="93">
        <f t="shared" si="3"/>
        <v>179.5</v>
      </c>
      <c r="Q37" s="93">
        <f t="shared" si="3"/>
        <v>179.5</v>
      </c>
      <c r="R37" s="93">
        <f t="shared" si="3"/>
        <v>179.5</v>
      </c>
      <c r="S37" s="93">
        <f t="shared" si="3"/>
        <v>179.5</v>
      </c>
      <c r="T37" s="93">
        <f t="shared" si="3"/>
        <v>179.5</v>
      </c>
      <c r="U37" s="93">
        <f t="shared" si="3"/>
        <v>179.5</v>
      </c>
      <c r="V37" s="93">
        <f t="shared" si="3"/>
        <v>179.5</v>
      </c>
      <c r="W37" s="93">
        <f t="shared" si="3"/>
        <v>179.5</v>
      </c>
      <c r="X37" s="93">
        <f t="shared" si="3"/>
        <v>179.5</v>
      </c>
      <c r="Y37" s="93">
        <f t="shared" si="3"/>
        <v>179.5</v>
      </c>
      <c r="Z37" s="93">
        <f t="shared" si="3"/>
        <v>179.5</v>
      </c>
    </row>
    <row r="38" spans="2:28" ht="13.5" customHeight="1">
      <c r="B38" s="67"/>
      <c r="C38" s="68"/>
      <c r="D38" s="69"/>
      <c r="E38" s="69"/>
      <c r="F38" s="70" t="s">
        <v>342</v>
      </c>
      <c r="G38" s="93"/>
      <c r="H38" s="93"/>
      <c r="I38" s="93"/>
      <c r="J38" s="93"/>
      <c r="K38" s="93"/>
      <c r="L38" s="93">
        <f>L36</f>
        <v>0</v>
      </c>
      <c r="M38" s="93">
        <f t="shared" ref="M38:Z38" si="4">L38+M36</f>
        <v>0</v>
      </c>
      <c r="N38" s="93">
        <f t="shared" si="4"/>
        <v>0</v>
      </c>
      <c r="O38" s="93">
        <f t="shared" si="4"/>
        <v>0</v>
      </c>
      <c r="P38" s="93">
        <f t="shared" si="4"/>
        <v>0</v>
      </c>
      <c r="Q38" s="93">
        <f t="shared" si="4"/>
        <v>0</v>
      </c>
      <c r="R38" s="93">
        <f t="shared" si="4"/>
        <v>0</v>
      </c>
      <c r="S38" s="93">
        <f t="shared" si="4"/>
        <v>0</v>
      </c>
      <c r="T38" s="93">
        <f t="shared" si="4"/>
        <v>0</v>
      </c>
      <c r="U38" s="93">
        <f t="shared" si="4"/>
        <v>0</v>
      </c>
      <c r="V38" s="93">
        <f t="shared" si="4"/>
        <v>0</v>
      </c>
      <c r="W38" s="93">
        <f t="shared" si="4"/>
        <v>0</v>
      </c>
      <c r="X38" s="93">
        <f t="shared" si="4"/>
        <v>0</v>
      </c>
      <c r="Y38" s="93">
        <f t="shared" si="4"/>
        <v>0</v>
      </c>
      <c r="Z38" s="93">
        <f t="shared" si="4"/>
        <v>0</v>
      </c>
    </row>
    <row r="39" spans="2:28" ht="13.5" customHeight="1">
      <c r="B39" s="67"/>
      <c r="C39" s="68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2:28" ht="13.5" customHeight="1">
      <c r="B40" s="51"/>
      <c r="C40" s="52"/>
    </row>
    <row r="41" spans="2:28" ht="13.5" customHeight="1">
      <c r="B41" s="51"/>
      <c r="C41" s="52"/>
    </row>
    <row r="42" spans="2:28" ht="12.75" customHeight="1">
      <c r="B42" s="51"/>
      <c r="C42" s="52"/>
      <c r="J42" s="113" t="s">
        <v>343</v>
      </c>
      <c r="K42" s="113"/>
      <c r="L42" s="95">
        <v>1</v>
      </c>
      <c r="M42" s="95">
        <v>2</v>
      </c>
      <c r="N42" s="95">
        <v>3</v>
      </c>
      <c r="O42" s="95">
        <v>4</v>
      </c>
      <c r="P42" s="95">
        <v>5</v>
      </c>
      <c r="Q42" s="95">
        <v>6</v>
      </c>
      <c r="R42" s="95">
        <v>7</v>
      </c>
      <c r="S42" s="95">
        <v>8</v>
      </c>
      <c r="T42" s="95">
        <v>9</v>
      </c>
      <c r="U42" s="95">
        <v>10</v>
      </c>
      <c r="V42" s="95">
        <v>11</v>
      </c>
      <c r="W42" s="95">
        <v>12</v>
      </c>
      <c r="X42" s="95">
        <v>13</v>
      </c>
      <c r="Y42" s="95">
        <v>14</v>
      </c>
      <c r="Z42" s="95">
        <v>15</v>
      </c>
      <c r="AA42" s="111" t="s">
        <v>344</v>
      </c>
      <c r="AB42" s="111"/>
    </row>
    <row r="43" spans="2:28" ht="12.75" customHeight="1">
      <c r="B43" s="51"/>
      <c r="C43" s="52"/>
      <c r="J43" s="112" t="s">
        <v>9</v>
      </c>
      <c r="K43" s="112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52">
        <f>SUM(L43:Z43)</f>
        <v>0</v>
      </c>
    </row>
    <row r="44" spans="2:28" ht="12.75" customHeight="1">
      <c r="B44" s="51"/>
      <c r="C44" s="52"/>
      <c r="J44" s="112" t="s">
        <v>7</v>
      </c>
      <c r="K44" s="112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52">
        <f>SUM(L44:Z44)</f>
        <v>0</v>
      </c>
    </row>
    <row r="45" spans="2:28" ht="12.75" customHeight="1">
      <c r="B45" s="51"/>
      <c r="C45" s="52"/>
      <c r="J45" s="112" t="s">
        <v>13</v>
      </c>
      <c r="K45" s="112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52">
        <f>SUM(L45:Z45)</f>
        <v>0</v>
      </c>
    </row>
    <row r="46" spans="2:28" ht="12.75" customHeight="1">
      <c r="B46" s="51"/>
      <c r="C46" s="52"/>
      <c r="J46" s="112" t="s">
        <v>345</v>
      </c>
      <c r="K46" s="112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52">
        <f>SUM(L46:Z46)</f>
        <v>0</v>
      </c>
    </row>
    <row r="47" spans="2:28" ht="12.75" customHeight="1">
      <c r="B47" s="51"/>
      <c r="C47" s="52"/>
      <c r="J47" s="112" t="s">
        <v>14</v>
      </c>
      <c r="K47" s="112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52">
        <f>SUM(L47:Z47)</f>
        <v>0</v>
      </c>
    </row>
    <row r="48" spans="2:28" ht="12.75" customHeight="1">
      <c r="B48" s="51"/>
      <c r="C48" s="52"/>
      <c r="AA48" s="72">
        <f>SUM(AA43:AA47)</f>
        <v>0</v>
      </c>
    </row>
    <row r="49" spans="2:10" ht="12.75" customHeight="1">
      <c r="B49" s="51"/>
      <c r="C49" s="52"/>
      <c r="J49" s="2" t="s">
        <v>346</v>
      </c>
    </row>
    <row r="50" spans="2:10" ht="12.75" customHeight="1">
      <c r="B50" s="51"/>
      <c r="C50" s="52"/>
    </row>
    <row r="51" spans="2:10" ht="13.5" customHeight="1">
      <c r="B51" s="51"/>
      <c r="C51" s="52"/>
    </row>
    <row r="52" spans="2:10" ht="13.5" customHeight="1">
      <c r="B52" s="51"/>
      <c r="C52" s="52"/>
    </row>
    <row r="53" spans="2:10" ht="13.5" customHeight="1">
      <c r="B53" s="51"/>
      <c r="C53" s="52"/>
    </row>
    <row r="54" spans="2:10" ht="13.5" customHeight="1">
      <c r="B54" s="51"/>
      <c r="C54" s="52"/>
    </row>
    <row r="55" spans="2:10" ht="13.5" customHeight="1">
      <c r="B55" s="51"/>
      <c r="C55" s="52"/>
    </row>
    <row r="56" spans="2:10" ht="13.5" customHeight="1">
      <c r="B56" s="51"/>
      <c r="C56" s="52"/>
    </row>
    <row r="57" spans="2:10" ht="13.5" customHeight="1">
      <c r="B57" s="51"/>
      <c r="C57" s="52"/>
    </row>
    <row r="58" spans="2:10" ht="13.5" customHeight="1">
      <c r="B58" s="51"/>
      <c r="C58" s="52"/>
    </row>
    <row r="59" spans="2:10" ht="13.5" customHeight="1">
      <c r="B59" s="51"/>
      <c r="C59" s="52"/>
    </row>
    <row r="60" spans="2:10" ht="13.5" customHeight="1">
      <c r="B60" s="51"/>
      <c r="C60" s="52"/>
    </row>
    <row r="61" spans="2:10" ht="13.5" customHeight="1">
      <c r="B61" s="51"/>
      <c r="C61" s="52"/>
    </row>
    <row r="62" spans="2:10" ht="13.5" customHeight="1">
      <c r="B62" s="51"/>
      <c r="C62" s="52"/>
    </row>
    <row r="63" spans="2:10" ht="13.5" customHeight="1">
      <c r="B63" s="51"/>
      <c r="C63" s="52"/>
    </row>
    <row r="64" spans="2:10" ht="13.5" customHeight="1">
      <c r="B64" s="51"/>
      <c r="C64" s="52"/>
    </row>
    <row r="65" spans="2:3" ht="13.5" customHeight="1">
      <c r="B65" s="51"/>
      <c r="C65" s="52"/>
    </row>
    <row r="66" spans="2:3" ht="13.5" customHeight="1">
      <c r="B66" s="51"/>
      <c r="C66" s="52"/>
    </row>
    <row r="67" spans="2:3" ht="13.5" customHeight="1">
      <c r="B67" s="51"/>
      <c r="C67" s="52"/>
    </row>
    <row r="68" spans="2:3" ht="13.5" customHeight="1">
      <c r="B68" s="51"/>
      <c r="C68" s="52"/>
    </row>
    <row r="69" spans="2:3" ht="13.5" customHeight="1">
      <c r="B69" s="51"/>
      <c r="C69" s="52"/>
    </row>
    <row r="70" spans="2:3" ht="13.5" customHeight="1">
      <c r="B70" s="51"/>
      <c r="C70" s="52"/>
    </row>
    <row r="71" spans="2:3" ht="13.5" customHeight="1">
      <c r="B71" s="51"/>
      <c r="C71" s="52"/>
    </row>
    <row r="72" spans="2:3" ht="13.5" customHeight="1">
      <c r="B72" s="51"/>
      <c r="C72" s="52"/>
    </row>
    <row r="73" spans="2:3" ht="13.5" customHeight="1">
      <c r="B73" s="51"/>
      <c r="C73" s="52"/>
    </row>
    <row r="74" spans="2:3" ht="13.5" customHeight="1">
      <c r="B74" s="51"/>
      <c r="C74" s="52"/>
    </row>
    <row r="75" spans="2:3" ht="13.5" customHeight="1">
      <c r="B75" s="51"/>
      <c r="C75" s="52"/>
    </row>
    <row r="76" spans="2:3" ht="13.5" customHeight="1">
      <c r="B76" s="51"/>
      <c r="C76" s="52"/>
    </row>
    <row r="77" spans="2:3" ht="13.5" customHeight="1">
      <c r="B77" s="51"/>
      <c r="C77" s="52"/>
    </row>
    <row r="78" spans="2:3" ht="13.5" customHeight="1">
      <c r="B78" s="51"/>
      <c r="C78" s="52"/>
    </row>
    <row r="79" spans="2:3" ht="13.5" customHeight="1">
      <c r="B79" s="51"/>
      <c r="C79" s="52"/>
    </row>
    <row r="80" spans="2:3" ht="13.5" customHeight="1">
      <c r="B80" s="51"/>
      <c r="C80" s="52"/>
    </row>
    <row r="81" spans="2:3" ht="13.5" customHeight="1">
      <c r="B81" s="51"/>
      <c r="C81" s="52"/>
    </row>
    <row r="82" spans="2:3" ht="13.5" customHeight="1">
      <c r="B82" s="51"/>
      <c r="C82" s="52"/>
    </row>
    <row r="83" spans="2:3" ht="13.5" customHeight="1">
      <c r="B83" s="51"/>
      <c r="C83" s="52"/>
    </row>
    <row r="84" spans="2:3" ht="13.5" customHeight="1">
      <c r="B84" s="51"/>
      <c r="C84" s="52"/>
    </row>
    <row r="85" spans="2:3" ht="13.5" customHeight="1">
      <c r="B85" s="51"/>
      <c r="C85" s="52"/>
    </row>
    <row r="86" spans="2:3" ht="13.5" customHeight="1">
      <c r="B86" s="51"/>
      <c r="C86" s="52"/>
    </row>
    <row r="87" spans="2:3" ht="13.5" customHeight="1">
      <c r="B87" s="51"/>
      <c r="C87" s="52"/>
    </row>
    <row r="88" spans="2:3" ht="13.5" customHeight="1">
      <c r="B88" s="51"/>
      <c r="C88" s="52"/>
    </row>
    <row r="89" spans="2:3" ht="13.5" customHeight="1">
      <c r="B89" s="51"/>
      <c r="C89" s="52"/>
    </row>
    <row r="90" spans="2:3" ht="13.5" customHeight="1">
      <c r="B90" s="51"/>
      <c r="C90" s="52"/>
    </row>
    <row r="91" spans="2:3" ht="13.5" customHeight="1">
      <c r="B91" s="51"/>
      <c r="C91" s="52"/>
    </row>
    <row r="92" spans="2:3" ht="13.5" customHeight="1">
      <c r="B92" s="51"/>
      <c r="C92" s="52"/>
    </row>
    <row r="93" spans="2:3" ht="13.5" customHeight="1">
      <c r="B93" s="51"/>
      <c r="C93" s="52"/>
    </row>
    <row r="94" spans="2:3" ht="13.5" customHeight="1">
      <c r="B94" s="51"/>
      <c r="C94" s="52"/>
    </row>
    <row r="95" spans="2:3" ht="13.5" customHeight="1">
      <c r="B95" s="51"/>
      <c r="C95" s="52"/>
    </row>
    <row r="96" spans="2:3" ht="13.5" customHeight="1">
      <c r="B96" s="51"/>
      <c r="C96" s="52"/>
    </row>
    <row r="97" spans="2:3" ht="13.5" customHeight="1">
      <c r="B97" s="51"/>
      <c r="C97" s="52"/>
    </row>
    <row r="98" spans="2:3" ht="13.5" customHeight="1">
      <c r="B98" s="51"/>
      <c r="C98" s="52"/>
    </row>
    <row r="99" spans="2:3" ht="13.5" customHeight="1">
      <c r="B99" s="51"/>
      <c r="C99" s="52"/>
    </row>
    <row r="100" spans="2:3" ht="13.5" customHeight="1">
      <c r="B100" s="51"/>
      <c r="C100" s="52"/>
    </row>
    <row r="101" spans="2:3" ht="13.5" customHeight="1">
      <c r="B101" s="51"/>
      <c r="C101" s="52"/>
    </row>
    <row r="102" spans="2:3" ht="13.5" customHeight="1">
      <c r="B102" s="51"/>
      <c r="C102" s="52"/>
    </row>
    <row r="103" spans="2:3" ht="13.5" customHeight="1">
      <c r="B103" s="51"/>
      <c r="C103" s="52"/>
    </row>
    <row r="104" spans="2:3" ht="13.5" customHeight="1">
      <c r="B104" s="51"/>
      <c r="C104" s="52"/>
    </row>
    <row r="105" spans="2:3" ht="13.5" customHeight="1">
      <c r="B105" s="51"/>
      <c r="C105" s="52"/>
    </row>
    <row r="106" spans="2:3" ht="13.5" customHeight="1">
      <c r="B106" s="51"/>
      <c r="C106" s="52"/>
    </row>
    <row r="107" spans="2:3" ht="13.5" customHeight="1">
      <c r="B107" s="51"/>
      <c r="C107" s="52"/>
    </row>
    <row r="108" spans="2:3" ht="13.5" customHeight="1">
      <c r="B108" s="51"/>
      <c r="C108" s="52"/>
    </row>
    <row r="109" spans="2:3" ht="13.5" customHeight="1">
      <c r="B109" s="51"/>
      <c r="C109" s="52"/>
    </row>
    <row r="110" spans="2:3" ht="13.5" customHeight="1">
      <c r="B110" s="51"/>
      <c r="C110" s="52"/>
    </row>
    <row r="111" spans="2:3" ht="13.5" customHeight="1">
      <c r="B111" s="51"/>
      <c r="C111" s="52"/>
    </row>
    <row r="112" spans="2:3" ht="13.5" customHeight="1">
      <c r="B112" s="51"/>
      <c r="C112" s="52"/>
    </row>
    <row r="113" spans="2:3" ht="13.5" customHeight="1">
      <c r="B113" s="51"/>
      <c r="C113" s="52"/>
    </row>
    <row r="114" spans="2:3" ht="13.5" customHeight="1">
      <c r="B114" s="51"/>
      <c r="C114" s="52"/>
    </row>
    <row r="115" spans="2:3" ht="13.5" customHeight="1">
      <c r="B115" s="51"/>
      <c r="C115" s="52"/>
    </row>
    <row r="116" spans="2:3" ht="13.5" customHeight="1">
      <c r="B116" s="51"/>
      <c r="C116" s="52"/>
    </row>
    <row r="117" spans="2:3" ht="13.5" customHeight="1">
      <c r="B117" s="51"/>
      <c r="C117" s="52"/>
    </row>
    <row r="118" spans="2:3" ht="13.5" customHeight="1">
      <c r="B118" s="51"/>
      <c r="C118" s="52"/>
    </row>
    <row r="119" spans="2:3" ht="13.5" customHeight="1">
      <c r="B119" s="51"/>
      <c r="C119" s="52"/>
    </row>
    <row r="120" spans="2:3" ht="13.5" customHeight="1">
      <c r="B120" s="51"/>
      <c r="C120" s="52"/>
    </row>
    <row r="121" spans="2:3" ht="13.5" customHeight="1">
      <c r="B121" s="51"/>
      <c r="C121" s="52"/>
    </row>
    <row r="122" spans="2:3" ht="13.5" customHeight="1">
      <c r="B122" s="51"/>
      <c r="C122" s="52"/>
    </row>
    <row r="123" spans="2:3" ht="13.5" customHeight="1">
      <c r="B123" s="51"/>
      <c r="C123" s="52"/>
    </row>
    <row r="124" spans="2:3" ht="13.5" customHeight="1">
      <c r="B124" s="51"/>
      <c r="C124" s="52"/>
    </row>
    <row r="125" spans="2:3" ht="13.5" customHeight="1">
      <c r="B125" s="51"/>
      <c r="C125" s="52"/>
    </row>
    <row r="126" spans="2:3" ht="13.5" customHeight="1">
      <c r="B126" s="51"/>
      <c r="C126" s="52"/>
    </row>
    <row r="127" spans="2:3" ht="13.5" customHeight="1">
      <c r="B127" s="51"/>
      <c r="C127" s="52"/>
    </row>
    <row r="128" spans="2:3" ht="13.5" customHeight="1">
      <c r="B128" s="51"/>
      <c r="C128" s="52"/>
    </row>
    <row r="129" spans="2:3" ht="13.5" customHeight="1">
      <c r="B129" s="51"/>
      <c r="C129" s="52"/>
    </row>
    <row r="130" spans="2:3" ht="13.5" customHeight="1">
      <c r="B130" s="51"/>
      <c r="C130" s="52"/>
    </row>
    <row r="131" spans="2:3" ht="13.5" customHeight="1">
      <c r="B131" s="51"/>
      <c r="C131" s="52"/>
    </row>
    <row r="132" spans="2:3" ht="13.5" customHeight="1">
      <c r="B132" s="51"/>
      <c r="C132" s="52"/>
    </row>
    <row r="133" spans="2:3" ht="13.5" customHeight="1">
      <c r="B133" s="51"/>
      <c r="C133" s="52"/>
    </row>
    <row r="134" spans="2:3" ht="13.5" customHeight="1">
      <c r="B134" s="51"/>
      <c r="C134" s="52"/>
    </row>
    <row r="135" spans="2:3" ht="13.5" customHeight="1">
      <c r="B135" s="51"/>
      <c r="C135" s="52"/>
    </row>
    <row r="136" spans="2:3" ht="13.5" customHeight="1">
      <c r="B136" s="51"/>
      <c r="C136" s="52"/>
    </row>
    <row r="137" spans="2:3" ht="13.5" customHeight="1">
      <c r="B137" s="51"/>
      <c r="C137" s="52"/>
    </row>
    <row r="138" spans="2:3" ht="13.5" customHeight="1">
      <c r="B138" s="51"/>
      <c r="C138" s="52"/>
    </row>
    <row r="139" spans="2:3" ht="13.5" customHeight="1">
      <c r="B139" s="51"/>
      <c r="C139" s="52"/>
    </row>
    <row r="140" spans="2:3" ht="13.5" customHeight="1">
      <c r="B140" s="51"/>
      <c r="C140" s="52"/>
    </row>
    <row r="141" spans="2:3" ht="13.5" customHeight="1">
      <c r="B141" s="51"/>
      <c r="C141" s="52"/>
    </row>
    <row r="142" spans="2:3" ht="13.5" customHeight="1">
      <c r="B142" s="51"/>
      <c r="C142" s="52"/>
    </row>
    <row r="143" spans="2:3" ht="13.5" customHeight="1">
      <c r="B143" s="51"/>
      <c r="C143" s="52"/>
    </row>
    <row r="144" spans="2:3" ht="13.5" customHeight="1">
      <c r="B144" s="51"/>
      <c r="C144" s="52"/>
    </row>
    <row r="145" spans="2:3" ht="13.5" customHeight="1">
      <c r="B145" s="51"/>
      <c r="C145" s="52"/>
    </row>
    <row r="146" spans="2:3" ht="13.5" customHeight="1">
      <c r="B146" s="51"/>
      <c r="C146" s="52"/>
    </row>
    <row r="147" spans="2:3" ht="13.5" customHeight="1">
      <c r="B147" s="51"/>
      <c r="C147" s="52"/>
    </row>
    <row r="148" spans="2:3" ht="13.5" customHeight="1">
      <c r="B148" s="51"/>
      <c r="C148" s="52"/>
    </row>
    <row r="149" spans="2:3" ht="13.5" customHeight="1">
      <c r="B149" s="51"/>
      <c r="C149" s="52"/>
    </row>
    <row r="150" spans="2:3" ht="13.5" customHeight="1">
      <c r="B150" s="51"/>
      <c r="C150" s="52"/>
    </row>
    <row r="151" spans="2:3" ht="13.5" customHeight="1">
      <c r="B151" s="51"/>
      <c r="C151" s="52"/>
    </row>
    <row r="152" spans="2:3" ht="13.5" customHeight="1">
      <c r="B152" s="51"/>
      <c r="C152" s="52"/>
    </row>
    <row r="153" spans="2:3" ht="13.5" customHeight="1">
      <c r="B153" s="51"/>
      <c r="C153" s="52"/>
    </row>
    <row r="154" spans="2:3" ht="13.5" customHeight="1">
      <c r="B154" s="51"/>
      <c r="C154" s="52"/>
    </row>
    <row r="155" spans="2:3" ht="13.5" customHeight="1">
      <c r="B155" s="51"/>
      <c r="C155" s="52"/>
    </row>
    <row r="156" spans="2:3" ht="13.5" customHeight="1">
      <c r="B156" s="51"/>
      <c r="C156" s="52"/>
    </row>
    <row r="157" spans="2:3" ht="13.5" customHeight="1">
      <c r="B157" s="51"/>
      <c r="C157" s="52"/>
    </row>
    <row r="158" spans="2:3" ht="13.5" customHeight="1">
      <c r="B158" s="51"/>
      <c r="C158" s="52"/>
    </row>
    <row r="159" spans="2:3" ht="13.5" customHeight="1">
      <c r="B159" s="51"/>
      <c r="C159" s="52"/>
    </row>
    <row r="160" spans="2:3" ht="13.5" customHeight="1">
      <c r="B160" s="51"/>
      <c r="C160" s="52"/>
    </row>
    <row r="161" spans="2:3" ht="13.5" customHeight="1">
      <c r="B161" s="51"/>
      <c r="C161" s="52"/>
    </row>
    <row r="162" spans="2:3" ht="13.5" customHeight="1">
      <c r="B162" s="51"/>
      <c r="C162" s="52"/>
    </row>
    <row r="163" spans="2:3" ht="13.5" customHeight="1">
      <c r="B163" s="51"/>
      <c r="C163" s="52"/>
    </row>
    <row r="164" spans="2:3" ht="13.5" customHeight="1">
      <c r="B164" s="51"/>
      <c r="C164" s="52"/>
    </row>
    <row r="165" spans="2:3" ht="13.5" customHeight="1">
      <c r="B165" s="51"/>
      <c r="C165" s="52"/>
    </row>
    <row r="166" spans="2:3" ht="13.5" customHeight="1">
      <c r="B166" s="51"/>
      <c r="C166" s="52"/>
    </row>
    <row r="167" spans="2:3" ht="13.5" customHeight="1">
      <c r="B167" s="51"/>
      <c r="C167" s="52"/>
    </row>
    <row r="168" spans="2:3" ht="13.5" customHeight="1">
      <c r="B168" s="51"/>
      <c r="C168" s="52"/>
    </row>
    <row r="169" spans="2:3" ht="13.5" customHeight="1">
      <c r="B169" s="51"/>
      <c r="C169" s="52"/>
    </row>
    <row r="170" spans="2:3" ht="13.5" customHeight="1">
      <c r="B170" s="51"/>
      <c r="C170" s="52"/>
    </row>
    <row r="171" spans="2:3" ht="13.5" customHeight="1">
      <c r="B171" s="51"/>
      <c r="C171" s="52"/>
    </row>
    <row r="172" spans="2:3" ht="13.5" customHeight="1">
      <c r="B172" s="51"/>
      <c r="C172" s="52"/>
    </row>
    <row r="173" spans="2:3" ht="13.5" customHeight="1">
      <c r="B173" s="51"/>
      <c r="C173" s="52"/>
    </row>
    <row r="174" spans="2:3" ht="13.5" customHeight="1">
      <c r="B174" s="51"/>
      <c r="C174" s="52"/>
    </row>
    <row r="175" spans="2:3" ht="13.5" customHeight="1">
      <c r="B175" s="51"/>
      <c r="C175" s="52"/>
    </row>
    <row r="176" spans="2:3" ht="13.5" customHeight="1">
      <c r="B176" s="51"/>
      <c r="C176" s="52"/>
    </row>
    <row r="177" spans="2:3" ht="13.5" customHeight="1">
      <c r="B177" s="51"/>
      <c r="C177" s="52"/>
    </row>
    <row r="178" spans="2:3" ht="13.5" customHeight="1">
      <c r="B178" s="51"/>
      <c r="C178" s="52"/>
    </row>
    <row r="179" spans="2:3" ht="13.5" customHeight="1">
      <c r="B179" s="51"/>
      <c r="C179" s="52"/>
    </row>
    <row r="180" spans="2:3" ht="13.5" customHeight="1">
      <c r="B180" s="51"/>
      <c r="C180" s="52"/>
    </row>
    <row r="181" spans="2:3" ht="13.5" customHeight="1">
      <c r="B181" s="51"/>
      <c r="C181" s="52"/>
    </row>
    <row r="182" spans="2:3" ht="13.5" customHeight="1">
      <c r="B182" s="51"/>
      <c r="C182" s="52"/>
    </row>
    <row r="183" spans="2:3" ht="13.5" customHeight="1">
      <c r="B183" s="51"/>
      <c r="C183" s="52"/>
    </row>
    <row r="184" spans="2:3" ht="13.5" customHeight="1">
      <c r="B184" s="51"/>
      <c r="C184" s="52"/>
    </row>
    <row r="185" spans="2:3" ht="13.5" customHeight="1">
      <c r="B185" s="51"/>
      <c r="C185" s="52"/>
    </row>
    <row r="186" spans="2:3" ht="13.5" customHeight="1">
      <c r="B186" s="51"/>
      <c r="C186" s="52"/>
    </row>
    <row r="187" spans="2:3" ht="13.5" customHeight="1">
      <c r="B187" s="51"/>
      <c r="C187" s="52"/>
    </row>
    <row r="188" spans="2:3" ht="13.5" customHeight="1">
      <c r="B188" s="51"/>
      <c r="C188" s="52"/>
    </row>
    <row r="189" spans="2:3" ht="13.5" customHeight="1">
      <c r="B189" s="51"/>
      <c r="C189" s="52"/>
    </row>
    <row r="190" spans="2:3" ht="13.5" customHeight="1">
      <c r="B190" s="51"/>
      <c r="C190" s="52"/>
    </row>
    <row r="191" spans="2:3" ht="13.5" customHeight="1">
      <c r="B191" s="51"/>
      <c r="C191" s="52"/>
    </row>
    <row r="192" spans="2:3" ht="13.5" customHeight="1">
      <c r="B192" s="51"/>
      <c r="C192" s="52"/>
    </row>
    <row r="193" spans="2:3" ht="13.5" customHeight="1">
      <c r="B193" s="51"/>
      <c r="C193" s="52"/>
    </row>
    <row r="194" spans="2:3" ht="13.5" customHeight="1">
      <c r="B194" s="51"/>
      <c r="C194" s="52"/>
    </row>
    <row r="195" spans="2:3" ht="13.5" customHeight="1">
      <c r="B195" s="51"/>
      <c r="C195" s="52"/>
    </row>
    <row r="196" spans="2:3" ht="13.5" customHeight="1">
      <c r="B196" s="51"/>
      <c r="C196" s="52"/>
    </row>
    <row r="197" spans="2:3" ht="13.5" customHeight="1">
      <c r="B197" s="51"/>
      <c r="C197" s="52"/>
    </row>
    <row r="198" spans="2:3" ht="13.5" customHeight="1">
      <c r="B198" s="51"/>
      <c r="C198" s="52"/>
    </row>
    <row r="199" spans="2:3" ht="13.5" customHeight="1">
      <c r="B199" s="51"/>
      <c r="C199" s="52"/>
    </row>
    <row r="200" spans="2:3" ht="13.5" customHeight="1">
      <c r="B200" s="51"/>
      <c r="C200" s="52"/>
    </row>
    <row r="201" spans="2:3" ht="13.5" customHeight="1">
      <c r="B201" s="51"/>
      <c r="C201" s="52"/>
    </row>
    <row r="202" spans="2:3" ht="13.5" customHeight="1">
      <c r="B202" s="51"/>
      <c r="C202" s="52"/>
    </row>
    <row r="203" spans="2:3" ht="13.5" customHeight="1">
      <c r="B203" s="51"/>
      <c r="C203" s="52"/>
    </row>
    <row r="204" spans="2:3" ht="13.5" customHeight="1">
      <c r="B204" s="51"/>
      <c r="C204" s="52"/>
    </row>
    <row r="205" spans="2:3" ht="13.5" customHeight="1">
      <c r="B205" s="51"/>
      <c r="C205" s="52"/>
    </row>
    <row r="206" spans="2:3" ht="13.5" customHeight="1">
      <c r="B206" s="51"/>
      <c r="C206" s="52"/>
    </row>
    <row r="207" spans="2:3" ht="13.5" customHeight="1">
      <c r="B207" s="51"/>
      <c r="C207" s="52"/>
    </row>
    <row r="208" spans="2:3" ht="13.5" customHeight="1">
      <c r="B208" s="51"/>
      <c r="C208" s="52"/>
    </row>
    <row r="209" spans="2:3" ht="13.5" customHeight="1">
      <c r="B209" s="51"/>
      <c r="C209" s="52"/>
    </row>
    <row r="210" spans="2:3" ht="13.5" customHeight="1">
      <c r="B210" s="51"/>
      <c r="C210" s="52"/>
    </row>
    <row r="211" spans="2:3" ht="13.5" customHeight="1">
      <c r="B211" s="51"/>
      <c r="C211" s="52"/>
    </row>
    <row r="212" spans="2:3" ht="13.5" customHeight="1">
      <c r="B212" s="51"/>
      <c r="C212" s="52"/>
    </row>
    <row r="213" spans="2:3" ht="13.5" customHeight="1">
      <c r="B213" s="51"/>
      <c r="C213" s="52"/>
    </row>
    <row r="214" spans="2:3" ht="13.5" customHeight="1">
      <c r="B214" s="51"/>
      <c r="C214" s="52"/>
    </row>
    <row r="215" spans="2:3" ht="13.5" customHeight="1">
      <c r="B215" s="51"/>
      <c r="C215" s="52"/>
    </row>
    <row r="216" spans="2:3" ht="13.5" customHeight="1">
      <c r="B216" s="51"/>
      <c r="C216" s="52"/>
    </row>
    <row r="217" spans="2:3" ht="13.5" customHeight="1">
      <c r="B217" s="51"/>
      <c r="C217" s="52"/>
    </row>
    <row r="218" spans="2:3" ht="13.5" customHeight="1">
      <c r="B218" s="51"/>
      <c r="C218" s="52"/>
    </row>
    <row r="219" spans="2:3" ht="13.5" customHeight="1">
      <c r="B219" s="51"/>
      <c r="C219" s="52"/>
    </row>
    <row r="220" spans="2:3" ht="13.5" customHeight="1">
      <c r="B220" s="51"/>
      <c r="C220" s="52"/>
    </row>
    <row r="221" spans="2:3" ht="13.5" customHeight="1">
      <c r="B221" s="51"/>
      <c r="C221" s="52"/>
    </row>
    <row r="222" spans="2:3" ht="13.5" customHeight="1">
      <c r="B222" s="51"/>
      <c r="C222" s="52"/>
    </row>
    <row r="223" spans="2:3" ht="13.5" customHeight="1">
      <c r="B223" s="51"/>
      <c r="C223" s="52"/>
    </row>
    <row r="224" spans="2:3" ht="13.5" customHeight="1">
      <c r="B224" s="51"/>
      <c r="C224" s="52"/>
    </row>
    <row r="225" spans="2:3" ht="13.5" customHeight="1">
      <c r="B225" s="51"/>
      <c r="C225" s="52"/>
    </row>
    <row r="226" spans="2:3" ht="13.5" customHeight="1">
      <c r="B226" s="51"/>
      <c r="C226" s="52"/>
    </row>
    <row r="227" spans="2:3" ht="13.5" customHeight="1">
      <c r="B227" s="51"/>
      <c r="C227" s="52"/>
    </row>
    <row r="228" spans="2:3" ht="13.5" customHeight="1">
      <c r="B228" s="51"/>
      <c r="C228" s="52"/>
    </row>
    <row r="229" spans="2:3" ht="13.5" customHeight="1">
      <c r="B229" s="51"/>
      <c r="C229" s="52"/>
    </row>
    <row r="230" spans="2:3" ht="13.5" customHeight="1">
      <c r="B230" s="51"/>
      <c r="C230" s="52"/>
    </row>
    <row r="231" spans="2:3" ht="13.5" customHeight="1">
      <c r="B231" s="51"/>
      <c r="C231" s="52"/>
    </row>
    <row r="232" spans="2:3" ht="13.5" customHeight="1">
      <c r="B232" s="51"/>
      <c r="C232" s="52"/>
    </row>
    <row r="233" spans="2:3" ht="13.5" customHeight="1">
      <c r="B233" s="51"/>
      <c r="C233" s="52"/>
    </row>
    <row r="234" spans="2:3" ht="13.5" customHeight="1">
      <c r="B234" s="51"/>
      <c r="C234" s="52"/>
    </row>
    <row r="235" spans="2:3" ht="13.5" customHeight="1">
      <c r="B235" s="51"/>
      <c r="C235" s="52"/>
    </row>
    <row r="236" spans="2:3" ht="13.5" customHeight="1">
      <c r="B236" s="51"/>
      <c r="C236" s="52"/>
    </row>
    <row r="237" spans="2:3" ht="13.5" customHeight="1">
      <c r="B237" s="51"/>
      <c r="C237" s="52"/>
    </row>
    <row r="238" spans="2:3" ht="13.5" customHeight="1">
      <c r="B238" s="51"/>
      <c r="C238" s="52"/>
    </row>
    <row r="239" spans="2:3" ht="13.5" customHeight="1">
      <c r="B239" s="51"/>
      <c r="C239" s="52"/>
    </row>
    <row r="240" spans="2:3" ht="13.5" customHeight="1">
      <c r="B240" s="51"/>
      <c r="C240" s="52"/>
    </row>
    <row r="241" spans="2:3" ht="13.5" customHeight="1">
      <c r="B241" s="51"/>
      <c r="C241" s="52"/>
    </row>
    <row r="242" spans="2:3" ht="13.5" customHeight="1">
      <c r="B242" s="51"/>
      <c r="C242" s="52"/>
    </row>
    <row r="243" spans="2:3" ht="13.5" customHeight="1">
      <c r="B243" s="51"/>
      <c r="C243" s="52"/>
    </row>
    <row r="244" spans="2:3" ht="13.5" customHeight="1">
      <c r="B244" s="51"/>
      <c r="C244" s="52"/>
    </row>
    <row r="245" spans="2:3" ht="13.5" customHeight="1">
      <c r="B245" s="51"/>
      <c r="C245" s="52"/>
    </row>
    <row r="246" spans="2:3" ht="13.5" customHeight="1">
      <c r="B246" s="51"/>
      <c r="C246" s="52"/>
    </row>
    <row r="247" spans="2:3" ht="13.5" customHeight="1">
      <c r="B247" s="51"/>
      <c r="C247" s="52"/>
    </row>
    <row r="248" spans="2:3" ht="13.5" customHeight="1">
      <c r="B248" s="51"/>
      <c r="C248" s="52"/>
    </row>
    <row r="249" spans="2:3" ht="13.5" customHeight="1">
      <c r="B249" s="51"/>
      <c r="C249" s="52"/>
    </row>
    <row r="250" spans="2:3" ht="13.5" customHeight="1">
      <c r="B250" s="51"/>
      <c r="C250" s="52"/>
    </row>
    <row r="251" spans="2:3" ht="13.5" customHeight="1">
      <c r="B251" s="51"/>
      <c r="C251" s="52"/>
    </row>
    <row r="252" spans="2:3" ht="13.5" customHeight="1">
      <c r="B252" s="51"/>
      <c r="C252" s="52"/>
    </row>
    <row r="253" spans="2:3" ht="13.5" customHeight="1">
      <c r="B253" s="51"/>
      <c r="C253" s="52"/>
    </row>
    <row r="254" spans="2:3" ht="13.5" customHeight="1">
      <c r="B254" s="51"/>
      <c r="C254" s="52"/>
    </row>
    <row r="255" spans="2:3" ht="13.5" customHeight="1">
      <c r="B255" s="51"/>
      <c r="C255" s="52"/>
    </row>
    <row r="256" spans="2:3" ht="13.5" customHeight="1">
      <c r="B256" s="51"/>
      <c r="C256" s="52"/>
    </row>
    <row r="257" spans="2:3" ht="13.5" customHeight="1">
      <c r="B257" s="51"/>
      <c r="C257" s="52"/>
    </row>
    <row r="258" spans="2:3" ht="13.5" customHeight="1">
      <c r="B258" s="51"/>
      <c r="C258" s="52"/>
    </row>
    <row r="259" spans="2:3" ht="13.5" customHeight="1">
      <c r="B259" s="51"/>
      <c r="C259" s="52"/>
    </row>
    <row r="260" spans="2:3" ht="13.5" customHeight="1">
      <c r="B260" s="51"/>
      <c r="C260" s="52"/>
    </row>
    <row r="261" spans="2:3" ht="13.5" customHeight="1">
      <c r="B261" s="51"/>
      <c r="C261" s="52"/>
    </row>
    <row r="262" spans="2:3" ht="13.5" customHeight="1">
      <c r="B262" s="51"/>
      <c r="C262" s="52"/>
    </row>
    <row r="263" spans="2:3" ht="13.5" customHeight="1">
      <c r="B263" s="51"/>
      <c r="C263" s="52"/>
    </row>
    <row r="264" spans="2:3" ht="13.5" customHeight="1">
      <c r="B264" s="51"/>
      <c r="C264" s="52"/>
    </row>
    <row r="265" spans="2:3" ht="13.5" customHeight="1">
      <c r="B265" s="51"/>
      <c r="C265" s="52"/>
    </row>
    <row r="266" spans="2:3" ht="13.5" customHeight="1">
      <c r="B266" s="51"/>
      <c r="C266" s="52"/>
    </row>
    <row r="267" spans="2:3" ht="13.5" customHeight="1">
      <c r="B267" s="51"/>
      <c r="C267" s="52"/>
    </row>
    <row r="268" spans="2:3" ht="13.5" customHeight="1">
      <c r="B268" s="51"/>
      <c r="C268" s="52"/>
    </row>
    <row r="269" spans="2:3" ht="13.5" customHeight="1">
      <c r="B269" s="51"/>
      <c r="C269" s="52"/>
    </row>
    <row r="270" spans="2:3" ht="13.5" customHeight="1">
      <c r="B270" s="51"/>
      <c r="C270" s="52"/>
    </row>
    <row r="271" spans="2:3" ht="13.5" customHeight="1">
      <c r="B271" s="51"/>
      <c r="C271" s="52"/>
    </row>
    <row r="272" spans="2:3" ht="13.5" customHeight="1">
      <c r="B272" s="51"/>
      <c r="C272" s="52"/>
    </row>
    <row r="273" spans="2:3" ht="13.5" customHeight="1">
      <c r="B273" s="51"/>
      <c r="C273" s="52"/>
    </row>
    <row r="274" spans="2:3" ht="13.5" customHeight="1">
      <c r="B274" s="51"/>
      <c r="C274" s="52"/>
    </row>
    <row r="275" spans="2:3" ht="13.5" customHeight="1">
      <c r="B275" s="51"/>
      <c r="C275" s="52"/>
    </row>
    <row r="276" spans="2:3" ht="13.5" customHeight="1">
      <c r="B276" s="51"/>
      <c r="C276" s="52"/>
    </row>
    <row r="277" spans="2:3" ht="13.5" customHeight="1">
      <c r="B277" s="51"/>
      <c r="C277" s="52"/>
    </row>
    <row r="278" spans="2:3" ht="13.5" customHeight="1">
      <c r="B278" s="51"/>
      <c r="C278" s="52"/>
    </row>
    <row r="279" spans="2:3" ht="13.5" customHeight="1">
      <c r="B279" s="51"/>
      <c r="C279" s="52"/>
    </row>
    <row r="280" spans="2:3" ht="13.5" customHeight="1">
      <c r="B280" s="51"/>
      <c r="C280" s="52"/>
    </row>
    <row r="281" spans="2:3" ht="13.5" customHeight="1">
      <c r="B281" s="51"/>
      <c r="C281" s="52"/>
    </row>
    <row r="282" spans="2:3" ht="13.5" customHeight="1">
      <c r="B282" s="51"/>
      <c r="C282" s="52"/>
    </row>
    <row r="283" spans="2:3" ht="13.5" customHeight="1">
      <c r="B283" s="51"/>
      <c r="C283" s="52"/>
    </row>
    <row r="284" spans="2:3" ht="13.5" customHeight="1">
      <c r="B284" s="51"/>
      <c r="C284" s="52"/>
    </row>
    <row r="285" spans="2:3" ht="13.5" customHeight="1">
      <c r="B285" s="51"/>
      <c r="C285" s="52"/>
    </row>
    <row r="286" spans="2:3" ht="13.5" customHeight="1">
      <c r="B286" s="51"/>
      <c r="C286" s="52"/>
    </row>
    <row r="287" spans="2:3" ht="13.5" customHeight="1">
      <c r="B287" s="51"/>
      <c r="C287" s="52"/>
    </row>
    <row r="288" spans="2:3" ht="13.5" customHeight="1">
      <c r="B288" s="51"/>
      <c r="C288" s="52"/>
    </row>
    <row r="289" spans="2:3" ht="13.5" customHeight="1">
      <c r="B289" s="51"/>
      <c r="C289" s="52"/>
    </row>
    <row r="290" spans="2:3" ht="13.5" customHeight="1">
      <c r="B290" s="51"/>
      <c r="C290" s="52"/>
    </row>
    <row r="291" spans="2:3" ht="13.5" customHeight="1">
      <c r="B291" s="51"/>
      <c r="C291" s="52"/>
    </row>
    <row r="292" spans="2:3" ht="13.5" customHeight="1">
      <c r="B292" s="51"/>
      <c r="C292" s="52"/>
    </row>
    <row r="293" spans="2:3" ht="13.5" customHeight="1">
      <c r="B293" s="51"/>
      <c r="C293" s="52"/>
    </row>
    <row r="294" spans="2:3" ht="13.5" customHeight="1">
      <c r="B294" s="51"/>
      <c r="C294" s="52"/>
    </row>
    <row r="295" spans="2:3" ht="13.5" customHeight="1">
      <c r="B295" s="51"/>
      <c r="C295" s="52"/>
    </row>
    <row r="296" spans="2:3" ht="13.5" customHeight="1">
      <c r="B296" s="51"/>
      <c r="C296" s="52"/>
    </row>
    <row r="297" spans="2:3" ht="13.5" customHeight="1">
      <c r="B297" s="51"/>
      <c r="C297" s="52"/>
    </row>
    <row r="298" spans="2:3" ht="13.5" customHeight="1">
      <c r="B298" s="51"/>
      <c r="C298" s="52"/>
    </row>
    <row r="299" spans="2:3" ht="13.5" customHeight="1">
      <c r="B299" s="51"/>
      <c r="C299" s="52"/>
    </row>
    <row r="300" spans="2:3" ht="13.5" customHeight="1">
      <c r="B300" s="51"/>
      <c r="C300" s="52"/>
    </row>
    <row r="301" spans="2:3" ht="13.5" customHeight="1">
      <c r="B301" s="51"/>
      <c r="C301" s="52"/>
    </row>
    <row r="302" spans="2:3" ht="13.5" customHeight="1">
      <c r="B302" s="51"/>
      <c r="C302" s="52"/>
    </row>
    <row r="303" spans="2:3" ht="13.5" customHeight="1">
      <c r="B303" s="51"/>
      <c r="C303" s="52"/>
    </row>
    <row r="304" spans="2:3" ht="13.5" customHeight="1">
      <c r="B304" s="51"/>
      <c r="C304" s="52"/>
    </row>
    <row r="305" spans="2:3" ht="13.5" customHeight="1">
      <c r="B305" s="51"/>
      <c r="C305" s="52"/>
    </row>
    <row r="306" spans="2:3" ht="13.5" customHeight="1">
      <c r="B306" s="51"/>
      <c r="C306" s="52"/>
    </row>
    <row r="307" spans="2:3" ht="13.5" customHeight="1">
      <c r="B307" s="51"/>
      <c r="C307" s="52"/>
    </row>
    <row r="308" spans="2:3" ht="13.5" customHeight="1">
      <c r="B308" s="51"/>
      <c r="C308" s="52"/>
    </row>
    <row r="309" spans="2:3" ht="13.5" customHeight="1">
      <c r="B309" s="51"/>
      <c r="C309" s="52"/>
    </row>
    <row r="310" spans="2:3" ht="13.5" customHeight="1">
      <c r="B310" s="51"/>
      <c r="C310" s="52"/>
    </row>
    <row r="311" spans="2:3" ht="13.5" customHeight="1">
      <c r="B311" s="51"/>
      <c r="C311" s="52"/>
    </row>
    <row r="312" spans="2:3" ht="13.5" customHeight="1">
      <c r="B312" s="51"/>
      <c r="C312" s="52"/>
    </row>
    <row r="313" spans="2:3" ht="13.5" customHeight="1">
      <c r="B313" s="51"/>
      <c r="C313" s="52"/>
    </row>
    <row r="314" spans="2:3" ht="13.5" customHeight="1">
      <c r="B314" s="51"/>
      <c r="C314" s="52"/>
    </row>
    <row r="315" spans="2:3" ht="13.5" customHeight="1">
      <c r="B315" s="51"/>
      <c r="C315" s="52"/>
    </row>
    <row r="316" spans="2:3" ht="13.5" customHeight="1">
      <c r="B316" s="51"/>
      <c r="C316" s="52"/>
    </row>
    <row r="317" spans="2:3" ht="13.5" customHeight="1">
      <c r="B317" s="51"/>
      <c r="C317" s="52"/>
    </row>
    <row r="318" spans="2:3" ht="13.5" customHeight="1">
      <c r="B318" s="51"/>
      <c r="C318" s="52"/>
    </row>
    <row r="319" spans="2:3" ht="13.5" customHeight="1">
      <c r="B319" s="51"/>
      <c r="C319" s="52"/>
    </row>
    <row r="320" spans="2:3" ht="13.5" customHeight="1">
      <c r="B320" s="51"/>
      <c r="C320" s="52"/>
    </row>
    <row r="321" spans="2:3" ht="13.5" customHeight="1">
      <c r="B321" s="51"/>
      <c r="C321" s="52"/>
    </row>
    <row r="322" spans="2:3" ht="13.5" customHeight="1">
      <c r="B322" s="51"/>
      <c r="C322" s="52"/>
    </row>
    <row r="323" spans="2:3" ht="13.5" customHeight="1">
      <c r="B323" s="51"/>
      <c r="C323" s="52"/>
    </row>
    <row r="324" spans="2:3" ht="13.5" customHeight="1">
      <c r="B324" s="51"/>
      <c r="C324" s="52"/>
    </row>
    <row r="325" spans="2:3" ht="13.5" customHeight="1">
      <c r="B325" s="51"/>
      <c r="C325" s="52"/>
    </row>
    <row r="326" spans="2:3" ht="13.5" customHeight="1">
      <c r="B326" s="51"/>
      <c r="C326" s="52"/>
    </row>
    <row r="327" spans="2:3" ht="13.5" customHeight="1">
      <c r="B327" s="51"/>
      <c r="C327" s="52"/>
    </row>
    <row r="328" spans="2:3" ht="13.5" customHeight="1">
      <c r="B328" s="51"/>
      <c r="C328" s="52"/>
    </row>
    <row r="329" spans="2:3" ht="13.5" customHeight="1">
      <c r="B329" s="51"/>
      <c r="C329" s="52"/>
    </row>
    <row r="330" spans="2:3" ht="13.5" customHeight="1">
      <c r="B330" s="51"/>
      <c r="C330" s="52"/>
    </row>
    <row r="331" spans="2:3" ht="13.5" customHeight="1">
      <c r="B331" s="51"/>
      <c r="C331" s="52"/>
    </row>
    <row r="332" spans="2:3" ht="13.5" customHeight="1">
      <c r="B332" s="51"/>
      <c r="C332" s="52"/>
    </row>
    <row r="333" spans="2:3" ht="13.5" customHeight="1">
      <c r="B333" s="51"/>
      <c r="C333" s="52"/>
    </row>
    <row r="334" spans="2:3" ht="13.5" customHeight="1">
      <c r="B334" s="51"/>
      <c r="C334" s="52"/>
    </row>
    <row r="335" spans="2:3" ht="13.5" customHeight="1">
      <c r="B335" s="51"/>
      <c r="C335" s="52"/>
    </row>
    <row r="336" spans="2:3" ht="13.5" customHeight="1">
      <c r="B336" s="51"/>
      <c r="C336" s="52"/>
    </row>
    <row r="337" spans="2:3" ht="13.5" customHeight="1">
      <c r="B337" s="51"/>
      <c r="C337" s="52"/>
    </row>
    <row r="338" spans="2:3" ht="13.5" customHeight="1">
      <c r="B338" s="51"/>
      <c r="C338" s="52"/>
    </row>
    <row r="339" spans="2:3" ht="13.5" customHeight="1">
      <c r="B339" s="51"/>
      <c r="C339" s="52"/>
    </row>
    <row r="340" spans="2:3" ht="13.5" customHeight="1">
      <c r="B340" s="51"/>
      <c r="C340" s="52"/>
    </row>
    <row r="341" spans="2:3" ht="13.5" customHeight="1">
      <c r="B341" s="51"/>
      <c r="C341" s="52"/>
    </row>
    <row r="342" spans="2:3" ht="13.5" customHeight="1">
      <c r="B342" s="51"/>
      <c r="C342" s="52"/>
    </row>
    <row r="343" spans="2:3" ht="13.5" customHeight="1">
      <c r="B343" s="51"/>
      <c r="C343" s="52"/>
    </row>
    <row r="344" spans="2:3" ht="13.5" customHeight="1">
      <c r="B344" s="51"/>
      <c r="C344" s="52"/>
    </row>
    <row r="345" spans="2:3" ht="13.5" customHeight="1">
      <c r="B345" s="51"/>
      <c r="C345" s="52"/>
    </row>
    <row r="346" spans="2:3" ht="13.5" customHeight="1">
      <c r="B346" s="51"/>
      <c r="C346" s="52"/>
    </row>
    <row r="347" spans="2:3" ht="13.5" customHeight="1">
      <c r="B347" s="51"/>
      <c r="C347" s="52"/>
    </row>
    <row r="348" spans="2:3" ht="13.5" customHeight="1">
      <c r="B348" s="51"/>
      <c r="C348" s="52"/>
    </row>
    <row r="349" spans="2:3" ht="13.5" customHeight="1">
      <c r="B349" s="51"/>
      <c r="C349" s="52"/>
    </row>
    <row r="350" spans="2:3" ht="13.5" customHeight="1">
      <c r="B350" s="51"/>
      <c r="C350" s="52"/>
    </row>
    <row r="351" spans="2:3" ht="13.5" customHeight="1">
      <c r="B351" s="51"/>
      <c r="C351" s="52"/>
    </row>
    <row r="352" spans="2:3" ht="13.5" customHeight="1">
      <c r="B352" s="51"/>
      <c r="C352" s="52"/>
    </row>
    <row r="353" spans="2:3" ht="13.5" customHeight="1">
      <c r="B353" s="51"/>
      <c r="C353" s="52"/>
    </row>
    <row r="354" spans="2:3" ht="13.5" customHeight="1">
      <c r="B354" s="51"/>
      <c r="C354" s="52"/>
    </row>
    <row r="355" spans="2:3" ht="13.5" customHeight="1">
      <c r="B355" s="51"/>
      <c r="C355" s="52"/>
    </row>
    <row r="356" spans="2:3" ht="13.5" customHeight="1">
      <c r="B356" s="51"/>
      <c r="C356" s="52"/>
    </row>
    <row r="357" spans="2:3" ht="13.5" customHeight="1">
      <c r="B357" s="51"/>
      <c r="C357" s="52"/>
    </row>
    <row r="358" spans="2:3" ht="13.5" customHeight="1">
      <c r="B358" s="51"/>
      <c r="C358" s="52"/>
    </row>
    <row r="359" spans="2:3" ht="13.5" customHeight="1">
      <c r="B359" s="51"/>
      <c r="C359" s="52"/>
    </row>
    <row r="360" spans="2:3" ht="13.5" customHeight="1">
      <c r="B360" s="51"/>
      <c r="C360" s="52"/>
    </row>
    <row r="361" spans="2:3" ht="13.5" customHeight="1">
      <c r="B361" s="51"/>
      <c r="C361" s="52"/>
    </row>
    <row r="362" spans="2:3" ht="13.5" customHeight="1">
      <c r="B362" s="51"/>
      <c r="C362" s="52"/>
    </row>
    <row r="363" spans="2:3" ht="13.5" customHeight="1">
      <c r="B363" s="51"/>
      <c r="C363" s="52"/>
    </row>
    <row r="364" spans="2:3" ht="13.5" customHeight="1">
      <c r="B364" s="51"/>
      <c r="C364" s="52"/>
    </row>
    <row r="365" spans="2:3" ht="13.5" customHeight="1">
      <c r="B365" s="51"/>
      <c r="C365" s="52"/>
    </row>
    <row r="366" spans="2:3" ht="13.5" customHeight="1">
      <c r="B366" s="51"/>
      <c r="C366" s="52"/>
    </row>
    <row r="367" spans="2:3" ht="13.5" customHeight="1">
      <c r="B367" s="51"/>
      <c r="C367" s="52"/>
    </row>
    <row r="368" spans="2:3" ht="13.5" customHeight="1">
      <c r="B368" s="51"/>
      <c r="C368" s="52"/>
    </row>
    <row r="369" spans="2:3" ht="13.5" customHeight="1">
      <c r="B369" s="51"/>
      <c r="C369" s="52"/>
    </row>
    <row r="370" spans="2:3" ht="13.5" customHeight="1">
      <c r="B370" s="51"/>
      <c r="C370" s="52"/>
    </row>
    <row r="371" spans="2:3" ht="13.5" customHeight="1">
      <c r="B371" s="51"/>
      <c r="C371" s="52"/>
    </row>
    <row r="372" spans="2:3" ht="13.5" customHeight="1">
      <c r="B372" s="51"/>
      <c r="C372" s="52"/>
    </row>
    <row r="373" spans="2:3" ht="13.5" customHeight="1">
      <c r="B373" s="51"/>
      <c r="C373" s="52"/>
    </row>
    <row r="374" spans="2:3" ht="13.5" customHeight="1">
      <c r="B374" s="51"/>
      <c r="C374" s="52"/>
    </row>
    <row r="375" spans="2:3" ht="13.5" customHeight="1">
      <c r="B375" s="51"/>
      <c r="C375" s="52"/>
    </row>
    <row r="376" spans="2:3" ht="13.5" customHeight="1">
      <c r="B376" s="51"/>
      <c r="C376" s="52"/>
    </row>
    <row r="377" spans="2:3" ht="13.5" customHeight="1">
      <c r="B377" s="51"/>
      <c r="C377" s="52"/>
    </row>
    <row r="378" spans="2:3" ht="13.5" customHeight="1">
      <c r="B378" s="51"/>
      <c r="C378" s="52"/>
    </row>
    <row r="379" spans="2:3" ht="13.5" customHeight="1">
      <c r="B379" s="51"/>
      <c r="C379" s="52"/>
    </row>
    <row r="380" spans="2:3" ht="13.5" customHeight="1">
      <c r="B380" s="51"/>
      <c r="C380" s="52"/>
    </row>
    <row r="381" spans="2:3" ht="13.5" customHeight="1">
      <c r="B381" s="51"/>
      <c r="C381" s="52"/>
    </row>
    <row r="382" spans="2:3" ht="13.5" customHeight="1">
      <c r="B382" s="51"/>
      <c r="C382" s="52"/>
    </row>
    <row r="383" spans="2:3" ht="13.5" customHeight="1">
      <c r="B383" s="51"/>
      <c r="C383" s="52"/>
    </row>
    <row r="384" spans="2:3" ht="13.5" customHeight="1">
      <c r="B384" s="51"/>
      <c r="C384" s="52"/>
    </row>
    <row r="385" spans="2:3" ht="13.5" customHeight="1">
      <c r="B385" s="51"/>
      <c r="C385" s="52"/>
    </row>
    <row r="386" spans="2:3" ht="13.5" customHeight="1">
      <c r="B386" s="51"/>
      <c r="C386" s="52"/>
    </row>
    <row r="387" spans="2:3" ht="13.5" customHeight="1">
      <c r="B387" s="51"/>
      <c r="C387" s="52"/>
    </row>
    <row r="388" spans="2:3" ht="13.5" customHeight="1">
      <c r="B388" s="51"/>
      <c r="C388" s="52"/>
    </row>
    <row r="389" spans="2:3" ht="13.5" customHeight="1">
      <c r="B389" s="51"/>
      <c r="C389" s="52"/>
    </row>
    <row r="390" spans="2:3" ht="13.5" customHeight="1">
      <c r="B390" s="51"/>
      <c r="C390" s="52"/>
    </row>
    <row r="391" spans="2:3" ht="13.5" customHeight="1">
      <c r="B391" s="51"/>
      <c r="C391" s="52"/>
    </row>
    <row r="392" spans="2:3" ht="13.5" customHeight="1">
      <c r="B392" s="51"/>
      <c r="C392" s="52"/>
    </row>
    <row r="393" spans="2:3" ht="13.5" customHeight="1">
      <c r="B393" s="51"/>
      <c r="C393" s="52"/>
    </row>
    <row r="394" spans="2:3" ht="13.5" customHeight="1">
      <c r="B394" s="51"/>
      <c r="C394" s="52"/>
    </row>
    <row r="395" spans="2:3" ht="13.5" customHeight="1">
      <c r="B395" s="51"/>
      <c r="C395" s="52"/>
    </row>
    <row r="396" spans="2:3" ht="13.5" customHeight="1">
      <c r="B396" s="51"/>
      <c r="C396" s="52"/>
    </row>
    <row r="397" spans="2:3" ht="13.5" customHeight="1">
      <c r="B397" s="51"/>
      <c r="C397" s="52"/>
    </row>
    <row r="398" spans="2:3" ht="13.5" customHeight="1">
      <c r="B398" s="51"/>
      <c r="C398" s="52"/>
    </row>
    <row r="399" spans="2:3" ht="13.5" customHeight="1">
      <c r="B399" s="51"/>
      <c r="C399" s="52"/>
    </row>
    <row r="400" spans="2:3" ht="13.5" customHeight="1">
      <c r="B400" s="51"/>
      <c r="C400" s="52"/>
    </row>
    <row r="401" spans="2:3" ht="13.5" customHeight="1">
      <c r="B401" s="51"/>
      <c r="C401" s="52"/>
    </row>
    <row r="402" spans="2:3" ht="13.5" customHeight="1">
      <c r="B402" s="51"/>
      <c r="C402" s="52"/>
    </row>
    <row r="403" spans="2:3" ht="13.5" customHeight="1">
      <c r="B403" s="51"/>
      <c r="C403" s="52"/>
    </row>
    <row r="404" spans="2:3" ht="13.5" customHeight="1">
      <c r="B404" s="51"/>
      <c r="C404" s="52"/>
    </row>
    <row r="405" spans="2:3" ht="13.5" customHeight="1">
      <c r="B405" s="51"/>
      <c r="C405" s="52"/>
    </row>
    <row r="406" spans="2:3" ht="13.5" customHeight="1">
      <c r="B406" s="51"/>
      <c r="C406" s="52"/>
    </row>
    <row r="407" spans="2:3" ht="13.5" customHeight="1">
      <c r="B407" s="51"/>
      <c r="C407" s="52"/>
    </row>
    <row r="408" spans="2:3" ht="13.5" customHeight="1">
      <c r="B408" s="51"/>
      <c r="C408" s="52"/>
    </row>
    <row r="409" spans="2:3" ht="13.5" customHeight="1">
      <c r="B409" s="51"/>
      <c r="C409" s="52"/>
    </row>
    <row r="410" spans="2:3" ht="13.5" customHeight="1">
      <c r="B410" s="51"/>
      <c r="C410" s="52"/>
    </row>
    <row r="411" spans="2:3" ht="13.5" customHeight="1">
      <c r="B411" s="51"/>
      <c r="C411" s="52"/>
    </row>
    <row r="412" spans="2:3" ht="13.5" customHeight="1">
      <c r="B412" s="51"/>
      <c r="C412" s="52"/>
    </row>
    <row r="413" spans="2:3" ht="13.5" customHeight="1">
      <c r="B413" s="51"/>
      <c r="C413" s="52"/>
    </row>
    <row r="414" spans="2:3" ht="13.5" customHeight="1">
      <c r="B414" s="51"/>
      <c r="C414" s="52"/>
    </row>
    <row r="415" spans="2:3" ht="13.5" customHeight="1">
      <c r="B415" s="51"/>
      <c r="C415" s="52"/>
    </row>
    <row r="416" spans="2:3" ht="13.5" customHeight="1">
      <c r="B416" s="51"/>
      <c r="C416" s="52"/>
    </row>
    <row r="417" spans="2:3" ht="13.5" customHeight="1">
      <c r="B417" s="51"/>
      <c r="C417" s="52"/>
    </row>
    <row r="418" spans="2:3" ht="13.5" customHeight="1">
      <c r="B418" s="51"/>
      <c r="C418" s="52"/>
    </row>
    <row r="419" spans="2:3" ht="13.5" customHeight="1">
      <c r="B419" s="51"/>
      <c r="C419" s="52"/>
    </row>
    <row r="420" spans="2:3" ht="13.5" customHeight="1">
      <c r="B420" s="51"/>
      <c r="C420" s="52"/>
    </row>
    <row r="421" spans="2:3" ht="13.5" customHeight="1">
      <c r="B421" s="51"/>
      <c r="C421" s="52"/>
    </row>
    <row r="422" spans="2:3" ht="13.5" customHeight="1">
      <c r="B422" s="51"/>
      <c r="C422" s="52"/>
    </row>
    <row r="423" spans="2:3" ht="13.5" customHeight="1">
      <c r="B423" s="51"/>
      <c r="C423" s="52"/>
    </row>
    <row r="424" spans="2:3" ht="13.5" customHeight="1">
      <c r="B424" s="51"/>
      <c r="C424" s="52"/>
    </row>
    <row r="425" spans="2:3" ht="13.5" customHeight="1">
      <c r="B425" s="51"/>
      <c r="C425" s="52"/>
    </row>
    <row r="426" spans="2:3" ht="13.5" customHeight="1">
      <c r="B426" s="51"/>
      <c r="C426" s="52"/>
    </row>
    <row r="427" spans="2:3" ht="13.5" customHeight="1">
      <c r="B427" s="51"/>
      <c r="C427" s="52"/>
    </row>
    <row r="428" spans="2:3" ht="13.5" customHeight="1">
      <c r="B428" s="51"/>
      <c r="C428" s="52"/>
    </row>
    <row r="429" spans="2:3" ht="13.5" customHeight="1">
      <c r="B429" s="51"/>
      <c r="C429" s="52"/>
    </row>
    <row r="430" spans="2:3" ht="13.5" customHeight="1">
      <c r="B430" s="51"/>
      <c r="C430" s="52"/>
    </row>
    <row r="431" spans="2:3" ht="13.5" customHeight="1">
      <c r="B431" s="51"/>
      <c r="C431" s="52"/>
    </row>
    <row r="432" spans="2:3" ht="13.5" customHeight="1">
      <c r="B432" s="51"/>
      <c r="C432" s="52"/>
    </row>
    <row r="433" spans="2:3" ht="13.5" customHeight="1">
      <c r="B433" s="51"/>
      <c r="C433" s="52"/>
    </row>
    <row r="434" spans="2:3" ht="13.5" customHeight="1">
      <c r="B434" s="51"/>
      <c r="C434" s="52"/>
    </row>
    <row r="435" spans="2:3" ht="13.5" customHeight="1">
      <c r="B435" s="51"/>
      <c r="C435" s="52"/>
    </row>
    <row r="436" spans="2:3" ht="13.5" customHeight="1">
      <c r="B436" s="51"/>
      <c r="C436" s="52"/>
    </row>
    <row r="437" spans="2:3" ht="13.5" customHeight="1">
      <c r="B437" s="51"/>
      <c r="C437" s="52"/>
    </row>
    <row r="438" spans="2:3" ht="13.5" customHeight="1">
      <c r="B438" s="51"/>
      <c r="C438" s="52"/>
    </row>
    <row r="439" spans="2:3" ht="13.5" customHeight="1">
      <c r="B439" s="51"/>
      <c r="C439" s="52"/>
    </row>
    <row r="440" spans="2:3" ht="13.5" customHeight="1">
      <c r="B440" s="51"/>
      <c r="C440" s="52"/>
    </row>
    <row r="441" spans="2:3" ht="13.5" customHeight="1">
      <c r="B441" s="51"/>
      <c r="C441" s="52"/>
    </row>
    <row r="442" spans="2:3" ht="13.5" customHeight="1">
      <c r="B442" s="51"/>
      <c r="C442" s="52"/>
    </row>
    <row r="443" spans="2:3" ht="13.5" customHeight="1">
      <c r="B443" s="51"/>
      <c r="C443" s="52"/>
    </row>
    <row r="444" spans="2:3" ht="13.5" customHeight="1">
      <c r="B444" s="51"/>
      <c r="C444" s="52"/>
    </row>
    <row r="445" spans="2:3" ht="13.5" customHeight="1">
      <c r="B445" s="51"/>
      <c r="C445" s="52"/>
    </row>
    <row r="446" spans="2:3" ht="13.5" customHeight="1">
      <c r="B446" s="51"/>
      <c r="C446" s="52"/>
    </row>
    <row r="447" spans="2:3" ht="13.5" customHeight="1">
      <c r="B447" s="51"/>
      <c r="C447" s="52"/>
    </row>
    <row r="448" spans="2:3" ht="13.5" customHeight="1">
      <c r="B448" s="51"/>
      <c r="C448" s="52"/>
    </row>
    <row r="449" spans="2:3" ht="13.5" customHeight="1">
      <c r="B449" s="51"/>
      <c r="C449" s="52"/>
    </row>
    <row r="450" spans="2:3" ht="13.5" customHeight="1">
      <c r="B450" s="51"/>
      <c r="C450" s="52"/>
    </row>
    <row r="451" spans="2:3" ht="13.5" customHeight="1">
      <c r="B451" s="51"/>
      <c r="C451" s="52"/>
    </row>
    <row r="452" spans="2:3" ht="13.5" customHeight="1">
      <c r="B452" s="51"/>
      <c r="C452" s="52"/>
    </row>
    <row r="453" spans="2:3" ht="13.5" customHeight="1">
      <c r="B453" s="51"/>
      <c r="C453" s="52"/>
    </row>
    <row r="454" spans="2:3" ht="13.5" customHeight="1">
      <c r="B454" s="51"/>
      <c r="C454" s="52"/>
    </row>
    <row r="455" spans="2:3" ht="13.5" customHeight="1">
      <c r="B455" s="51"/>
      <c r="C455" s="52"/>
    </row>
    <row r="456" spans="2:3" ht="13.5" customHeight="1">
      <c r="B456" s="51"/>
      <c r="C456" s="52"/>
    </row>
    <row r="457" spans="2:3" ht="13.5" customHeight="1">
      <c r="B457" s="51"/>
      <c r="C457" s="52"/>
    </row>
    <row r="458" spans="2:3" ht="13.5" customHeight="1">
      <c r="B458" s="51"/>
      <c r="C458" s="52"/>
    </row>
    <row r="459" spans="2:3" ht="13.5" customHeight="1">
      <c r="B459" s="51"/>
      <c r="C459" s="52"/>
    </row>
    <row r="460" spans="2:3" ht="13.5" customHeight="1">
      <c r="B460" s="51"/>
      <c r="C460" s="52"/>
    </row>
    <row r="461" spans="2:3" ht="13.5" customHeight="1">
      <c r="B461" s="51"/>
      <c r="C461" s="52"/>
    </row>
    <row r="462" spans="2:3" ht="13.5" customHeight="1">
      <c r="B462" s="51"/>
      <c r="C462" s="52"/>
    </row>
    <row r="463" spans="2:3" ht="13.5" customHeight="1">
      <c r="B463" s="51"/>
      <c r="C463" s="52"/>
    </row>
    <row r="464" spans="2:3" ht="13.5" customHeight="1">
      <c r="B464" s="51"/>
      <c r="C464" s="52"/>
    </row>
    <row r="465" spans="2:3" ht="13.5" customHeight="1">
      <c r="B465" s="51"/>
      <c r="C465" s="52"/>
    </row>
    <row r="466" spans="2:3" ht="13.5" customHeight="1">
      <c r="B466" s="51"/>
      <c r="C466" s="52"/>
    </row>
    <row r="467" spans="2:3" ht="13.5" customHeight="1">
      <c r="B467" s="51"/>
      <c r="C467" s="52"/>
    </row>
    <row r="468" spans="2:3" ht="13.5" customHeight="1">
      <c r="B468" s="51"/>
      <c r="C468" s="52"/>
    </row>
    <row r="469" spans="2:3" ht="13.5" customHeight="1">
      <c r="B469" s="51"/>
      <c r="C469" s="52"/>
    </row>
    <row r="470" spans="2:3" ht="13.5" customHeight="1">
      <c r="B470" s="51"/>
      <c r="C470" s="52"/>
    </row>
    <row r="471" spans="2:3" ht="13.5" customHeight="1">
      <c r="B471" s="51"/>
      <c r="C471" s="52"/>
    </row>
    <row r="472" spans="2:3" ht="13.5" customHeight="1">
      <c r="B472" s="51"/>
      <c r="C472" s="52"/>
    </row>
    <row r="473" spans="2:3" ht="13.5" customHeight="1">
      <c r="B473" s="51"/>
      <c r="C473" s="52"/>
    </row>
    <row r="474" spans="2:3" ht="13.5" customHeight="1">
      <c r="B474" s="51"/>
      <c r="C474" s="52"/>
    </row>
    <row r="475" spans="2:3" ht="13.5" customHeight="1">
      <c r="B475" s="51"/>
      <c r="C475" s="52"/>
    </row>
    <row r="476" spans="2:3" ht="13.5" customHeight="1">
      <c r="B476" s="51"/>
      <c r="C476" s="52"/>
    </row>
    <row r="477" spans="2:3" ht="13.5" customHeight="1">
      <c r="B477" s="51"/>
      <c r="C477" s="52"/>
    </row>
    <row r="478" spans="2:3" ht="13.5" customHeight="1">
      <c r="B478" s="51"/>
      <c r="C478" s="52"/>
    </row>
    <row r="479" spans="2:3" ht="13.5" customHeight="1">
      <c r="B479" s="51"/>
      <c r="C479" s="52"/>
    </row>
    <row r="480" spans="2:3" ht="13.5" customHeight="1">
      <c r="B480" s="51"/>
      <c r="C480" s="52"/>
    </row>
    <row r="481" spans="2:3" ht="13.5" customHeight="1">
      <c r="B481" s="51"/>
      <c r="C481" s="52"/>
    </row>
    <row r="482" spans="2:3" ht="13.5" customHeight="1">
      <c r="B482" s="51"/>
      <c r="C482" s="52"/>
    </row>
    <row r="483" spans="2:3" ht="13.5" customHeight="1">
      <c r="B483" s="51"/>
      <c r="C483" s="52"/>
    </row>
    <row r="484" spans="2:3" ht="13.5" customHeight="1">
      <c r="B484" s="51"/>
      <c r="C484" s="52"/>
    </row>
    <row r="485" spans="2:3" ht="13.5" customHeight="1">
      <c r="B485" s="51"/>
      <c r="C485" s="52"/>
    </row>
    <row r="486" spans="2:3" ht="13.5" customHeight="1">
      <c r="B486" s="51"/>
      <c r="C486" s="52"/>
    </row>
    <row r="487" spans="2:3" ht="13.5" customHeight="1">
      <c r="B487" s="51"/>
      <c r="C487" s="52"/>
    </row>
    <row r="488" spans="2:3" ht="13.5" customHeight="1">
      <c r="B488" s="51"/>
      <c r="C488" s="52"/>
    </row>
    <row r="489" spans="2:3" ht="13.5" customHeight="1">
      <c r="B489" s="51"/>
      <c r="C489" s="52"/>
    </row>
    <row r="490" spans="2:3" ht="13.5" customHeight="1">
      <c r="B490" s="51"/>
      <c r="C490" s="52"/>
    </row>
    <row r="491" spans="2:3" ht="13.5" customHeight="1">
      <c r="B491" s="51"/>
      <c r="C491" s="52"/>
    </row>
    <row r="492" spans="2:3" ht="13.5" customHeight="1">
      <c r="B492" s="51"/>
      <c r="C492" s="52"/>
    </row>
    <row r="493" spans="2:3" ht="13.5" customHeight="1">
      <c r="B493" s="51"/>
      <c r="C493" s="52"/>
    </row>
    <row r="494" spans="2:3" ht="13.5" customHeight="1">
      <c r="B494" s="51"/>
      <c r="C494" s="52"/>
    </row>
    <row r="495" spans="2:3" ht="13.5" customHeight="1">
      <c r="B495" s="51"/>
      <c r="C495" s="52"/>
    </row>
    <row r="496" spans="2:3" ht="13.5" customHeight="1">
      <c r="B496" s="51"/>
      <c r="C496" s="52"/>
    </row>
    <row r="497" spans="2:3" ht="13.5" customHeight="1">
      <c r="B497" s="51"/>
      <c r="C497" s="52"/>
    </row>
    <row r="498" spans="2:3" ht="13.5" customHeight="1">
      <c r="B498" s="51"/>
      <c r="C498" s="52"/>
    </row>
    <row r="499" spans="2:3" ht="13.5" customHeight="1">
      <c r="B499" s="51"/>
      <c r="C499" s="52"/>
    </row>
    <row r="500" spans="2:3" ht="13.5" customHeight="1">
      <c r="B500" s="51"/>
      <c r="C500" s="52"/>
    </row>
    <row r="501" spans="2:3" ht="13.5" customHeight="1">
      <c r="B501" s="51"/>
      <c r="C501" s="52"/>
    </row>
    <row r="502" spans="2:3" ht="13.5" customHeight="1">
      <c r="B502" s="51"/>
      <c r="C502" s="52"/>
    </row>
    <row r="503" spans="2:3" ht="13.5" customHeight="1">
      <c r="B503" s="51"/>
      <c r="C503" s="52"/>
    </row>
    <row r="504" spans="2:3" ht="13.5" customHeight="1">
      <c r="B504" s="51"/>
      <c r="C504" s="52"/>
    </row>
    <row r="505" spans="2:3" ht="13.5" customHeight="1">
      <c r="B505" s="51"/>
      <c r="C505" s="52"/>
    </row>
    <row r="506" spans="2:3" ht="13.5" customHeight="1">
      <c r="B506" s="51"/>
      <c r="C506" s="52"/>
    </row>
    <row r="507" spans="2:3" ht="13.5" customHeight="1">
      <c r="B507" s="51"/>
      <c r="C507" s="52"/>
    </row>
    <row r="508" spans="2:3" ht="13.5" customHeight="1">
      <c r="B508" s="51"/>
      <c r="C508" s="52"/>
    </row>
    <row r="509" spans="2:3" ht="13.5" customHeight="1">
      <c r="B509" s="51"/>
      <c r="C509" s="52"/>
    </row>
    <row r="510" spans="2:3" ht="13.5" customHeight="1">
      <c r="B510" s="51"/>
      <c r="C510" s="52"/>
    </row>
    <row r="511" spans="2:3" ht="13.5" customHeight="1">
      <c r="B511" s="51"/>
      <c r="C511" s="52"/>
    </row>
    <row r="512" spans="2:3" ht="13.5" customHeight="1">
      <c r="B512" s="51"/>
      <c r="C512" s="52"/>
    </row>
    <row r="513" spans="2:3" ht="13.5" customHeight="1">
      <c r="B513" s="51"/>
      <c r="C513" s="52"/>
    </row>
    <row r="514" spans="2:3" ht="13.5" customHeight="1">
      <c r="B514" s="51"/>
      <c r="C514" s="52"/>
    </row>
    <row r="515" spans="2:3" ht="13.5" customHeight="1">
      <c r="B515" s="51"/>
      <c r="C515" s="52"/>
    </row>
    <row r="516" spans="2:3" ht="13.5" customHeight="1">
      <c r="B516" s="51"/>
      <c r="C516" s="52"/>
    </row>
    <row r="517" spans="2:3" ht="13.5" customHeight="1">
      <c r="B517" s="51"/>
      <c r="C517" s="52"/>
    </row>
    <row r="518" spans="2:3" ht="13.5" customHeight="1">
      <c r="B518" s="51"/>
      <c r="C518" s="52"/>
    </row>
    <row r="519" spans="2:3" ht="13.5" customHeight="1">
      <c r="B519" s="51"/>
      <c r="C519" s="52"/>
    </row>
    <row r="520" spans="2:3" ht="13.5" customHeight="1">
      <c r="B520" s="51"/>
      <c r="C520" s="52"/>
    </row>
    <row r="521" spans="2:3" ht="13.5" customHeight="1">
      <c r="B521" s="51"/>
      <c r="C521" s="52"/>
    </row>
    <row r="522" spans="2:3" ht="13.5" customHeight="1">
      <c r="B522" s="51"/>
      <c r="C522" s="52"/>
    </row>
    <row r="523" spans="2:3" ht="13.5" customHeight="1">
      <c r="B523" s="51"/>
      <c r="C523" s="52"/>
    </row>
    <row r="524" spans="2:3" ht="13.5" customHeight="1">
      <c r="B524" s="51"/>
      <c r="C524" s="52"/>
    </row>
    <row r="525" spans="2:3" ht="13.5" customHeight="1">
      <c r="B525" s="51"/>
      <c r="C525" s="52"/>
    </row>
    <row r="526" spans="2:3" ht="13.5" customHeight="1">
      <c r="B526" s="51"/>
      <c r="C526" s="52"/>
    </row>
    <row r="527" spans="2:3" ht="13.5" customHeight="1">
      <c r="B527" s="51"/>
      <c r="C527" s="52"/>
    </row>
    <row r="528" spans="2:3" ht="13.5" customHeight="1">
      <c r="B528" s="51"/>
      <c r="C528" s="52"/>
    </row>
    <row r="529" spans="2:3" ht="13.5" customHeight="1">
      <c r="B529" s="51"/>
      <c r="C529" s="52"/>
    </row>
    <row r="530" spans="2:3" ht="13.5" customHeight="1">
      <c r="B530" s="51"/>
      <c r="C530" s="52"/>
    </row>
    <row r="531" spans="2:3" ht="13.5" customHeight="1">
      <c r="B531" s="51"/>
      <c r="C531" s="52"/>
    </row>
    <row r="532" spans="2:3" ht="13.5" customHeight="1">
      <c r="B532" s="51"/>
      <c r="C532" s="52"/>
    </row>
    <row r="533" spans="2:3" ht="13.5" customHeight="1">
      <c r="B533" s="51"/>
      <c r="C533" s="52"/>
    </row>
    <row r="534" spans="2:3" ht="13.5" customHeight="1">
      <c r="B534" s="51"/>
      <c r="C534" s="52"/>
    </row>
    <row r="535" spans="2:3" ht="13.5" customHeight="1">
      <c r="B535" s="51"/>
      <c r="C535" s="52"/>
    </row>
    <row r="536" spans="2:3" ht="13.5" customHeight="1">
      <c r="B536" s="51"/>
      <c r="C536" s="52"/>
    </row>
    <row r="537" spans="2:3" ht="13.5" customHeight="1">
      <c r="B537" s="51"/>
      <c r="C537" s="52"/>
    </row>
    <row r="538" spans="2:3" ht="13.5" customHeight="1">
      <c r="B538" s="51"/>
      <c r="C538" s="52"/>
    </row>
    <row r="539" spans="2:3" ht="13.5" customHeight="1">
      <c r="B539" s="51"/>
      <c r="C539" s="52"/>
    </row>
    <row r="540" spans="2:3" ht="13.5" customHeight="1">
      <c r="B540" s="51"/>
      <c r="C540" s="52"/>
    </row>
    <row r="541" spans="2:3" ht="13.5" customHeight="1">
      <c r="B541" s="51"/>
      <c r="C541" s="52"/>
    </row>
    <row r="542" spans="2:3" ht="13.5" customHeight="1">
      <c r="B542" s="51"/>
      <c r="C542" s="52"/>
    </row>
    <row r="543" spans="2:3" ht="13.5" customHeight="1">
      <c r="B543" s="51"/>
      <c r="C543" s="52"/>
    </row>
    <row r="544" spans="2:3" ht="13.5" customHeight="1">
      <c r="B544" s="51"/>
      <c r="C544" s="52"/>
    </row>
    <row r="545" spans="2:3" ht="13.5" customHeight="1">
      <c r="B545" s="51"/>
      <c r="C545" s="52"/>
    </row>
    <row r="546" spans="2:3" ht="13.5" customHeight="1">
      <c r="B546" s="51"/>
      <c r="C546" s="52"/>
    </row>
    <row r="547" spans="2:3" ht="13.5" customHeight="1">
      <c r="B547" s="51"/>
      <c r="C547" s="52"/>
    </row>
    <row r="548" spans="2:3" ht="13.5" customHeight="1">
      <c r="B548" s="51"/>
      <c r="C548" s="52"/>
    </row>
    <row r="549" spans="2:3" ht="13.5" customHeight="1">
      <c r="B549" s="51"/>
      <c r="C549" s="52"/>
    </row>
    <row r="550" spans="2:3" ht="13.5" customHeight="1">
      <c r="B550" s="51"/>
      <c r="C550" s="52"/>
    </row>
    <row r="551" spans="2:3" ht="13.5" customHeight="1">
      <c r="B551" s="51"/>
      <c r="C551" s="52"/>
    </row>
    <row r="552" spans="2:3" ht="13.5" customHeight="1">
      <c r="B552" s="51"/>
      <c r="C552" s="52"/>
    </row>
    <row r="553" spans="2:3" ht="13.5" customHeight="1">
      <c r="B553" s="51"/>
      <c r="C553" s="52"/>
    </row>
    <row r="554" spans="2:3" ht="13.5" customHeight="1">
      <c r="B554" s="51"/>
      <c r="C554" s="52"/>
    </row>
    <row r="555" spans="2:3" ht="13.5" customHeight="1">
      <c r="B555" s="51"/>
      <c r="C555" s="52"/>
    </row>
    <row r="556" spans="2:3" ht="13.5" customHeight="1">
      <c r="B556" s="51"/>
      <c r="C556" s="52"/>
    </row>
    <row r="557" spans="2:3" ht="13.5" customHeight="1">
      <c r="B557" s="51"/>
      <c r="C557" s="52"/>
    </row>
    <row r="558" spans="2:3" ht="13.5" customHeight="1">
      <c r="B558" s="51"/>
      <c r="C558" s="52"/>
    </row>
    <row r="559" spans="2:3" ht="13.5" customHeight="1">
      <c r="B559" s="51"/>
      <c r="C559" s="52"/>
    </row>
    <row r="560" spans="2:3" ht="13.5" customHeight="1">
      <c r="B560" s="51"/>
      <c r="C560" s="52"/>
    </row>
    <row r="561" spans="2:3" ht="13.5" customHeight="1">
      <c r="B561" s="51"/>
      <c r="C561" s="52"/>
    </row>
    <row r="562" spans="2:3" ht="13.5" customHeight="1">
      <c r="B562" s="51"/>
      <c r="C562" s="52"/>
    </row>
    <row r="563" spans="2:3" ht="13.5" customHeight="1">
      <c r="B563" s="51"/>
      <c r="C563" s="52"/>
    </row>
    <row r="564" spans="2:3" ht="13.5" customHeight="1">
      <c r="B564" s="51"/>
      <c r="C564" s="52"/>
    </row>
    <row r="565" spans="2:3" ht="13.5" customHeight="1">
      <c r="B565" s="51"/>
      <c r="C565" s="52"/>
    </row>
    <row r="566" spans="2:3" ht="13.5" customHeight="1">
      <c r="B566" s="51"/>
      <c r="C566" s="52"/>
    </row>
    <row r="567" spans="2:3" ht="13.5" customHeight="1">
      <c r="B567" s="51"/>
      <c r="C567" s="52"/>
    </row>
    <row r="568" spans="2:3" ht="13.5" customHeight="1">
      <c r="B568" s="51"/>
      <c r="C568" s="52"/>
    </row>
    <row r="569" spans="2:3" ht="13.5" customHeight="1">
      <c r="B569" s="51"/>
      <c r="C569" s="52"/>
    </row>
    <row r="570" spans="2:3" ht="13.5" customHeight="1">
      <c r="B570" s="51"/>
      <c r="C570" s="52"/>
    </row>
    <row r="571" spans="2:3" ht="13.5" customHeight="1">
      <c r="B571" s="51"/>
      <c r="C571" s="52"/>
    </row>
    <row r="572" spans="2:3" ht="13.5" customHeight="1">
      <c r="B572" s="51"/>
      <c r="C572" s="52"/>
    </row>
    <row r="573" spans="2:3" ht="13.5" customHeight="1">
      <c r="B573" s="51"/>
      <c r="C573" s="52"/>
    </row>
    <row r="574" spans="2:3" ht="13.5" customHeight="1">
      <c r="B574" s="51"/>
      <c r="C574" s="52"/>
    </row>
    <row r="575" spans="2:3" ht="13.5" customHeight="1">
      <c r="B575" s="51"/>
      <c r="C575" s="52"/>
    </row>
    <row r="576" spans="2:3" ht="13.5" customHeight="1">
      <c r="B576" s="51"/>
      <c r="C576" s="52"/>
    </row>
    <row r="577" spans="2:3" ht="13.5" customHeight="1">
      <c r="B577" s="51"/>
      <c r="C577" s="52"/>
    </row>
    <row r="578" spans="2:3" ht="13.5" customHeight="1">
      <c r="B578" s="51"/>
      <c r="C578" s="52"/>
    </row>
    <row r="579" spans="2:3" ht="13.5" customHeight="1">
      <c r="B579" s="51"/>
      <c r="C579" s="52"/>
    </row>
    <row r="580" spans="2:3" ht="13.5" customHeight="1">
      <c r="B580" s="51"/>
      <c r="C580" s="52"/>
    </row>
    <row r="581" spans="2:3" ht="13.5" customHeight="1">
      <c r="B581" s="51"/>
      <c r="C581" s="52"/>
    </row>
    <row r="582" spans="2:3" ht="13.5" customHeight="1">
      <c r="B582" s="51"/>
      <c r="C582" s="52"/>
    </row>
    <row r="583" spans="2:3" ht="13.5" customHeight="1">
      <c r="B583" s="51"/>
      <c r="C583" s="52"/>
    </row>
    <row r="584" spans="2:3" ht="13.5" customHeight="1">
      <c r="B584" s="51"/>
      <c r="C584" s="52"/>
    </row>
    <row r="585" spans="2:3" ht="13.5" customHeight="1">
      <c r="B585" s="51"/>
      <c r="C585" s="52"/>
    </row>
    <row r="586" spans="2:3" ht="13.5" customHeight="1">
      <c r="B586" s="51"/>
      <c r="C586" s="52"/>
    </row>
    <row r="587" spans="2:3" ht="13.5" customHeight="1">
      <c r="B587" s="51"/>
      <c r="C587" s="52"/>
    </row>
    <row r="588" spans="2:3" ht="13.5" customHeight="1">
      <c r="B588" s="51"/>
      <c r="C588" s="52"/>
    </row>
    <row r="589" spans="2:3" ht="13.5" customHeight="1">
      <c r="B589" s="51"/>
      <c r="C589" s="52"/>
    </row>
    <row r="590" spans="2:3" ht="13.5" customHeight="1">
      <c r="B590" s="51"/>
      <c r="C590" s="52"/>
    </row>
    <row r="591" spans="2:3" ht="13.5" customHeight="1">
      <c r="B591" s="51"/>
      <c r="C591" s="52"/>
    </row>
    <row r="592" spans="2:3" ht="13.5" customHeight="1">
      <c r="B592" s="51"/>
      <c r="C592" s="52"/>
    </row>
    <row r="593" spans="2:3" ht="13.5" customHeight="1">
      <c r="B593" s="51"/>
      <c r="C593" s="52"/>
    </row>
    <row r="594" spans="2:3" ht="13.5" customHeight="1">
      <c r="B594" s="51"/>
      <c r="C594" s="52"/>
    </row>
    <row r="595" spans="2:3" ht="13.5" customHeight="1">
      <c r="B595" s="51"/>
      <c r="C595" s="52"/>
    </row>
    <row r="596" spans="2:3" ht="13.5" customHeight="1">
      <c r="B596" s="51"/>
      <c r="C596" s="52"/>
    </row>
    <row r="597" spans="2:3" ht="13.5" customHeight="1">
      <c r="B597" s="51"/>
      <c r="C597" s="52"/>
    </row>
    <row r="598" spans="2:3" ht="13.5" customHeight="1">
      <c r="B598" s="51"/>
      <c r="C598" s="52"/>
    </row>
    <row r="599" spans="2:3" ht="13.5" customHeight="1">
      <c r="B599" s="51"/>
      <c r="C599" s="52"/>
    </row>
    <row r="600" spans="2:3" ht="13.5" customHeight="1">
      <c r="B600" s="51"/>
      <c r="C600" s="52"/>
    </row>
    <row r="601" spans="2:3" ht="13.5" customHeight="1">
      <c r="B601" s="51"/>
      <c r="C601" s="52"/>
    </row>
    <row r="602" spans="2:3" ht="13.5" customHeight="1">
      <c r="B602" s="51"/>
      <c r="C602" s="52"/>
    </row>
    <row r="603" spans="2:3" ht="13.5" customHeight="1">
      <c r="B603" s="51"/>
      <c r="C603" s="52"/>
    </row>
    <row r="604" spans="2:3" ht="13.5" customHeight="1">
      <c r="B604" s="51"/>
      <c r="C604" s="52"/>
    </row>
    <row r="605" spans="2:3" ht="13.5" customHeight="1">
      <c r="B605" s="51"/>
      <c r="C605" s="52"/>
    </row>
    <row r="606" spans="2:3" ht="13.5" customHeight="1">
      <c r="B606" s="51"/>
      <c r="C606" s="52"/>
    </row>
    <row r="607" spans="2:3" ht="13.5" customHeight="1">
      <c r="B607" s="51"/>
      <c r="C607" s="52"/>
    </row>
    <row r="608" spans="2:3" ht="13.5" customHeight="1">
      <c r="B608" s="51"/>
      <c r="C608" s="52"/>
    </row>
    <row r="609" spans="2:3" ht="13.5" customHeight="1">
      <c r="B609" s="51"/>
      <c r="C609" s="52"/>
    </row>
    <row r="610" spans="2:3" ht="13.5" customHeight="1">
      <c r="B610" s="51"/>
      <c r="C610" s="52"/>
    </row>
    <row r="611" spans="2:3" ht="13.5" customHeight="1">
      <c r="B611" s="51"/>
      <c r="C611" s="52"/>
    </row>
    <row r="612" spans="2:3" ht="13.5" customHeight="1">
      <c r="B612" s="51"/>
      <c r="C612" s="52"/>
    </row>
    <row r="613" spans="2:3" ht="13.5" customHeight="1">
      <c r="B613" s="51"/>
      <c r="C613" s="52"/>
    </row>
    <row r="614" spans="2:3" ht="13.5" customHeight="1">
      <c r="B614" s="51"/>
      <c r="C614" s="52"/>
    </row>
    <row r="615" spans="2:3" ht="13.5" customHeight="1">
      <c r="B615" s="51"/>
      <c r="C615" s="52"/>
    </row>
    <row r="616" spans="2:3" ht="13.5" customHeight="1">
      <c r="B616" s="51"/>
      <c r="C616" s="52"/>
    </row>
    <row r="617" spans="2:3" ht="13.5" customHeight="1">
      <c r="B617" s="51"/>
      <c r="C617" s="52"/>
    </row>
    <row r="618" spans="2:3" ht="13.5" customHeight="1">
      <c r="B618" s="51"/>
      <c r="C618" s="52"/>
    </row>
    <row r="619" spans="2:3" ht="13.5" customHeight="1">
      <c r="B619" s="51"/>
      <c r="C619" s="52"/>
    </row>
    <row r="620" spans="2:3" ht="13.5" customHeight="1">
      <c r="B620" s="51"/>
      <c r="C620" s="52"/>
    </row>
    <row r="621" spans="2:3" ht="13.5" customHeight="1">
      <c r="B621" s="51"/>
      <c r="C621" s="52"/>
    </row>
    <row r="622" spans="2:3" ht="13.5" customHeight="1">
      <c r="B622" s="51"/>
      <c r="C622" s="52"/>
    </row>
    <row r="623" spans="2:3" ht="13.5" customHeight="1">
      <c r="B623" s="51"/>
      <c r="C623" s="52"/>
    </row>
    <row r="624" spans="2:3" ht="13.5" customHeight="1">
      <c r="B624" s="51"/>
      <c r="C624" s="52"/>
    </row>
    <row r="625" spans="2:3" ht="13.5" customHeight="1">
      <c r="B625" s="51"/>
      <c r="C625" s="52"/>
    </row>
    <row r="626" spans="2:3" ht="13.5" customHeight="1">
      <c r="B626" s="51"/>
      <c r="C626" s="52"/>
    </row>
    <row r="627" spans="2:3" ht="13.5" customHeight="1">
      <c r="B627" s="51"/>
      <c r="C627" s="52"/>
    </row>
    <row r="628" spans="2:3" ht="13.5" customHeight="1">
      <c r="B628" s="51"/>
      <c r="C628" s="52"/>
    </row>
    <row r="629" spans="2:3" ht="13.5" customHeight="1">
      <c r="B629" s="51"/>
      <c r="C629" s="52"/>
    </row>
    <row r="630" spans="2:3" ht="13.5" customHeight="1">
      <c r="B630" s="51"/>
      <c r="C630" s="52"/>
    </row>
    <row r="631" spans="2:3" ht="13.5" customHeight="1">
      <c r="B631" s="51"/>
      <c r="C631" s="52"/>
    </row>
    <row r="632" spans="2:3" ht="13.5" customHeight="1">
      <c r="B632" s="51"/>
      <c r="C632" s="52"/>
    </row>
    <row r="633" spans="2:3" ht="13.5" customHeight="1">
      <c r="B633" s="51"/>
      <c r="C633" s="52"/>
    </row>
    <row r="634" spans="2:3" ht="13.5" customHeight="1">
      <c r="B634" s="51"/>
      <c r="C634" s="52"/>
    </row>
    <row r="635" spans="2:3" ht="13.5" customHeight="1">
      <c r="B635" s="51"/>
      <c r="C635" s="52"/>
    </row>
    <row r="636" spans="2:3" ht="13.5" customHeight="1">
      <c r="B636" s="51"/>
      <c r="C636" s="52"/>
    </row>
    <row r="637" spans="2:3" ht="13.5" customHeight="1">
      <c r="B637" s="51"/>
      <c r="C637" s="52"/>
    </row>
    <row r="638" spans="2:3" ht="13.5" customHeight="1">
      <c r="B638" s="51"/>
      <c r="C638" s="52"/>
    </row>
    <row r="639" spans="2:3" ht="13.5" customHeight="1">
      <c r="B639" s="51"/>
      <c r="C639" s="52"/>
    </row>
    <row r="640" spans="2:3" ht="13.5" customHeight="1">
      <c r="B640" s="51"/>
      <c r="C640" s="52"/>
    </row>
    <row r="641" spans="2:3" ht="13.5" customHeight="1">
      <c r="B641" s="51"/>
      <c r="C641" s="52"/>
    </row>
    <row r="642" spans="2:3" ht="13.5" customHeight="1">
      <c r="B642" s="51"/>
      <c r="C642" s="52"/>
    </row>
    <row r="643" spans="2:3" ht="13.5" customHeight="1">
      <c r="B643" s="51"/>
      <c r="C643" s="52"/>
    </row>
    <row r="644" spans="2:3" ht="13.5" customHeight="1">
      <c r="B644" s="51"/>
      <c r="C644" s="52"/>
    </row>
    <row r="645" spans="2:3" ht="13.5" customHeight="1">
      <c r="B645" s="51"/>
      <c r="C645" s="52"/>
    </row>
    <row r="646" spans="2:3" ht="13.5" customHeight="1">
      <c r="B646" s="51"/>
      <c r="C646" s="52"/>
    </row>
    <row r="647" spans="2:3" ht="13.5" customHeight="1">
      <c r="B647" s="51"/>
      <c r="C647" s="52"/>
    </row>
    <row r="648" spans="2:3" ht="13.5" customHeight="1">
      <c r="B648" s="51"/>
      <c r="C648" s="52"/>
    </row>
    <row r="649" spans="2:3" ht="13.5" customHeight="1">
      <c r="B649" s="51"/>
      <c r="C649" s="52"/>
    </row>
    <row r="650" spans="2:3" ht="13.5" customHeight="1">
      <c r="B650" s="51"/>
      <c r="C650" s="52"/>
    </row>
    <row r="651" spans="2:3" ht="13.5" customHeight="1">
      <c r="B651" s="51"/>
      <c r="C651" s="52"/>
    </row>
    <row r="652" spans="2:3" ht="13.5" customHeight="1">
      <c r="B652" s="51"/>
      <c r="C652" s="52"/>
    </row>
    <row r="653" spans="2:3" ht="13.5" customHeight="1">
      <c r="B653" s="51"/>
      <c r="C653" s="52"/>
    </row>
    <row r="654" spans="2:3" ht="13.5" customHeight="1">
      <c r="B654" s="51"/>
      <c r="C654" s="52"/>
    </row>
    <row r="655" spans="2:3" ht="13.5" customHeight="1">
      <c r="B655" s="51"/>
      <c r="C655" s="52"/>
    </row>
    <row r="656" spans="2:3" ht="13.5" customHeight="1">
      <c r="B656" s="51"/>
      <c r="C656" s="52"/>
    </row>
    <row r="657" spans="2:3" ht="13.5" customHeight="1">
      <c r="B657" s="51"/>
      <c r="C657" s="52"/>
    </row>
    <row r="658" spans="2:3" ht="13.5" customHeight="1">
      <c r="B658" s="51"/>
      <c r="C658" s="52"/>
    </row>
    <row r="659" spans="2:3" ht="13.5" customHeight="1">
      <c r="B659" s="51"/>
      <c r="C659" s="52"/>
    </row>
    <row r="660" spans="2:3" ht="13.5" customHeight="1">
      <c r="B660" s="51"/>
      <c r="C660" s="52"/>
    </row>
    <row r="661" spans="2:3" ht="13.5" customHeight="1">
      <c r="B661" s="51"/>
      <c r="C661" s="52"/>
    </row>
    <row r="662" spans="2:3" ht="13.5" customHeight="1">
      <c r="B662" s="51"/>
      <c r="C662" s="52"/>
    </row>
    <row r="663" spans="2:3" ht="13.5" customHeight="1">
      <c r="B663" s="51"/>
      <c r="C663" s="52"/>
    </row>
    <row r="664" spans="2:3" ht="13.5" customHeight="1">
      <c r="B664" s="51"/>
      <c r="C664" s="52"/>
    </row>
    <row r="665" spans="2:3" ht="13.5" customHeight="1">
      <c r="B665" s="51"/>
      <c r="C665" s="52"/>
    </row>
    <row r="666" spans="2:3" ht="13.5" customHeight="1">
      <c r="B666" s="51"/>
      <c r="C666" s="52"/>
    </row>
    <row r="667" spans="2:3" ht="13.5" customHeight="1">
      <c r="B667" s="51"/>
      <c r="C667" s="52"/>
    </row>
    <row r="668" spans="2:3" ht="13.5" customHeight="1">
      <c r="B668" s="51"/>
      <c r="C668" s="52"/>
    </row>
    <row r="669" spans="2:3" ht="13.5" customHeight="1">
      <c r="B669" s="51"/>
      <c r="C669" s="52"/>
    </row>
    <row r="670" spans="2:3" ht="13.5" customHeight="1">
      <c r="B670" s="51"/>
      <c r="C670" s="52"/>
    </row>
    <row r="671" spans="2:3" ht="13.5" customHeight="1">
      <c r="B671" s="51"/>
      <c r="C671" s="52"/>
    </row>
    <row r="672" spans="2:3" ht="13.5" customHeight="1">
      <c r="B672" s="51"/>
      <c r="C672" s="52"/>
    </row>
    <row r="673" spans="2:3" ht="13.5" customHeight="1">
      <c r="B673" s="51"/>
      <c r="C673" s="52"/>
    </row>
    <row r="674" spans="2:3" ht="13.5" customHeight="1">
      <c r="B674" s="51"/>
      <c r="C674" s="52"/>
    </row>
    <row r="675" spans="2:3" ht="13.5" customHeight="1">
      <c r="B675" s="51"/>
      <c r="C675" s="52"/>
    </row>
    <row r="676" spans="2:3" ht="13.5" customHeight="1">
      <c r="B676" s="51"/>
      <c r="C676" s="52"/>
    </row>
    <row r="677" spans="2:3" ht="13.5" customHeight="1">
      <c r="B677" s="51"/>
      <c r="C677" s="52"/>
    </row>
    <row r="678" spans="2:3" ht="13.5" customHeight="1">
      <c r="B678" s="51"/>
      <c r="C678" s="52"/>
    </row>
    <row r="679" spans="2:3" ht="13.5" customHeight="1">
      <c r="B679" s="51"/>
      <c r="C679" s="52"/>
    </row>
    <row r="680" spans="2:3" ht="13.5" customHeight="1">
      <c r="B680" s="51"/>
      <c r="C680" s="52"/>
    </row>
    <row r="681" spans="2:3" ht="13.5" customHeight="1">
      <c r="B681" s="51"/>
      <c r="C681" s="52"/>
    </row>
    <row r="682" spans="2:3" ht="13.5" customHeight="1">
      <c r="B682" s="51"/>
      <c r="C682" s="52"/>
    </row>
    <row r="683" spans="2:3" ht="13.5" customHeight="1">
      <c r="B683" s="51"/>
      <c r="C683" s="52"/>
    </row>
    <row r="684" spans="2:3" ht="13.5" customHeight="1">
      <c r="B684" s="51"/>
      <c r="C684" s="52"/>
    </row>
    <row r="685" spans="2:3" ht="13.5" customHeight="1">
      <c r="B685" s="51"/>
      <c r="C685" s="52"/>
    </row>
    <row r="686" spans="2:3" ht="13.5" customHeight="1">
      <c r="B686" s="51"/>
      <c r="C686" s="52"/>
    </row>
    <row r="687" spans="2:3" ht="13.5" customHeight="1">
      <c r="B687" s="51"/>
      <c r="C687" s="52"/>
    </row>
    <row r="688" spans="2:3" ht="13.5" customHeight="1">
      <c r="B688" s="51"/>
      <c r="C688" s="52"/>
    </row>
    <row r="689" spans="2:3" ht="13.5" customHeight="1">
      <c r="B689" s="51"/>
      <c r="C689" s="52"/>
    </row>
    <row r="690" spans="2:3" ht="13.5" customHeight="1">
      <c r="B690" s="51"/>
      <c r="C690" s="52"/>
    </row>
    <row r="691" spans="2:3" ht="13.5" customHeight="1">
      <c r="B691" s="51"/>
      <c r="C691" s="52"/>
    </row>
    <row r="692" spans="2:3" ht="13.5" customHeight="1">
      <c r="B692" s="51"/>
      <c r="C692" s="52"/>
    </row>
    <row r="693" spans="2:3" ht="13.5" customHeight="1">
      <c r="B693" s="51"/>
      <c r="C693" s="52"/>
    </row>
    <row r="694" spans="2:3" ht="13.5" customHeight="1">
      <c r="B694" s="51"/>
      <c r="C694" s="52"/>
    </row>
    <row r="695" spans="2:3" ht="13.5" customHeight="1">
      <c r="B695" s="51"/>
      <c r="C695" s="52"/>
    </row>
    <row r="696" spans="2:3" ht="13.5" customHeight="1">
      <c r="B696" s="51"/>
      <c r="C696" s="52"/>
    </row>
    <row r="697" spans="2:3" ht="13.5" customHeight="1">
      <c r="B697" s="51"/>
      <c r="C697" s="52"/>
    </row>
    <row r="698" spans="2:3" ht="13.5" customHeight="1">
      <c r="B698" s="51"/>
      <c r="C698" s="52"/>
    </row>
    <row r="699" spans="2:3" ht="13.5" customHeight="1">
      <c r="B699" s="51"/>
      <c r="C699" s="52"/>
    </row>
    <row r="700" spans="2:3" ht="13.5" customHeight="1">
      <c r="B700" s="51"/>
      <c r="C700" s="52"/>
    </row>
    <row r="701" spans="2:3" ht="13.5" customHeight="1">
      <c r="B701" s="51"/>
      <c r="C701" s="52"/>
    </row>
    <row r="702" spans="2:3" ht="13.5" customHeight="1">
      <c r="B702" s="51"/>
      <c r="C702" s="52"/>
    </row>
    <row r="703" spans="2:3" ht="13.5" customHeight="1">
      <c r="B703" s="51"/>
      <c r="C703" s="52"/>
    </row>
    <row r="704" spans="2:3" ht="13.5" customHeight="1">
      <c r="B704" s="51"/>
      <c r="C704" s="52"/>
    </row>
    <row r="705" spans="2:3" ht="13.5" customHeight="1">
      <c r="B705" s="51"/>
      <c r="C705" s="52"/>
    </row>
    <row r="706" spans="2:3" ht="13.5" customHeight="1">
      <c r="B706" s="51"/>
      <c r="C706" s="52"/>
    </row>
    <row r="707" spans="2:3" ht="13.5" customHeight="1">
      <c r="B707" s="51"/>
      <c r="C707" s="52"/>
    </row>
    <row r="708" spans="2:3" ht="13.5" customHeight="1">
      <c r="B708" s="51"/>
      <c r="C708" s="52"/>
    </row>
    <row r="709" spans="2:3" ht="13.5" customHeight="1">
      <c r="B709" s="51"/>
      <c r="C709" s="52"/>
    </row>
    <row r="710" spans="2:3" ht="13.5" customHeight="1">
      <c r="B710" s="51"/>
      <c r="C710" s="52"/>
    </row>
    <row r="711" spans="2:3" ht="13.5" customHeight="1">
      <c r="B711" s="51"/>
      <c r="C711" s="52"/>
    </row>
    <row r="712" spans="2:3" ht="13.5" customHeight="1">
      <c r="B712" s="51"/>
      <c r="C712" s="52"/>
    </row>
    <row r="713" spans="2:3" ht="13.5" customHeight="1">
      <c r="B713" s="51"/>
      <c r="C713" s="52"/>
    </row>
    <row r="714" spans="2:3" ht="13.5" customHeight="1">
      <c r="B714" s="51"/>
      <c r="C714" s="52"/>
    </row>
    <row r="715" spans="2:3" ht="13.5" customHeight="1">
      <c r="B715" s="51"/>
      <c r="C715" s="52"/>
    </row>
    <row r="716" spans="2:3" ht="13.5" customHeight="1">
      <c r="B716" s="51"/>
      <c r="C716" s="52"/>
    </row>
    <row r="717" spans="2:3" ht="13.5" customHeight="1">
      <c r="B717" s="51"/>
      <c r="C717" s="52"/>
    </row>
    <row r="718" spans="2:3" ht="13.5" customHeight="1">
      <c r="B718" s="51"/>
      <c r="C718" s="52"/>
    </row>
    <row r="719" spans="2:3" ht="13.5" customHeight="1">
      <c r="B719" s="51"/>
      <c r="C719" s="52"/>
    </row>
    <row r="720" spans="2:3" ht="13.5" customHeight="1">
      <c r="B720" s="51"/>
      <c r="C720" s="52"/>
    </row>
    <row r="721" spans="2:3" ht="13.5" customHeight="1">
      <c r="B721" s="51"/>
      <c r="C721" s="52"/>
    </row>
    <row r="722" spans="2:3" ht="13.5" customHeight="1">
      <c r="B722" s="51"/>
      <c r="C722" s="52"/>
    </row>
    <row r="723" spans="2:3" ht="13.5" customHeight="1">
      <c r="B723" s="51"/>
      <c r="C723" s="52"/>
    </row>
    <row r="724" spans="2:3" ht="13.5" customHeight="1">
      <c r="B724" s="51"/>
      <c r="C724" s="52"/>
    </row>
    <row r="725" spans="2:3" ht="13.5" customHeight="1">
      <c r="B725" s="51"/>
      <c r="C725" s="52"/>
    </row>
    <row r="726" spans="2:3" ht="13.5" customHeight="1">
      <c r="B726" s="51"/>
      <c r="C726" s="52"/>
    </row>
    <row r="727" spans="2:3" ht="13.5" customHeight="1">
      <c r="B727" s="51"/>
      <c r="C727" s="52"/>
    </row>
    <row r="728" spans="2:3" ht="13.5" customHeight="1">
      <c r="B728" s="51"/>
      <c r="C728" s="52"/>
    </row>
    <row r="729" spans="2:3" ht="13.5" customHeight="1">
      <c r="B729" s="51"/>
      <c r="C729" s="52"/>
    </row>
    <row r="730" spans="2:3" ht="13.5" customHeight="1">
      <c r="B730" s="51"/>
      <c r="C730" s="52"/>
    </row>
    <row r="731" spans="2:3" ht="13.5" customHeight="1">
      <c r="B731" s="51"/>
      <c r="C731" s="52"/>
    </row>
    <row r="732" spans="2:3" ht="13.5" customHeight="1">
      <c r="B732" s="51"/>
      <c r="C732" s="52"/>
    </row>
    <row r="733" spans="2:3" ht="13.5" customHeight="1">
      <c r="B733" s="51"/>
      <c r="C733" s="52"/>
    </row>
    <row r="734" spans="2:3" ht="13.5" customHeight="1">
      <c r="B734" s="51"/>
      <c r="C734" s="52"/>
    </row>
    <row r="735" spans="2:3" ht="13.5" customHeight="1">
      <c r="B735" s="51"/>
      <c r="C735" s="52"/>
    </row>
    <row r="736" spans="2:3" ht="13.5" customHeight="1">
      <c r="B736" s="51"/>
      <c r="C736" s="52"/>
    </row>
    <row r="737" spans="2:3" ht="13.5" customHeight="1">
      <c r="B737" s="51"/>
      <c r="C737" s="52"/>
    </row>
    <row r="738" spans="2:3" ht="13.5" customHeight="1">
      <c r="B738" s="51"/>
      <c r="C738" s="52"/>
    </row>
    <row r="739" spans="2:3" ht="13.5" customHeight="1">
      <c r="B739" s="51"/>
      <c r="C739" s="52"/>
    </row>
    <row r="740" spans="2:3" ht="13.5" customHeight="1">
      <c r="B740" s="51"/>
      <c r="C740" s="52"/>
    </row>
    <row r="741" spans="2:3" ht="13.5" customHeight="1">
      <c r="B741" s="51"/>
      <c r="C741" s="52"/>
    </row>
    <row r="742" spans="2:3" ht="13.5" customHeight="1">
      <c r="B742" s="51"/>
      <c r="C742" s="52"/>
    </row>
    <row r="743" spans="2:3" ht="13.5" customHeight="1">
      <c r="B743" s="51"/>
      <c r="C743" s="52"/>
    </row>
    <row r="744" spans="2:3" ht="13.5" customHeight="1">
      <c r="B744" s="51"/>
      <c r="C744" s="52"/>
    </row>
    <row r="745" spans="2:3" ht="13.5" customHeight="1">
      <c r="B745" s="51"/>
      <c r="C745" s="52"/>
    </row>
    <row r="746" spans="2:3" ht="13.5" customHeight="1">
      <c r="B746" s="51"/>
      <c r="C746" s="52"/>
    </row>
    <row r="747" spans="2:3" ht="13.5" customHeight="1">
      <c r="B747" s="51"/>
      <c r="C747" s="52"/>
    </row>
    <row r="748" spans="2:3" ht="13.5" customHeight="1">
      <c r="B748" s="51"/>
      <c r="C748" s="52"/>
    </row>
    <row r="749" spans="2:3" ht="13.5" customHeight="1">
      <c r="B749" s="51"/>
      <c r="C749" s="52"/>
    </row>
    <row r="750" spans="2:3" ht="13.5" customHeight="1">
      <c r="B750" s="51"/>
      <c r="C750" s="52"/>
    </row>
    <row r="751" spans="2:3" ht="13.5" customHeight="1">
      <c r="B751" s="51"/>
      <c r="C751" s="52"/>
    </row>
    <row r="752" spans="2:3" ht="13.5" customHeight="1">
      <c r="B752" s="51"/>
      <c r="C752" s="52"/>
    </row>
    <row r="753" spans="2:3" ht="13.5" customHeight="1">
      <c r="B753" s="51"/>
      <c r="C753" s="52"/>
    </row>
    <row r="754" spans="2:3" ht="13.5" customHeight="1">
      <c r="B754" s="51"/>
      <c r="C754" s="52"/>
    </row>
    <row r="755" spans="2:3" ht="13.5" customHeight="1">
      <c r="B755" s="51"/>
      <c r="C755" s="52"/>
    </row>
    <row r="756" spans="2:3" ht="13.5" customHeight="1">
      <c r="B756" s="51"/>
      <c r="C756" s="52"/>
    </row>
    <row r="757" spans="2:3" ht="13.5" customHeight="1">
      <c r="B757" s="51"/>
      <c r="C757" s="52"/>
    </row>
    <row r="758" spans="2:3" ht="13.5" customHeight="1">
      <c r="B758" s="51"/>
      <c r="C758" s="52"/>
    </row>
    <row r="759" spans="2:3" ht="13.5" customHeight="1">
      <c r="B759" s="51"/>
      <c r="C759" s="52"/>
    </row>
    <row r="760" spans="2:3" ht="13.5" customHeight="1">
      <c r="B760" s="51"/>
      <c r="C760" s="52"/>
    </row>
    <row r="761" spans="2:3" ht="13.5" customHeight="1">
      <c r="B761" s="51"/>
      <c r="C761" s="52"/>
    </row>
    <row r="762" spans="2:3" ht="13.5" customHeight="1">
      <c r="B762" s="51"/>
      <c r="C762" s="52"/>
    </row>
    <row r="763" spans="2:3" ht="13.5" customHeight="1">
      <c r="B763" s="51"/>
      <c r="C763" s="52"/>
    </row>
    <row r="764" spans="2:3" ht="13.5" customHeight="1">
      <c r="B764" s="51"/>
      <c r="C764" s="52"/>
    </row>
    <row r="765" spans="2:3" ht="13.5" customHeight="1">
      <c r="B765" s="51"/>
      <c r="C765" s="52"/>
    </row>
    <row r="766" spans="2:3" ht="13.5" customHeight="1">
      <c r="B766" s="51"/>
      <c r="C766" s="52"/>
    </row>
    <row r="767" spans="2:3" ht="13.5" customHeight="1">
      <c r="B767" s="51"/>
      <c r="C767" s="52"/>
    </row>
    <row r="768" spans="2:3" ht="13.5" customHeight="1">
      <c r="B768" s="51"/>
      <c r="C768" s="52"/>
    </row>
    <row r="769" spans="2:3" ht="13.5" customHeight="1">
      <c r="B769" s="51"/>
      <c r="C769" s="52"/>
    </row>
    <row r="770" spans="2:3" ht="13.5" customHeight="1">
      <c r="B770" s="51"/>
      <c r="C770" s="52"/>
    </row>
    <row r="771" spans="2:3" ht="13.5" customHeight="1">
      <c r="B771" s="51"/>
      <c r="C771" s="52"/>
    </row>
    <row r="772" spans="2:3" ht="13.5" customHeight="1">
      <c r="B772" s="51"/>
      <c r="C772" s="52"/>
    </row>
    <row r="773" spans="2:3" ht="13.5" customHeight="1">
      <c r="B773" s="51"/>
      <c r="C773" s="52"/>
    </row>
    <row r="774" spans="2:3" ht="13.5" customHeight="1">
      <c r="B774" s="51"/>
      <c r="C774" s="52"/>
    </row>
    <row r="775" spans="2:3" ht="13.5" customHeight="1">
      <c r="B775" s="51"/>
      <c r="C775" s="52"/>
    </row>
    <row r="776" spans="2:3" ht="13.5" customHeight="1">
      <c r="B776" s="51"/>
      <c r="C776" s="52"/>
    </row>
    <row r="777" spans="2:3" ht="13.5" customHeight="1">
      <c r="B777" s="51"/>
      <c r="C777" s="52"/>
    </row>
    <row r="778" spans="2:3" ht="13.5" customHeight="1">
      <c r="B778" s="51"/>
      <c r="C778" s="52"/>
    </row>
    <row r="779" spans="2:3" ht="13.5" customHeight="1">
      <c r="B779" s="51"/>
      <c r="C779" s="52"/>
    </row>
    <row r="780" spans="2:3" ht="13.5" customHeight="1">
      <c r="B780" s="51"/>
      <c r="C780" s="52"/>
    </row>
    <row r="781" spans="2:3" ht="13.5" customHeight="1">
      <c r="B781" s="51"/>
      <c r="C781" s="52"/>
    </row>
    <row r="782" spans="2:3" ht="13.5" customHeight="1">
      <c r="B782" s="51"/>
      <c r="C782" s="52"/>
    </row>
    <row r="783" spans="2:3" ht="13.5" customHeight="1">
      <c r="B783" s="51"/>
      <c r="C783" s="52"/>
    </row>
    <row r="784" spans="2:3" ht="13.5" customHeight="1">
      <c r="B784" s="51"/>
      <c r="C784" s="52"/>
    </row>
    <row r="785" spans="2:3" ht="13.5" customHeight="1">
      <c r="B785" s="51"/>
      <c r="C785" s="52"/>
    </row>
    <row r="786" spans="2:3" ht="13.5" customHeight="1">
      <c r="B786" s="51"/>
      <c r="C786" s="52"/>
    </row>
    <row r="787" spans="2:3" ht="13.5" customHeight="1">
      <c r="B787" s="51"/>
      <c r="C787" s="52"/>
    </row>
    <row r="788" spans="2:3" ht="13.5" customHeight="1">
      <c r="B788" s="51"/>
      <c r="C788" s="52"/>
    </row>
    <row r="789" spans="2:3" ht="13.5" customHeight="1">
      <c r="B789" s="51"/>
      <c r="C789" s="52"/>
    </row>
    <row r="790" spans="2:3" ht="13.5" customHeight="1">
      <c r="B790" s="51"/>
      <c r="C790" s="52"/>
    </row>
    <row r="791" spans="2:3" ht="13.5" customHeight="1">
      <c r="B791" s="51"/>
      <c r="C791" s="52"/>
    </row>
    <row r="792" spans="2:3" ht="13.5" customHeight="1">
      <c r="B792" s="51"/>
      <c r="C792" s="52"/>
    </row>
    <row r="793" spans="2:3" ht="13.5" customHeight="1">
      <c r="B793" s="51"/>
      <c r="C793" s="52"/>
    </row>
    <row r="794" spans="2:3" ht="13.5" customHeight="1">
      <c r="B794" s="51"/>
      <c r="C794" s="52"/>
    </row>
    <row r="795" spans="2:3" ht="13.5" customHeight="1">
      <c r="B795" s="51"/>
      <c r="C795" s="52"/>
    </row>
    <row r="796" spans="2:3" ht="13.5" customHeight="1">
      <c r="B796" s="51"/>
      <c r="C796" s="52"/>
    </row>
    <row r="797" spans="2:3" ht="13.5" customHeight="1">
      <c r="B797" s="51"/>
      <c r="C797" s="52"/>
    </row>
    <row r="798" spans="2:3" ht="13.5" customHeight="1">
      <c r="B798" s="51"/>
      <c r="C798" s="52"/>
    </row>
    <row r="799" spans="2:3" ht="13.5" customHeight="1">
      <c r="B799" s="51"/>
      <c r="C799" s="52"/>
    </row>
    <row r="800" spans="2:3" ht="13.5" customHeight="1">
      <c r="B800" s="51"/>
      <c r="C800" s="52"/>
    </row>
    <row r="801" spans="2:3" ht="13.5" customHeight="1">
      <c r="B801" s="51"/>
      <c r="C801" s="52"/>
    </row>
    <row r="802" spans="2:3" ht="13.5" customHeight="1">
      <c r="B802" s="51"/>
      <c r="C802" s="52"/>
    </row>
    <row r="803" spans="2:3" ht="13.5" customHeight="1">
      <c r="B803" s="51"/>
      <c r="C803" s="52"/>
    </row>
    <row r="804" spans="2:3" ht="13.5" customHeight="1">
      <c r="B804" s="51"/>
      <c r="C804" s="52"/>
    </row>
    <row r="805" spans="2:3" ht="13.5" customHeight="1">
      <c r="B805" s="51"/>
      <c r="C805" s="52"/>
    </row>
    <row r="806" spans="2:3" ht="13.5" customHeight="1">
      <c r="B806" s="51"/>
      <c r="C806" s="52"/>
    </row>
    <row r="807" spans="2:3" ht="13.5" customHeight="1">
      <c r="B807" s="51"/>
      <c r="C807" s="52"/>
    </row>
    <row r="808" spans="2:3" ht="13.5" customHeight="1">
      <c r="B808" s="51"/>
      <c r="C808" s="52"/>
    </row>
    <row r="809" spans="2:3" ht="13.5" customHeight="1">
      <c r="B809" s="51"/>
      <c r="C809" s="52"/>
    </row>
    <row r="810" spans="2:3" ht="13.5" customHeight="1">
      <c r="B810" s="51"/>
      <c r="C810" s="52"/>
    </row>
    <row r="811" spans="2:3" ht="13.5" customHeight="1">
      <c r="B811" s="51"/>
      <c r="C811" s="52"/>
    </row>
    <row r="812" spans="2:3" ht="13.5" customHeight="1">
      <c r="B812" s="51"/>
      <c r="C812" s="52"/>
    </row>
    <row r="813" spans="2:3" ht="13.5" customHeight="1">
      <c r="B813" s="51"/>
      <c r="C813" s="52"/>
    </row>
    <row r="814" spans="2:3" ht="13.5" customHeight="1">
      <c r="B814" s="51"/>
      <c r="C814" s="52"/>
    </row>
    <row r="815" spans="2:3" ht="13.5" customHeight="1">
      <c r="B815" s="51"/>
      <c r="C815" s="52"/>
    </row>
    <row r="816" spans="2:3" ht="13.5" customHeight="1">
      <c r="B816" s="51"/>
      <c r="C816" s="52"/>
    </row>
    <row r="817" spans="2:3" ht="13.5" customHeight="1">
      <c r="B817" s="51"/>
      <c r="C817" s="52"/>
    </row>
    <row r="818" spans="2:3" ht="13.5" customHeight="1">
      <c r="B818" s="51"/>
      <c r="C818" s="52"/>
    </row>
    <row r="819" spans="2:3" ht="13.5" customHeight="1">
      <c r="B819" s="51"/>
      <c r="C819" s="52"/>
    </row>
    <row r="820" spans="2:3" ht="13.5" customHeight="1">
      <c r="B820" s="51"/>
      <c r="C820" s="52"/>
    </row>
    <row r="821" spans="2:3" ht="13.5" customHeight="1">
      <c r="B821" s="51"/>
      <c r="C821" s="52"/>
    </row>
    <row r="822" spans="2:3" ht="13.5" customHeight="1">
      <c r="B822" s="51"/>
      <c r="C822" s="52"/>
    </row>
    <row r="823" spans="2:3" ht="13.5" customHeight="1">
      <c r="B823" s="51"/>
      <c r="C823" s="52"/>
    </row>
    <row r="824" spans="2:3" ht="13.5" customHeight="1">
      <c r="B824" s="51"/>
      <c r="C824" s="52"/>
    </row>
    <row r="825" spans="2:3" ht="13.5" customHeight="1">
      <c r="B825" s="51"/>
      <c r="C825" s="52"/>
    </row>
    <row r="826" spans="2:3" ht="13.5" customHeight="1">
      <c r="B826" s="51"/>
      <c r="C826" s="52"/>
    </row>
    <row r="827" spans="2:3" ht="13.5" customHeight="1">
      <c r="B827" s="51"/>
      <c r="C827" s="52"/>
    </row>
    <row r="828" spans="2:3" ht="13.5" customHeight="1">
      <c r="B828" s="51"/>
      <c r="C828" s="52"/>
    </row>
    <row r="829" spans="2:3" ht="13.5" customHeight="1">
      <c r="B829" s="51"/>
      <c r="C829" s="52"/>
    </row>
    <row r="830" spans="2:3" ht="13.5" customHeight="1">
      <c r="B830" s="51"/>
      <c r="C830" s="52"/>
    </row>
    <row r="831" spans="2:3" ht="13.5" customHeight="1">
      <c r="B831" s="51"/>
      <c r="C831" s="52"/>
    </row>
    <row r="832" spans="2:3" ht="13.5" customHeight="1">
      <c r="B832" s="51"/>
      <c r="C832" s="52"/>
    </row>
    <row r="833" spans="2:3" ht="13.5" customHeight="1">
      <c r="B833" s="51"/>
      <c r="C833" s="52"/>
    </row>
    <row r="834" spans="2:3" ht="13.5" customHeight="1">
      <c r="B834" s="51"/>
      <c r="C834" s="52"/>
    </row>
    <row r="835" spans="2:3" ht="13.5" customHeight="1">
      <c r="B835" s="51"/>
      <c r="C835" s="52"/>
    </row>
    <row r="836" spans="2:3" ht="13.5" customHeight="1">
      <c r="B836" s="51"/>
      <c r="C836" s="52"/>
    </row>
    <row r="837" spans="2:3" ht="13.5" customHeight="1">
      <c r="B837" s="51"/>
      <c r="C837" s="52"/>
    </row>
    <row r="838" spans="2:3" ht="13.5" customHeight="1">
      <c r="B838" s="51"/>
      <c r="C838" s="52"/>
    </row>
    <row r="839" spans="2:3" ht="13.5" customHeight="1">
      <c r="B839" s="51"/>
      <c r="C839" s="52"/>
    </row>
    <row r="840" spans="2:3" ht="13.5" customHeight="1">
      <c r="B840" s="51"/>
      <c r="C840" s="52"/>
    </row>
    <row r="841" spans="2:3" ht="13.5" customHeight="1">
      <c r="B841" s="51"/>
      <c r="C841" s="52"/>
    </row>
    <row r="842" spans="2:3" ht="13.5" customHeight="1">
      <c r="B842" s="51"/>
      <c r="C842" s="52"/>
    </row>
    <row r="843" spans="2:3" ht="13.5" customHeight="1">
      <c r="B843" s="51"/>
      <c r="C843" s="52"/>
    </row>
    <row r="844" spans="2:3" ht="13.5" customHeight="1">
      <c r="B844" s="51"/>
      <c r="C844" s="52"/>
    </row>
    <row r="845" spans="2:3" ht="13.5" customHeight="1">
      <c r="B845" s="51"/>
      <c r="C845" s="52"/>
    </row>
    <row r="846" spans="2:3" ht="13.5" customHeight="1">
      <c r="B846" s="51"/>
      <c r="C846" s="52"/>
    </row>
    <row r="847" spans="2:3" ht="13.5" customHeight="1">
      <c r="B847" s="51"/>
      <c r="C847" s="52"/>
    </row>
    <row r="848" spans="2:3" ht="13.5" customHeight="1">
      <c r="B848" s="51"/>
      <c r="C848" s="52"/>
    </row>
    <row r="849" spans="2:3" ht="13.5" customHeight="1">
      <c r="B849" s="51"/>
      <c r="C849" s="52"/>
    </row>
    <row r="850" spans="2:3" ht="13.5" customHeight="1">
      <c r="B850" s="51"/>
      <c r="C850" s="52"/>
    </row>
    <row r="851" spans="2:3" ht="13.5" customHeight="1">
      <c r="B851" s="51"/>
      <c r="C851" s="52"/>
    </row>
    <row r="852" spans="2:3" ht="13.5" customHeight="1">
      <c r="B852" s="51"/>
      <c r="C852" s="52"/>
    </row>
    <row r="853" spans="2:3" ht="13.5" customHeight="1">
      <c r="B853" s="51"/>
      <c r="C853" s="52"/>
    </row>
    <row r="854" spans="2:3" ht="13.5" customHeight="1">
      <c r="B854" s="51"/>
      <c r="C854" s="52"/>
    </row>
    <row r="855" spans="2:3" ht="13.5" customHeight="1">
      <c r="B855" s="51"/>
      <c r="C855" s="52"/>
    </row>
    <row r="856" spans="2:3" ht="13.5" customHeight="1">
      <c r="B856" s="51"/>
      <c r="C856" s="52"/>
    </row>
    <row r="857" spans="2:3" ht="13.5" customHeight="1">
      <c r="B857" s="51"/>
      <c r="C857" s="52"/>
    </row>
    <row r="858" spans="2:3" ht="13.5" customHeight="1">
      <c r="B858" s="51"/>
      <c r="C858" s="52"/>
    </row>
    <row r="859" spans="2:3" ht="13.5" customHeight="1">
      <c r="B859" s="51"/>
      <c r="C859" s="52"/>
    </row>
    <row r="860" spans="2:3" ht="13.5" customHeight="1">
      <c r="B860" s="51"/>
      <c r="C860" s="52"/>
    </row>
    <row r="861" spans="2:3" ht="13.5" customHeight="1">
      <c r="B861" s="51"/>
      <c r="C861" s="52"/>
    </row>
    <row r="862" spans="2:3" ht="13.5" customHeight="1">
      <c r="B862" s="51"/>
      <c r="C862" s="52"/>
    </row>
    <row r="863" spans="2:3" ht="13.5" customHeight="1">
      <c r="B863" s="51"/>
      <c r="C863" s="52"/>
    </row>
    <row r="864" spans="2:3" ht="13.5" customHeight="1">
      <c r="B864" s="51"/>
      <c r="C864" s="52"/>
    </row>
    <row r="865" spans="2:3" ht="13.5" customHeight="1">
      <c r="B865" s="51"/>
      <c r="C865" s="52"/>
    </row>
    <row r="866" spans="2:3" ht="13.5" customHeight="1">
      <c r="B866" s="51"/>
      <c r="C866" s="52"/>
    </row>
    <row r="867" spans="2:3" ht="13.5" customHeight="1">
      <c r="B867" s="51"/>
      <c r="C867" s="52"/>
    </row>
    <row r="868" spans="2:3" ht="13.5" customHeight="1">
      <c r="B868" s="51"/>
      <c r="C868" s="52"/>
    </row>
    <row r="869" spans="2:3" ht="13.5" customHeight="1">
      <c r="B869" s="51"/>
      <c r="C869" s="52"/>
    </row>
    <row r="870" spans="2:3" ht="13.5" customHeight="1">
      <c r="B870" s="51"/>
      <c r="C870" s="52"/>
    </row>
    <row r="871" spans="2:3" ht="13.5" customHeight="1">
      <c r="B871" s="51"/>
      <c r="C871" s="52"/>
    </row>
    <row r="872" spans="2:3" ht="13.5" customHeight="1">
      <c r="B872" s="51"/>
      <c r="C872" s="52"/>
    </row>
    <row r="873" spans="2:3" ht="13.5" customHeight="1">
      <c r="B873" s="51"/>
      <c r="C873" s="52"/>
    </row>
    <row r="874" spans="2:3" ht="13.5" customHeight="1">
      <c r="B874" s="51"/>
      <c r="C874" s="52"/>
    </row>
    <row r="875" spans="2:3" ht="13.5" customHeight="1">
      <c r="B875" s="51"/>
      <c r="C875" s="52"/>
    </row>
    <row r="876" spans="2:3" ht="13.5" customHeight="1">
      <c r="B876" s="51"/>
      <c r="C876" s="52"/>
    </row>
    <row r="877" spans="2:3" ht="13.5" customHeight="1">
      <c r="B877" s="51"/>
      <c r="C877" s="52"/>
    </row>
    <row r="878" spans="2:3" ht="13.5" customHeight="1">
      <c r="B878" s="51"/>
      <c r="C878" s="52"/>
    </row>
    <row r="879" spans="2:3" ht="13.5" customHeight="1">
      <c r="B879" s="51"/>
      <c r="C879" s="52"/>
    </row>
    <row r="880" spans="2:3" ht="13.5" customHeight="1">
      <c r="B880" s="51"/>
      <c r="C880" s="52"/>
    </row>
    <row r="881" spans="2:3" ht="13.5" customHeight="1">
      <c r="B881" s="51"/>
      <c r="C881" s="52"/>
    </row>
    <row r="882" spans="2:3" ht="13.5" customHeight="1">
      <c r="B882" s="51"/>
      <c r="C882" s="52"/>
    </row>
    <row r="883" spans="2:3" ht="13.5" customHeight="1">
      <c r="B883" s="51"/>
      <c r="C883" s="52"/>
    </row>
    <row r="884" spans="2:3" ht="13.5" customHeight="1">
      <c r="B884" s="51"/>
      <c r="C884" s="52"/>
    </row>
    <row r="885" spans="2:3" ht="13.5" customHeight="1">
      <c r="B885" s="51"/>
      <c r="C885" s="52"/>
    </row>
    <row r="886" spans="2:3" ht="13.5" customHeight="1">
      <c r="B886" s="51"/>
      <c r="C886" s="52"/>
    </row>
    <row r="887" spans="2:3" ht="13.5" customHeight="1">
      <c r="B887" s="51"/>
      <c r="C887" s="52"/>
    </row>
    <row r="888" spans="2:3" ht="13.5" customHeight="1">
      <c r="B888" s="51"/>
      <c r="C888" s="52"/>
    </row>
    <row r="889" spans="2:3" ht="13.5" customHeight="1">
      <c r="B889" s="51"/>
      <c r="C889" s="52"/>
    </row>
    <row r="890" spans="2:3" ht="13.5" customHeight="1">
      <c r="B890" s="51"/>
      <c r="C890" s="52"/>
    </row>
    <row r="891" spans="2:3" ht="13.5" customHeight="1">
      <c r="B891" s="51"/>
      <c r="C891" s="52"/>
    </row>
    <row r="892" spans="2:3" ht="13.5" customHeight="1">
      <c r="B892" s="51"/>
      <c r="C892" s="52"/>
    </row>
    <row r="893" spans="2:3" ht="13.5" customHeight="1">
      <c r="B893" s="51"/>
      <c r="C893" s="52"/>
    </row>
    <row r="894" spans="2:3" ht="13.5" customHeight="1">
      <c r="B894" s="51"/>
      <c r="C894" s="52"/>
    </row>
    <row r="895" spans="2:3" ht="13.5" customHeight="1">
      <c r="B895" s="51"/>
      <c r="C895" s="52"/>
    </row>
    <row r="896" spans="2:3" ht="13.5" customHeight="1">
      <c r="B896" s="51"/>
      <c r="C896" s="52"/>
    </row>
    <row r="897" spans="2:3" ht="13.5" customHeight="1">
      <c r="B897" s="51"/>
      <c r="C897" s="52"/>
    </row>
    <row r="898" spans="2:3" ht="13.5" customHeight="1">
      <c r="B898" s="51"/>
      <c r="C898" s="52"/>
    </row>
    <row r="899" spans="2:3" ht="13.5" customHeight="1">
      <c r="B899" s="51"/>
      <c r="C899" s="52"/>
    </row>
    <row r="900" spans="2:3" ht="13.5" customHeight="1">
      <c r="B900" s="51"/>
      <c r="C900" s="52"/>
    </row>
    <row r="901" spans="2:3" ht="13.5" customHeight="1">
      <c r="B901" s="51"/>
      <c r="C901" s="52"/>
    </row>
    <row r="902" spans="2:3" ht="13.5" customHeight="1">
      <c r="B902" s="51"/>
      <c r="C902" s="52"/>
    </row>
    <row r="903" spans="2:3" ht="13.5" customHeight="1">
      <c r="B903" s="51"/>
      <c r="C903" s="52"/>
    </row>
    <row r="904" spans="2:3" ht="13.5" customHeight="1">
      <c r="B904" s="51"/>
      <c r="C904" s="52"/>
    </row>
    <row r="905" spans="2:3" ht="13.5" customHeight="1">
      <c r="B905" s="51"/>
      <c r="C905" s="52"/>
    </row>
    <row r="906" spans="2:3" ht="13.5" customHeight="1">
      <c r="B906" s="51"/>
      <c r="C906" s="52"/>
    </row>
    <row r="907" spans="2:3" ht="13.5" customHeight="1">
      <c r="B907" s="51"/>
      <c r="C907" s="52"/>
    </row>
    <row r="908" spans="2:3" ht="13.5" customHeight="1">
      <c r="B908" s="51"/>
      <c r="C908" s="52"/>
    </row>
    <row r="909" spans="2:3" ht="13.5" customHeight="1">
      <c r="B909" s="51"/>
      <c r="C909" s="52"/>
    </row>
    <row r="910" spans="2:3" ht="13.5" customHeight="1">
      <c r="B910" s="51"/>
      <c r="C910" s="52"/>
    </row>
    <row r="911" spans="2:3" ht="13.5" customHeight="1">
      <c r="B911" s="51"/>
      <c r="C911" s="52"/>
    </row>
    <row r="912" spans="2:3" ht="13.5" customHeight="1">
      <c r="B912" s="51"/>
      <c r="C912" s="52"/>
    </row>
    <row r="913" spans="2:3" ht="13.5" customHeight="1">
      <c r="B913" s="51"/>
      <c r="C913" s="52"/>
    </row>
    <row r="914" spans="2:3" ht="13.5" customHeight="1">
      <c r="B914" s="51"/>
      <c r="C914" s="52"/>
    </row>
    <row r="915" spans="2:3" ht="13.5" customHeight="1">
      <c r="B915" s="51"/>
      <c r="C915" s="52"/>
    </row>
    <row r="916" spans="2:3" ht="13.5" customHeight="1">
      <c r="B916" s="51"/>
      <c r="C916" s="52"/>
    </row>
    <row r="917" spans="2:3" ht="13.5" customHeight="1">
      <c r="B917" s="51"/>
      <c r="C917" s="52"/>
    </row>
    <row r="918" spans="2:3" ht="13.5" customHeight="1">
      <c r="B918" s="51"/>
      <c r="C918" s="52"/>
    </row>
    <row r="919" spans="2:3" ht="13.5" customHeight="1">
      <c r="B919" s="51"/>
      <c r="C919" s="52"/>
    </row>
    <row r="920" spans="2:3" ht="13.5" customHeight="1">
      <c r="B920" s="51"/>
      <c r="C920" s="52"/>
    </row>
    <row r="921" spans="2:3" ht="13.5" customHeight="1">
      <c r="B921" s="51"/>
      <c r="C921" s="52"/>
    </row>
    <row r="922" spans="2:3" ht="13.5" customHeight="1">
      <c r="B922" s="51"/>
      <c r="C922" s="52"/>
    </row>
    <row r="923" spans="2:3" ht="13.5" customHeight="1">
      <c r="B923" s="51"/>
      <c r="C923" s="52"/>
    </row>
    <row r="924" spans="2:3" ht="13.5" customHeight="1">
      <c r="B924" s="51"/>
      <c r="C924" s="52"/>
    </row>
    <row r="925" spans="2:3" ht="13.5" customHeight="1">
      <c r="B925" s="51"/>
      <c r="C925" s="52"/>
    </row>
    <row r="926" spans="2:3" ht="13.5" customHeight="1">
      <c r="B926" s="51"/>
      <c r="C926" s="52"/>
    </row>
    <row r="927" spans="2:3" ht="13.5" customHeight="1">
      <c r="B927" s="51"/>
      <c r="C927" s="52"/>
    </row>
    <row r="928" spans="2:3" ht="13.5" customHeight="1">
      <c r="B928" s="51"/>
      <c r="C928" s="52"/>
    </row>
    <row r="929" spans="2:3" ht="13.5" customHeight="1">
      <c r="B929" s="51"/>
      <c r="C929" s="52"/>
    </row>
    <row r="930" spans="2:3" ht="13.5" customHeight="1">
      <c r="B930" s="51"/>
      <c r="C930" s="52"/>
    </row>
    <row r="931" spans="2:3" ht="13.5" customHeight="1">
      <c r="B931" s="51"/>
      <c r="C931" s="52"/>
    </row>
    <row r="932" spans="2:3" ht="13.5" customHeight="1">
      <c r="B932" s="51"/>
      <c r="C932" s="52"/>
    </row>
    <row r="933" spans="2:3" ht="13.5" customHeight="1">
      <c r="B933" s="51"/>
      <c r="C933" s="52"/>
    </row>
    <row r="934" spans="2:3" ht="13.5" customHeight="1">
      <c r="B934" s="51"/>
      <c r="C934" s="52"/>
    </row>
    <row r="935" spans="2:3" ht="13.5" customHeight="1">
      <c r="B935" s="51"/>
      <c r="C935" s="52"/>
    </row>
    <row r="936" spans="2:3" ht="13.5" customHeight="1">
      <c r="B936" s="51"/>
      <c r="C936" s="52"/>
    </row>
    <row r="937" spans="2:3" ht="13.5" customHeight="1">
      <c r="B937" s="51"/>
      <c r="C937" s="52"/>
    </row>
    <row r="938" spans="2:3" ht="13.5" customHeight="1">
      <c r="B938" s="51"/>
      <c r="C938" s="52"/>
    </row>
    <row r="939" spans="2:3" ht="13.5" customHeight="1">
      <c r="B939" s="51"/>
      <c r="C939" s="52"/>
    </row>
    <row r="940" spans="2:3" ht="13.5" customHeight="1">
      <c r="B940" s="51"/>
      <c r="C940" s="52"/>
    </row>
    <row r="941" spans="2:3" ht="13.5" customHeight="1">
      <c r="B941" s="51"/>
      <c r="C941" s="52"/>
    </row>
    <row r="942" spans="2:3" ht="13.5" customHeight="1">
      <c r="B942" s="51"/>
      <c r="C942" s="52"/>
    </row>
    <row r="943" spans="2:3" ht="13.5" customHeight="1">
      <c r="B943" s="51"/>
      <c r="C943" s="52"/>
    </row>
    <row r="944" spans="2:3" ht="13.5" customHeight="1">
      <c r="B944" s="51"/>
      <c r="C944" s="52"/>
    </row>
    <row r="945" spans="2:3" ht="13.5" customHeight="1">
      <c r="B945" s="51"/>
      <c r="C945" s="52"/>
    </row>
    <row r="946" spans="2:3" ht="13.5" customHeight="1">
      <c r="B946" s="51"/>
      <c r="C946" s="52"/>
    </row>
    <row r="947" spans="2:3" ht="13.5" customHeight="1">
      <c r="B947" s="51"/>
      <c r="C947" s="52"/>
    </row>
    <row r="948" spans="2:3" ht="13.5" customHeight="1">
      <c r="B948" s="51"/>
      <c r="C948" s="52"/>
    </row>
    <row r="949" spans="2:3" ht="13.5" customHeight="1">
      <c r="B949" s="51"/>
      <c r="C949" s="52"/>
    </row>
    <row r="950" spans="2:3" ht="13.5" customHeight="1">
      <c r="B950" s="51"/>
      <c r="C950" s="52"/>
    </row>
    <row r="951" spans="2:3" ht="13.5" customHeight="1">
      <c r="B951" s="51"/>
      <c r="C951" s="52"/>
    </row>
    <row r="952" spans="2:3" ht="13.5" customHeight="1">
      <c r="B952" s="51"/>
      <c r="C952" s="52"/>
    </row>
    <row r="953" spans="2:3" ht="13.5" customHeight="1">
      <c r="B953" s="51"/>
      <c r="C953" s="52"/>
    </row>
    <row r="954" spans="2:3" ht="13.5" customHeight="1">
      <c r="B954" s="51"/>
      <c r="C954" s="52"/>
    </row>
    <row r="955" spans="2:3" ht="13.5" customHeight="1">
      <c r="B955" s="51"/>
      <c r="C955" s="52"/>
    </row>
    <row r="956" spans="2:3" ht="13.5" customHeight="1">
      <c r="B956" s="51"/>
      <c r="C956" s="52"/>
    </row>
    <row r="957" spans="2:3" ht="13.5" customHeight="1">
      <c r="B957" s="51"/>
      <c r="C957" s="52"/>
    </row>
    <row r="958" spans="2:3" ht="13.5" customHeight="1">
      <c r="B958" s="51"/>
      <c r="C958" s="52"/>
    </row>
    <row r="959" spans="2:3" ht="13.5" customHeight="1">
      <c r="B959" s="51"/>
      <c r="C959" s="52"/>
    </row>
    <row r="960" spans="2:3" ht="13.5" customHeight="1">
      <c r="B960" s="51"/>
      <c r="C960" s="52"/>
    </row>
    <row r="961" spans="2:3" ht="13.5" customHeight="1">
      <c r="B961" s="51"/>
      <c r="C961" s="52"/>
    </row>
    <row r="962" spans="2:3" ht="13.5" customHeight="1">
      <c r="B962" s="51"/>
      <c r="C962" s="52"/>
    </row>
    <row r="963" spans="2:3" ht="13.5" customHeight="1">
      <c r="B963" s="51"/>
      <c r="C963" s="52"/>
    </row>
    <row r="964" spans="2:3" ht="13.5" customHeight="1">
      <c r="B964" s="51"/>
      <c r="C964" s="52"/>
    </row>
    <row r="965" spans="2:3" ht="13.5" customHeight="1">
      <c r="B965" s="51"/>
      <c r="C965" s="52"/>
    </row>
    <row r="966" spans="2:3" ht="13.5" customHeight="1">
      <c r="B966" s="51"/>
      <c r="C966" s="52"/>
    </row>
    <row r="967" spans="2:3" ht="13.5" customHeight="1">
      <c r="B967" s="51"/>
      <c r="C967" s="52"/>
    </row>
    <row r="968" spans="2:3" ht="13.5" customHeight="1">
      <c r="B968" s="51"/>
      <c r="C968" s="52"/>
    </row>
    <row r="969" spans="2:3" ht="13.5" customHeight="1">
      <c r="B969" s="51"/>
      <c r="C969" s="52"/>
    </row>
    <row r="970" spans="2:3" ht="13.5" customHeight="1">
      <c r="B970" s="51"/>
      <c r="C970" s="52"/>
    </row>
    <row r="971" spans="2:3" ht="13.5" customHeight="1">
      <c r="B971" s="51"/>
      <c r="C971" s="52"/>
    </row>
    <row r="972" spans="2:3" ht="13.5" customHeight="1">
      <c r="B972" s="51"/>
      <c r="C972" s="52"/>
    </row>
    <row r="973" spans="2:3" ht="13.5" customHeight="1">
      <c r="B973" s="51"/>
      <c r="C973" s="52"/>
    </row>
    <row r="974" spans="2:3" ht="13.5" customHeight="1">
      <c r="B974" s="51"/>
      <c r="C974" s="52"/>
    </row>
    <row r="975" spans="2:3" ht="13.5" customHeight="1">
      <c r="B975" s="51"/>
      <c r="C975" s="52"/>
    </row>
    <row r="976" spans="2:3" ht="13.5" customHeight="1">
      <c r="B976" s="51"/>
      <c r="C976" s="52"/>
    </row>
    <row r="977" spans="2:3" ht="13.5" customHeight="1">
      <c r="B977" s="51"/>
      <c r="C977" s="52"/>
    </row>
    <row r="978" spans="2:3" ht="13.5" customHeight="1">
      <c r="B978" s="51"/>
      <c r="C978" s="52"/>
    </row>
    <row r="979" spans="2:3" ht="13.5" customHeight="1">
      <c r="B979" s="51"/>
      <c r="C979" s="52"/>
    </row>
    <row r="980" spans="2:3" ht="13.5" customHeight="1">
      <c r="B980" s="51"/>
      <c r="C980" s="52"/>
    </row>
    <row r="981" spans="2:3" ht="13.5" customHeight="1">
      <c r="B981" s="51"/>
      <c r="C981" s="52"/>
    </row>
    <row r="982" spans="2:3" ht="13.5" customHeight="1">
      <c r="B982" s="51"/>
      <c r="C982" s="52"/>
    </row>
    <row r="983" spans="2:3" ht="13.5" customHeight="1">
      <c r="B983" s="51"/>
      <c r="C983" s="52"/>
    </row>
    <row r="984" spans="2:3" ht="13.5" customHeight="1">
      <c r="B984" s="51"/>
      <c r="C984" s="52"/>
    </row>
    <row r="985" spans="2:3" ht="13.5" customHeight="1">
      <c r="B985" s="51"/>
      <c r="C985" s="52"/>
    </row>
    <row r="986" spans="2:3" ht="13.5" customHeight="1">
      <c r="B986" s="51"/>
      <c r="C986" s="52"/>
    </row>
    <row r="987" spans="2:3" ht="13.5" customHeight="1">
      <c r="B987" s="51"/>
      <c r="C987" s="52"/>
    </row>
    <row r="988" spans="2:3" ht="13.5" customHeight="1">
      <c r="B988" s="51"/>
      <c r="C988" s="52"/>
    </row>
    <row r="989" spans="2:3" ht="13.5" customHeight="1">
      <c r="B989" s="51"/>
      <c r="C989" s="52"/>
    </row>
    <row r="990" spans="2:3" ht="13.5" customHeight="1">
      <c r="B990" s="51"/>
      <c r="C990" s="52"/>
    </row>
    <row r="991" spans="2:3" ht="13.5" customHeight="1">
      <c r="B991" s="51"/>
      <c r="C991" s="52"/>
    </row>
    <row r="992" spans="2:3" ht="13.5" customHeight="1">
      <c r="B992" s="51"/>
      <c r="C992" s="52"/>
    </row>
    <row r="993" spans="2:3" ht="13.5" customHeight="1">
      <c r="B993" s="51"/>
      <c r="C993" s="52"/>
    </row>
    <row r="994" spans="2:3" ht="13.5" customHeight="1">
      <c r="B994" s="51"/>
      <c r="C994" s="52"/>
    </row>
    <row r="995" spans="2:3" ht="13.5" customHeight="1">
      <c r="B995" s="51"/>
      <c r="C995" s="52"/>
    </row>
    <row r="996" spans="2:3" ht="13.5" customHeight="1">
      <c r="B996" s="51"/>
      <c r="C996" s="52"/>
    </row>
    <row r="997" spans="2:3" ht="13.5" customHeight="1">
      <c r="B997" s="51"/>
      <c r="C997" s="52"/>
    </row>
    <row r="998" spans="2:3" ht="13.5" customHeight="1">
      <c r="B998" s="51"/>
      <c r="C998" s="52"/>
    </row>
  </sheetData>
  <mergeCells count="16">
    <mergeCell ref="J44:K44"/>
    <mergeCell ref="J45:K45"/>
    <mergeCell ref="J46:K46"/>
    <mergeCell ref="J47:K47"/>
    <mergeCell ref="B5:C5"/>
    <mergeCell ref="F5:F6"/>
    <mergeCell ref="J42:K42"/>
    <mergeCell ref="E4:E6"/>
    <mergeCell ref="G4:G6"/>
    <mergeCell ref="AA42:AB42"/>
    <mergeCell ref="J43:K43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000"/>
  <sheetViews>
    <sheetView showGridLines="0" topLeftCell="A4" zoomScaleNormal="100" workbookViewId="0">
      <selection activeCell="G21" sqref="G21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3.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3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3.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3.5" customHeight="1">
      <c r="B5" s="75" t="s">
        <v>347</v>
      </c>
      <c r="C5" s="1"/>
      <c r="D5" s="1"/>
      <c r="E5" s="1"/>
      <c r="F5" s="1"/>
      <c r="G5" s="1"/>
      <c r="H5" s="1"/>
      <c r="I5" s="1"/>
      <c r="J5" s="1"/>
      <c r="K5" s="1"/>
    </row>
    <row r="6" spans="2:11" ht="13.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13.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3.5" customHeight="1">
      <c r="B8" s="76" t="s">
        <v>348</v>
      </c>
      <c r="C8" s="1"/>
      <c r="D8" s="1"/>
      <c r="E8" s="1"/>
      <c r="F8" s="1"/>
      <c r="G8" s="1"/>
      <c r="H8" s="1"/>
      <c r="I8" s="1"/>
      <c r="J8" s="1"/>
      <c r="K8" s="76" t="s">
        <v>349</v>
      </c>
    </row>
    <row r="9" spans="2:11" ht="13.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3.5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ht="13.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3.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ht="13.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3.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13.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ADB"/>
  </sheetPr>
  <dimension ref="B1:AB996"/>
  <sheetViews>
    <sheetView showGridLines="0" topLeftCell="B4" zoomScaleNormal="100" workbookViewId="0">
      <selection activeCell="D26" sqref="D26"/>
    </sheetView>
  </sheetViews>
  <sheetFormatPr defaultColWidth="14.42578125" defaultRowHeight="13.15"/>
  <cols>
    <col min="1" max="1" width="5.42578125" style="2" customWidth="1"/>
    <col min="2" max="3" width="11.42578125" style="2" customWidth="1"/>
    <col min="4" max="4" width="55.85546875" style="2" customWidth="1"/>
    <col min="5" max="5" width="15" style="2" customWidth="1"/>
    <col min="6" max="6" width="13.28515625" style="2" customWidth="1"/>
    <col min="7" max="7" width="12.5703125" style="2" customWidth="1"/>
    <col min="8" max="11" width="11.5703125" style="2" customWidth="1"/>
    <col min="12" max="26" width="3.7109375" style="2" customWidth="1"/>
    <col min="27" max="16384" width="14.42578125" style="2"/>
  </cols>
  <sheetData>
    <row r="1" spans="2:26" ht="13.5" customHeight="1">
      <c r="B1" s="51"/>
      <c r="C1" s="52"/>
    </row>
    <row r="2" spans="2:26" ht="13.5" customHeight="1">
      <c r="B2" s="51"/>
      <c r="C2" s="52"/>
      <c r="H2" s="102" t="s">
        <v>262</v>
      </c>
    </row>
    <row r="3" spans="2:26" ht="13.5" customHeight="1">
      <c r="B3" s="51"/>
      <c r="C3" s="52"/>
      <c r="H3" s="102"/>
      <c r="K3" s="99" t="s">
        <v>263</v>
      </c>
      <c r="L3" s="98" t="s">
        <v>264</v>
      </c>
      <c r="M3" s="98"/>
      <c r="N3" s="98"/>
      <c r="O3" s="98"/>
      <c r="P3" s="98"/>
      <c r="Q3" s="98"/>
      <c r="R3" s="98"/>
      <c r="S3" s="98"/>
      <c r="T3" s="98"/>
      <c r="U3" s="98"/>
    </row>
    <row r="4" spans="2:26" ht="12.75" customHeight="1">
      <c r="B4" s="51"/>
      <c r="C4" s="52"/>
      <c r="E4" s="101" t="s">
        <v>265</v>
      </c>
      <c r="G4" s="100" t="s">
        <v>266</v>
      </c>
      <c r="H4" s="102"/>
      <c r="I4" s="99" t="s">
        <v>267</v>
      </c>
      <c r="J4" s="102" t="s">
        <v>268</v>
      </c>
      <c r="K4" s="99"/>
      <c r="L4" s="99"/>
      <c r="M4" s="98"/>
      <c r="N4" s="98"/>
      <c r="O4" s="98"/>
      <c r="P4" s="98"/>
      <c r="Q4" s="98"/>
      <c r="R4" s="98"/>
      <c r="S4" s="98"/>
      <c r="T4" s="98"/>
      <c r="U4" s="98"/>
    </row>
    <row r="5" spans="2:26" ht="18" customHeight="1">
      <c r="B5" s="104" t="s">
        <v>269</v>
      </c>
      <c r="C5" s="104"/>
      <c r="E5" s="101"/>
      <c r="F5" s="105" t="s">
        <v>270</v>
      </c>
      <c r="G5" s="100"/>
      <c r="H5" s="100"/>
      <c r="I5" s="100"/>
      <c r="J5" s="100"/>
      <c r="K5" s="100"/>
      <c r="L5" s="100"/>
      <c r="M5" s="98"/>
      <c r="N5" s="98"/>
      <c r="O5" s="98"/>
      <c r="P5" s="98"/>
      <c r="Q5" s="98"/>
      <c r="R5" s="98"/>
      <c r="S5" s="98"/>
      <c r="T5" s="98"/>
      <c r="U5" s="98"/>
    </row>
    <row r="6" spans="2:26" ht="13.5" customHeight="1">
      <c r="B6" s="53"/>
      <c r="C6" s="52"/>
      <c r="E6" s="101"/>
      <c r="F6" s="101"/>
      <c r="G6" s="101"/>
      <c r="H6" s="101"/>
      <c r="I6" s="101"/>
      <c r="J6" s="101"/>
      <c r="K6" s="101"/>
      <c r="L6" s="101"/>
      <c r="M6" s="98"/>
      <c r="N6" s="98"/>
      <c r="O6" s="98"/>
      <c r="P6" s="98"/>
      <c r="Q6" s="98"/>
      <c r="R6" s="98"/>
      <c r="S6" s="98"/>
      <c r="T6" s="98"/>
      <c r="U6" s="98"/>
    </row>
    <row r="7" spans="2:26" ht="34.5" customHeight="1">
      <c r="B7" s="54" t="s">
        <v>271</v>
      </c>
      <c r="C7" s="54" t="s">
        <v>272</v>
      </c>
      <c r="D7" s="54" t="s">
        <v>19</v>
      </c>
      <c r="E7" s="54" t="s">
        <v>50</v>
      </c>
      <c r="F7" s="54" t="s">
        <v>22</v>
      </c>
      <c r="G7" s="55" t="s">
        <v>273</v>
      </c>
      <c r="H7" s="55" t="s">
        <v>274</v>
      </c>
      <c r="I7" s="55" t="s">
        <v>275</v>
      </c>
      <c r="J7" s="55" t="s">
        <v>276</v>
      </c>
      <c r="K7" s="55" t="s">
        <v>277</v>
      </c>
      <c r="L7" s="56" t="s">
        <v>278</v>
      </c>
      <c r="M7" s="56" t="s">
        <v>279</v>
      </c>
      <c r="N7" s="56" t="s">
        <v>280</v>
      </c>
      <c r="O7" s="56" t="s">
        <v>281</v>
      </c>
      <c r="P7" s="56" t="s">
        <v>282</v>
      </c>
      <c r="Q7" s="56" t="s">
        <v>283</v>
      </c>
      <c r="R7" s="56" t="s">
        <v>284</v>
      </c>
      <c r="S7" s="56" t="s">
        <v>285</v>
      </c>
      <c r="T7" s="56" t="s">
        <v>286</v>
      </c>
      <c r="U7" s="56" t="s">
        <v>287</v>
      </c>
      <c r="V7" s="56" t="s">
        <v>288</v>
      </c>
      <c r="W7" s="56" t="s">
        <v>289</v>
      </c>
      <c r="X7" s="56" t="s">
        <v>290</v>
      </c>
      <c r="Y7" s="56" t="s">
        <v>291</v>
      </c>
      <c r="Z7" s="56" t="s">
        <v>292</v>
      </c>
    </row>
    <row r="8" spans="2:26" ht="13.5" customHeight="1">
      <c r="B8" s="57">
        <v>4.01</v>
      </c>
      <c r="C8" s="58" t="s">
        <v>166</v>
      </c>
      <c r="D8" s="59" t="s">
        <v>429</v>
      </c>
      <c r="E8" s="59" t="s">
        <v>351</v>
      </c>
      <c r="F8" s="59" t="s">
        <v>31</v>
      </c>
      <c r="G8" s="58">
        <v>7.5</v>
      </c>
      <c r="H8" s="77">
        <v>0</v>
      </c>
      <c r="I8" s="77">
        <f t="shared" ref="I8:I25" si="0">SUM(G8-H8)</f>
        <v>7.5</v>
      </c>
      <c r="J8" s="77">
        <v>0</v>
      </c>
      <c r="K8" s="77">
        <f t="shared" ref="K8:K25" si="1">SUM(J8-G8)</f>
        <v>-7.5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>
      <c r="B9" s="57">
        <v>4.0199999999999996</v>
      </c>
      <c r="C9" s="61" t="s">
        <v>166</v>
      </c>
      <c r="D9" s="62" t="s">
        <v>430</v>
      </c>
      <c r="E9" s="62" t="s">
        <v>322</v>
      </c>
      <c r="F9" s="62" t="s">
        <v>31</v>
      </c>
      <c r="G9" s="61">
        <v>7.5</v>
      </c>
      <c r="H9" s="78">
        <v>0</v>
      </c>
      <c r="I9" s="78">
        <f t="shared" si="0"/>
        <v>7.5</v>
      </c>
      <c r="J9" s="78">
        <v>0</v>
      </c>
      <c r="K9" s="78">
        <f t="shared" si="1"/>
        <v>-7.5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>
      <c r="B10" s="57">
        <v>4.03</v>
      </c>
      <c r="C10" s="61" t="s">
        <v>166</v>
      </c>
      <c r="D10" s="62" t="s">
        <v>431</v>
      </c>
      <c r="E10" s="62" t="s">
        <v>425</v>
      </c>
      <c r="F10" s="62" t="s">
        <v>31</v>
      </c>
      <c r="G10" s="61">
        <v>3</v>
      </c>
      <c r="H10" s="78">
        <v>0</v>
      </c>
      <c r="I10" s="78">
        <f t="shared" si="0"/>
        <v>3</v>
      </c>
      <c r="J10" s="78">
        <v>0</v>
      </c>
      <c r="K10" s="78">
        <f t="shared" si="1"/>
        <v>-3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>
      <c r="B11" s="57">
        <v>4.04</v>
      </c>
      <c r="C11" s="61" t="s">
        <v>171</v>
      </c>
      <c r="D11" s="62" t="s">
        <v>432</v>
      </c>
      <c r="E11" s="62" t="s">
        <v>351</v>
      </c>
      <c r="F11" s="62" t="s">
        <v>31</v>
      </c>
      <c r="G11" s="61">
        <v>14</v>
      </c>
      <c r="H11" s="78">
        <v>0</v>
      </c>
      <c r="I11" s="78">
        <f t="shared" si="0"/>
        <v>14</v>
      </c>
      <c r="J11" s="78">
        <v>0</v>
      </c>
      <c r="K11" s="78">
        <f t="shared" si="1"/>
        <v>-14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>
      <c r="B12" s="57">
        <v>4.05</v>
      </c>
      <c r="C12" s="61" t="s">
        <v>171</v>
      </c>
      <c r="D12" s="62" t="s">
        <v>433</v>
      </c>
      <c r="E12" s="62" t="s">
        <v>322</v>
      </c>
      <c r="F12" s="62" t="s">
        <v>31</v>
      </c>
      <c r="G12" s="61">
        <v>10.5</v>
      </c>
      <c r="H12" s="78">
        <v>0</v>
      </c>
      <c r="I12" s="78">
        <f t="shared" si="0"/>
        <v>10.5</v>
      </c>
      <c r="J12" s="78">
        <v>0</v>
      </c>
      <c r="K12" s="78">
        <f t="shared" si="1"/>
        <v>-10.5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>
      <c r="B13" s="57">
        <v>4.0599999999999996</v>
      </c>
      <c r="C13" s="61" t="s">
        <v>171</v>
      </c>
      <c r="D13" s="62" t="s">
        <v>434</v>
      </c>
      <c r="E13" s="62" t="s">
        <v>398</v>
      </c>
      <c r="F13" s="62" t="s">
        <v>31</v>
      </c>
      <c r="G13" s="61">
        <v>7</v>
      </c>
      <c r="H13" s="78">
        <v>0</v>
      </c>
      <c r="I13" s="78">
        <f t="shared" si="0"/>
        <v>7</v>
      </c>
      <c r="J13" s="78">
        <v>0</v>
      </c>
      <c r="K13" s="78">
        <f t="shared" si="1"/>
        <v>-7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>
      <c r="B14" s="57">
        <v>4.07</v>
      </c>
      <c r="C14" s="61" t="s">
        <v>176</v>
      </c>
      <c r="D14" s="62" t="s">
        <v>435</v>
      </c>
      <c r="E14" s="62" t="s">
        <v>355</v>
      </c>
      <c r="F14" s="62" t="s">
        <v>31</v>
      </c>
      <c r="G14" s="61">
        <v>10.5</v>
      </c>
      <c r="H14" s="78">
        <v>0</v>
      </c>
      <c r="I14" s="78">
        <f t="shared" si="0"/>
        <v>10.5</v>
      </c>
      <c r="J14" s="78">
        <v>0</v>
      </c>
      <c r="K14" s="78">
        <f t="shared" si="1"/>
        <v>-10.5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>
      <c r="B15" s="57">
        <v>4.08</v>
      </c>
      <c r="C15" s="61" t="s">
        <v>176</v>
      </c>
      <c r="D15" s="62" t="s">
        <v>436</v>
      </c>
      <c r="E15" s="62" t="s">
        <v>322</v>
      </c>
      <c r="F15" s="62" t="s">
        <v>31</v>
      </c>
      <c r="G15" s="61">
        <v>7</v>
      </c>
      <c r="H15" s="78">
        <v>0</v>
      </c>
      <c r="I15" s="78">
        <f t="shared" si="0"/>
        <v>7</v>
      </c>
      <c r="J15" s="78">
        <v>0</v>
      </c>
      <c r="K15" s="78">
        <f t="shared" si="1"/>
        <v>-7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>
      <c r="B16" s="57">
        <v>4.09</v>
      </c>
      <c r="C16" s="61" t="s">
        <v>176</v>
      </c>
      <c r="D16" s="62" t="s">
        <v>437</v>
      </c>
      <c r="E16" s="62" t="s">
        <v>329</v>
      </c>
      <c r="F16" s="62" t="s">
        <v>31</v>
      </c>
      <c r="G16" s="61">
        <v>7</v>
      </c>
      <c r="H16" s="78">
        <v>0</v>
      </c>
      <c r="I16" s="78">
        <f t="shared" si="0"/>
        <v>7</v>
      </c>
      <c r="J16" s="78">
        <v>0</v>
      </c>
      <c r="K16" s="78">
        <f t="shared" si="1"/>
        <v>-7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ht="13.5" customHeight="1">
      <c r="B17" s="57" t="s">
        <v>438</v>
      </c>
      <c r="C17" s="61" t="s">
        <v>181</v>
      </c>
      <c r="D17" s="62" t="s">
        <v>439</v>
      </c>
      <c r="E17" s="62" t="s">
        <v>370</v>
      </c>
      <c r="F17" s="62" t="s">
        <v>31</v>
      </c>
      <c r="G17" s="61">
        <v>5</v>
      </c>
      <c r="H17" s="78">
        <v>0</v>
      </c>
      <c r="I17" s="78">
        <f t="shared" si="0"/>
        <v>5</v>
      </c>
      <c r="J17" s="78">
        <v>0</v>
      </c>
      <c r="K17" s="78">
        <f t="shared" si="1"/>
        <v>-5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ht="13.5" customHeight="1">
      <c r="B18" s="57">
        <v>4.1100000000000003</v>
      </c>
      <c r="C18" s="61" t="s">
        <v>181</v>
      </c>
      <c r="D18" s="62" t="s">
        <v>440</v>
      </c>
      <c r="E18" s="62" t="s">
        <v>303</v>
      </c>
      <c r="F18" s="62" t="s">
        <v>31</v>
      </c>
      <c r="G18" s="61">
        <v>5</v>
      </c>
      <c r="H18" s="78">
        <v>0</v>
      </c>
      <c r="I18" s="78">
        <f t="shared" si="0"/>
        <v>5</v>
      </c>
      <c r="J18" s="78">
        <v>0</v>
      </c>
      <c r="K18" s="78">
        <f t="shared" si="1"/>
        <v>-5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ht="13.5" customHeight="1">
      <c r="B19" s="57">
        <v>4.12</v>
      </c>
      <c r="C19" s="61" t="s">
        <v>181</v>
      </c>
      <c r="D19" s="62" t="s">
        <v>441</v>
      </c>
      <c r="E19" s="62" t="s">
        <v>309</v>
      </c>
      <c r="F19" s="62" t="s">
        <v>31</v>
      </c>
      <c r="G19" s="61">
        <v>3</v>
      </c>
      <c r="H19" s="78">
        <v>0</v>
      </c>
      <c r="I19" s="78">
        <f t="shared" si="0"/>
        <v>3</v>
      </c>
      <c r="J19" s="78">
        <v>0</v>
      </c>
      <c r="K19" s="78">
        <f t="shared" si="1"/>
        <v>-3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ht="13.5" customHeight="1">
      <c r="B20" s="57">
        <v>4.13</v>
      </c>
      <c r="C20" s="61" t="s">
        <v>186</v>
      </c>
      <c r="D20" s="62" t="s">
        <v>442</v>
      </c>
      <c r="E20" s="62" t="s">
        <v>370</v>
      </c>
      <c r="F20" s="62" t="s">
        <v>31</v>
      </c>
      <c r="G20" s="61">
        <v>7</v>
      </c>
      <c r="H20" s="78">
        <v>0</v>
      </c>
      <c r="I20" s="78">
        <f t="shared" si="0"/>
        <v>7</v>
      </c>
      <c r="J20" s="78">
        <v>0</v>
      </c>
      <c r="K20" s="78">
        <f t="shared" si="1"/>
        <v>-7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3.5" customHeight="1">
      <c r="B21" s="57">
        <v>4.1399999999999997</v>
      </c>
      <c r="C21" s="61" t="s">
        <v>186</v>
      </c>
      <c r="D21" s="62" t="s">
        <v>443</v>
      </c>
      <c r="E21" s="62" t="s">
        <v>406</v>
      </c>
      <c r="F21" s="62" t="s">
        <v>31</v>
      </c>
      <c r="G21" s="61">
        <v>10.5</v>
      </c>
      <c r="H21" s="78">
        <v>0</v>
      </c>
      <c r="I21" s="78">
        <f t="shared" si="0"/>
        <v>10.5</v>
      </c>
      <c r="J21" s="78">
        <v>0</v>
      </c>
      <c r="K21" s="78">
        <f t="shared" si="1"/>
        <v>-10.5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ht="13.5" customHeight="1">
      <c r="B22" s="57">
        <v>4.1500000000000004</v>
      </c>
      <c r="C22" s="61" t="s">
        <v>186</v>
      </c>
      <c r="D22" s="62" t="s">
        <v>444</v>
      </c>
      <c r="E22" s="62" t="s">
        <v>425</v>
      </c>
      <c r="F22" s="62" t="s">
        <v>31</v>
      </c>
      <c r="G22" s="61">
        <v>3.5</v>
      </c>
      <c r="H22" s="78">
        <v>0</v>
      </c>
      <c r="I22" s="78">
        <f t="shared" si="0"/>
        <v>3.5</v>
      </c>
      <c r="J22" s="78">
        <v>0</v>
      </c>
      <c r="K22" s="78">
        <f t="shared" si="1"/>
        <v>-3.5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ht="13.5" customHeight="1">
      <c r="B23" s="57">
        <v>4.16</v>
      </c>
      <c r="C23" s="61" t="s">
        <v>191</v>
      </c>
      <c r="D23" s="62" t="s">
        <v>445</v>
      </c>
      <c r="E23" s="62" t="s">
        <v>309</v>
      </c>
      <c r="F23" s="62" t="s">
        <v>31</v>
      </c>
      <c r="G23" s="61">
        <v>7</v>
      </c>
      <c r="H23" s="78">
        <v>0</v>
      </c>
      <c r="I23" s="78">
        <f t="shared" si="0"/>
        <v>7</v>
      </c>
      <c r="J23" s="78">
        <v>0</v>
      </c>
      <c r="K23" s="78">
        <f t="shared" si="1"/>
        <v>-7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6" ht="13.5" customHeight="1">
      <c r="B24" s="57">
        <v>4.17</v>
      </c>
      <c r="C24" s="61" t="s">
        <v>191</v>
      </c>
      <c r="D24" s="62" t="s">
        <v>446</v>
      </c>
      <c r="E24" s="62" t="s">
        <v>447</v>
      </c>
      <c r="F24" s="62" t="s">
        <v>31</v>
      </c>
      <c r="G24" s="61">
        <v>7</v>
      </c>
      <c r="H24" s="78">
        <v>0</v>
      </c>
      <c r="I24" s="78">
        <f t="shared" si="0"/>
        <v>7</v>
      </c>
      <c r="J24" s="78">
        <v>0</v>
      </c>
      <c r="K24" s="78">
        <f t="shared" si="1"/>
        <v>-7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ht="13.5" customHeight="1">
      <c r="B25" s="57">
        <v>4.18</v>
      </c>
      <c r="C25" s="61" t="s">
        <v>191</v>
      </c>
      <c r="D25" s="62" t="s">
        <v>448</v>
      </c>
      <c r="E25" s="62" t="s">
        <v>370</v>
      </c>
      <c r="F25" s="62" t="s">
        <v>31</v>
      </c>
      <c r="G25" s="61">
        <v>3.5</v>
      </c>
      <c r="H25" s="78">
        <v>0</v>
      </c>
      <c r="I25" s="78">
        <f t="shared" si="0"/>
        <v>3.5</v>
      </c>
      <c r="J25" s="78">
        <v>0</v>
      </c>
      <c r="K25" s="78">
        <f t="shared" si="1"/>
        <v>-3.5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3.5" customHeight="1">
      <c r="B26" s="57" t="s">
        <v>449</v>
      </c>
      <c r="C26" s="61" t="s">
        <v>200</v>
      </c>
      <c r="D26" s="62" t="s">
        <v>450</v>
      </c>
      <c r="E26" s="62" t="s">
        <v>447</v>
      </c>
      <c r="F26" s="62" t="s">
        <v>31</v>
      </c>
      <c r="G26" s="61">
        <v>10</v>
      </c>
      <c r="H26" s="78">
        <v>0</v>
      </c>
      <c r="I26" s="78">
        <f>SUM(G30-H30)</f>
        <v>150.5</v>
      </c>
      <c r="J26" s="78">
        <v>0</v>
      </c>
      <c r="K26" s="78">
        <f>SUM(J30-G30)</f>
        <v>-150.5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>
      <c r="B27" s="57" t="s">
        <v>451</v>
      </c>
      <c r="C27" s="61" t="s">
        <v>200</v>
      </c>
      <c r="D27" s="62" t="s">
        <v>452</v>
      </c>
      <c r="E27" s="62" t="s">
        <v>453</v>
      </c>
      <c r="F27" s="62" t="s">
        <v>31</v>
      </c>
      <c r="G27" s="61">
        <v>10</v>
      </c>
      <c r="H27" s="78">
        <v>0</v>
      </c>
      <c r="I27" s="78">
        <f>SUM(G31-H31)</f>
        <v>0</v>
      </c>
      <c r="J27" s="78">
        <v>0</v>
      </c>
      <c r="K27" s="78">
        <f>SUM(J31-G31)</f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>
      <c r="B28" s="57" t="s">
        <v>454</v>
      </c>
      <c r="C28" s="61" t="s">
        <v>200</v>
      </c>
      <c r="D28" s="62" t="s">
        <v>455</v>
      </c>
      <c r="E28" s="62" t="s">
        <v>456</v>
      </c>
      <c r="F28" s="62" t="s">
        <v>31</v>
      </c>
      <c r="G28" s="61">
        <v>5</v>
      </c>
      <c r="H28" s="78">
        <v>0</v>
      </c>
      <c r="I28" s="78">
        <f>SUM(G32-H32)</f>
        <v>0</v>
      </c>
      <c r="J28" s="78">
        <v>0</v>
      </c>
      <c r="K28" s="78">
        <f>SUM(J32-G32)</f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>
      <c r="B29" s="63"/>
      <c r="C29" s="64"/>
      <c r="D29" s="65"/>
      <c r="E29" s="65"/>
      <c r="F29" s="66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2:26" ht="13.5" customHeight="1">
      <c r="B30" s="67"/>
      <c r="C30" s="68"/>
      <c r="D30" s="69"/>
      <c r="E30" s="69"/>
      <c r="F30" s="70" t="s">
        <v>261</v>
      </c>
      <c r="G30" s="93">
        <f>SUM(G8:G28)</f>
        <v>150.5</v>
      </c>
      <c r="H30" s="93">
        <f>SUM(H8:H28)</f>
        <v>0</v>
      </c>
      <c r="I30" s="93">
        <f>SUM(I8:I28)</f>
        <v>276</v>
      </c>
      <c r="J30" s="93">
        <f>SUM(J8:J28)</f>
        <v>0</v>
      </c>
      <c r="K30" s="93">
        <f>SUM(K8:K28)</f>
        <v>-276</v>
      </c>
      <c r="L30" s="93">
        <f t="shared" ref="L30:Z30" si="2">SUBTOTAL(9,L7:L28)</f>
        <v>0</v>
      </c>
      <c r="M30" s="93">
        <f t="shared" si="2"/>
        <v>0</v>
      </c>
      <c r="N30" s="93">
        <f t="shared" si="2"/>
        <v>0</v>
      </c>
      <c r="O30" s="93">
        <f t="shared" si="2"/>
        <v>0</v>
      </c>
      <c r="P30" s="93">
        <f t="shared" si="2"/>
        <v>0</v>
      </c>
      <c r="Q30" s="93">
        <f t="shared" si="2"/>
        <v>0</v>
      </c>
      <c r="R30" s="93">
        <f t="shared" si="2"/>
        <v>0</v>
      </c>
      <c r="S30" s="93">
        <f t="shared" si="2"/>
        <v>0</v>
      </c>
      <c r="T30" s="93">
        <f t="shared" si="2"/>
        <v>0</v>
      </c>
      <c r="U30" s="93">
        <f t="shared" si="2"/>
        <v>0</v>
      </c>
      <c r="V30" s="93">
        <f t="shared" si="2"/>
        <v>0</v>
      </c>
      <c r="W30" s="93">
        <f t="shared" si="2"/>
        <v>0</v>
      </c>
      <c r="X30" s="93">
        <f t="shared" si="2"/>
        <v>0</v>
      </c>
      <c r="Y30" s="93">
        <f t="shared" si="2"/>
        <v>0</v>
      </c>
      <c r="Z30" s="93">
        <f t="shared" si="2"/>
        <v>0</v>
      </c>
    </row>
    <row r="31" spans="2:26" ht="13.5" customHeight="1">
      <c r="B31" s="67"/>
      <c r="C31" s="68"/>
      <c r="D31" s="69"/>
      <c r="E31" s="69"/>
      <c r="F31" s="70" t="s">
        <v>341</v>
      </c>
      <c r="G31" s="93"/>
      <c r="H31" s="93"/>
      <c r="I31" s="93"/>
      <c r="J31" s="93"/>
      <c r="K31" s="93"/>
      <c r="L31" s="93">
        <f>G30-L30</f>
        <v>150.5</v>
      </c>
      <c r="M31" s="93">
        <f t="shared" ref="M31:Z31" si="3">L31-M30</f>
        <v>150.5</v>
      </c>
      <c r="N31" s="93">
        <f t="shared" si="3"/>
        <v>150.5</v>
      </c>
      <c r="O31" s="93">
        <f t="shared" si="3"/>
        <v>150.5</v>
      </c>
      <c r="P31" s="93">
        <f t="shared" si="3"/>
        <v>150.5</v>
      </c>
      <c r="Q31" s="93">
        <f t="shared" si="3"/>
        <v>150.5</v>
      </c>
      <c r="R31" s="93">
        <f t="shared" si="3"/>
        <v>150.5</v>
      </c>
      <c r="S31" s="93">
        <f t="shared" si="3"/>
        <v>150.5</v>
      </c>
      <c r="T31" s="93">
        <f t="shared" si="3"/>
        <v>150.5</v>
      </c>
      <c r="U31" s="93">
        <f t="shared" si="3"/>
        <v>150.5</v>
      </c>
      <c r="V31" s="93">
        <f t="shared" si="3"/>
        <v>150.5</v>
      </c>
      <c r="W31" s="93">
        <f t="shared" si="3"/>
        <v>150.5</v>
      </c>
      <c r="X31" s="93">
        <f t="shared" si="3"/>
        <v>150.5</v>
      </c>
      <c r="Y31" s="93">
        <f t="shared" si="3"/>
        <v>150.5</v>
      </c>
      <c r="Z31" s="93">
        <f t="shared" si="3"/>
        <v>150.5</v>
      </c>
    </row>
    <row r="32" spans="2:26" ht="13.5" customHeight="1">
      <c r="B32" s="67"/>
      <c r="C32" s="68"/>
      <c r="D32" s="69"/>
      <c r="E32" s="69"/>
      <c r="F32" s="70" t="s">
        <v>342</v>
      </c>
      <c r="G32" s="93"/>
      <c r="H32" s="93"/>
      <c r="I32" s="93"/>
      <c r="J32" s="93"/>
      <c r="K32" s="93"/>
      <c r="L32" s="93">
        <f>L30</f>
        <v>0</v>
      </c>
      <c r="M32" s="93">
        <f t="shared" ref="M32:Z32" si="4">L32+M30</f>
        <v>0</v>
      </c>
      <c r="N32" s="93">
        <f t="shared" si="4"/>
        <v>0</v>
      </c>
      <c r="O32" s="93">
        <f t="shared" si="4"/>
        <v>0</v>
      </c>
      <c r="P32" s="93">
        <f t="shared" si="4"/>
        <v>0</v>
      </c>
      <c r="Q32" s="93">
        <f t="shared" si="4"/>
        <v>0</v>
      </c>
      <c r="R32" s="93">
        <f t="shared" si="4"/>
        <v>0</v>
      </c>
      <c r="S32" s="93">
        <f t="shared" si="4"/>
        <v>0</v>
      </c>
      <c r="T32" s="93">
        <f t="shared" si="4"/>
        <v>0</v>
      </c>
      <c r="U32" s="93">
        <f t="shared" si="4"/>
        <v>0</v>
      </c>
      <c r="V32" s="93">
        <f t="shared" si="4"/>
        <v>0</v>
      </c>
      <c r="W32" s="93">
        <f t="shared" si="4"/>
        <v>0</v>
      </c>
      <c r="X32" s="93">
        <f t="shared" si="4"/>
        <v>0</v>
      </c>
      <c r="Y32" s="93">
        <f t="shared" si="4"/>
        <v>0</v>
      </c>
      <c r="Z32" s="93">
        <f t="shared" si="4"/>
        <v>0</v>
      </c>
    </row>
    <row r="33" spans="2:28" ht="13.5" customHeight="1">
      <c r="B33" s="67"/>
      <c r="C33" s="68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2:28" ht="13.5" customHeight="1">
      <c r="B34" s="51"/>
      <c r="C34" s="52"/>
    </row>
    <row r="35" spans="2:28" ht="13.5" customHeight="1">
      <c r="B35" s="51"/>
      <c r="C35" s="52"/>
    </row>
    <row r="36" spans="2:28" ht="13.5" customHeight="1">
      <c r="B36" s="51"/>
      <c r="C36" s="52"/>
      <c r="J36" s="113" t="s">
        <v>343</v>
      </c>
      <c r="K36" s="113"/>
      <c r="L36" s="95">
        <v>1</v>
      </c>
      <c r="M36" s="95">
        <v>2</v>
      </c>
      <c r="N36" s="95">
        <v>3</v>
      </c>
      <c r="O36" s="95">
        <v>4</v>
      </c>
      <c r="P36" s="95">
        <v>5</v>
      </c>
      <c r="Q36" s="95">
        <v>6</v>
      </c>
      <c r="R36" s="95">
        <v>7</v>
      </c>
      <c r="S36" s="95">
        <v>8</v>
      </c>
      <c r="T36" s="95">
        <v>9</v>
      </c>
      <c r="U36" s="95">
        <v>10</v>
      </c>
      <c r="V36" s="95">
        <v>11</v>
      </c>
      <c r="W36" s="95">
        <v>12</v>
      </c>
      <c r="X36" s="95">
        <v>13</v>
      </c>
      <c r="Y36" s="95">
        <v>14</v>
      </c>
      <c r="Z36" s="95">
        <v>15</v>
      </c>
      <c r="AA36" s="111" t="s">
        <v>344</v>
      </c>
      <c r="AB36" s="111"/>
    </row>
    <row r="37" spans="2:28" ht="13.5" customHeight="1">
      <c r="B37" s="51"/>
      <c r="C37" s="52"/>
      <c r="J37" s="112" t="s">
        <v>9</v>
      </c>
      <c r="K37" s="112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52">
        <f>SUM(L37:Z37)</f>
        <v>0</v>
      </c>
    </row>
    <row r="38" spans="2:28" ht="13.5" customHeight="1">
      <c r="B38" s="51"/>
      <c r="C38" s="52"/>
      <c r="J38" s="112" t="s">
        <v>7</v>
      </c>
      <c r="K38" s="112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52">
        <f>SUM(L38:Z38)</f>
        <v>0</v>
      </c>
    </row>
    <row r="39" spans="2:28" ht="13.5" customHeight="1">
      <c r="B39" s="51"/>
      <c r="C39" s="52"/>
      <c r="J39" s="112" t="s">
        <v>13</v>
      </c>
      <c r="K39" s="112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52">
        <f>SUM(L39:Z39)</f>
        <v>0</v>
      </c>
    </row>
    <row r="40" spans="2:28" ht="12.75" customHeight="1">
      <c r="B40" s="51"/>
      <c r="C40" s="52"/>
      <c r="J40" s="112" t="s">
        <v>345</v>
      </c>
      <c r="K40" s="112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52">
        <f>SUM(L40:Z40)</f>
        <v>0</v>
      </c>
    </row>
    <row r="41" spans="2:28" ht="12.75" customHeight="1">
      <c r="B41" s="51"/>
      <c r="C41" s="52"/>
      <c r="J41" s="112" t="s">
        <v>14</v>
      </c>
      <c r="K41" s="112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52">
        <f>SUM(L41:Z41)</f>
        <v>0</v>
      </c>
    </row>
    <row r="42" spans="2:28" ht="12.75" customHeight="1">
      <c r="B42" s="51"/>
      <c r="C42" s="52"/>
      <c r="AA42" s="72">
        <f>SUM(AA37:AA41)</f>
        <v>0</v>
      </c>
    </row>
    <row r="43" spans="2:28" ht="12.75" customHeight="1">
      <c r="B43" s="51"/>
      <c r="C43" s="52"/>
      <c r="J43" s="2" t="s">
        <v>346</v>
      </c>
    </row>
    <row r="44" spans="2:28" ht="12.75" customHeight="1">
      <c r="B44" s="51"/>
      <c r="C44" s="52"/>
    </row>
    <row r="45" spans="2:28" ht="12.75" customHeight="1">
      <c r="B45" s="51"/>
      <c r="C45" s="52"/>
    </row>
    <row r="46" spans="2:28" ht="12.75" customHeight="1">
      <c r="B46" s="51"/>
      <c r="C46" s="52"/>
    </row>
    <row r="47" spans="2:28" ht="12.75" customHeight="1">
      <c r="B47" s="51"/>
      <c r="C47" s="52"/>
    </row>
    <row r="48" spans="2:28" ht="12.75" customHeight="1">
      <c r="B48" s="51"/>
      <c r="C48" s="52"/>
    </row>
    <row r="49" spans="2:3" ht="13.5" customHeight="1">
      <c r="B49" s="51"/>
      <c r="C49" s="52"/>
    </row>
    <row r="50" spans="2:3" ht="13.5" customHeight="1">
      <c r="B50" s="51"/>
      <c r="C50" s="52"/>
    </row>
    <row r="51" spans="2:3" ht="13.5" customHeight="1">
      <c r="B51" s="51"/>
      <c r="C51" s="52"/>
    </row>
    <row r="52" spans="2:3" ht="13.5" customHeight="1">
      <c r="B52" s="51"/>
      <c r="C52" s="52"/>
    </row>
    <row r="53" spans="2:3" ht="13.5" customHeight="1">
      <c r="B53" s="51"/>
      <c r="C53" s="52"/>
    </row>
    <row r="54" spans="2:3" ht="13.5" customHeight="1">
      <c r="B54" s="51"/>
      <c r="C54" s="52"/>
    </row>
    <row r="55" spans="2:3" ht="13.5" customHeight="1">
      <c r="B55" s="51"/>
      <c r="C55" s="52"/>
    </row>
    <row r="56" spans="2:3" ht="13.5" customHeight="1">
      <c r="B56" s="51"/>
      <c r="C56" s="52"/>
    </row>
    <row r="57" spans="2:3" ht="13.5" customHeight="1">
      <c r="B57" s="51"/>
      <c r="C57" s="52"/>
    </row>
    <row r="58" spans="2:3" ht="13.5" customHeight="1">
      <c r="B58" s="51"/>
      <c r="C58" s="52"/>
    </row>
    <row r="59" spans="2:3" ht="13.5" customHeight="1">
      <c r="B59" s="51"/>
      <c r="C59" s="52"/>
    </row>
    <row r="60" spans="2:3" ht="13.5" customHeight="1">
      <c r="B60" s="51"/>
      <c r="C60" s="52"/>
    </row>
    <row r="61" spans="2:3" ht="13.5" customHeight="1">
      <c r="B61" s="51"/>
      <c r="C61" s="52"/>
    </row>
    <row r="62" spans="2:3" ht="13.5" customHeight="1">
      <c r="B62" s="51"/>
      <c r="C62" s="52"/>
    </row>
    <row r="63" spans="2:3" ht="13.5" customHeight="1">
      <c r="B63" s="51"/>
      <c r="C63" s="52"/>
    </row>
    <row r="64" spans="2:3" ht="13.5" customHeight="1">
      <c r="B64" s="51"/>
      <c r="C64" s="52"/>
    </row>
    <row r="65" spans="2:3" ht="13.5" customHeight="1">
      <c r="B65" s="51"/>
      <c r="C65" s="52"/>
    </row>
    <row r="66" spans="2:3" ht="13.5" customHeight="1">
      <c r="B66" s="51"/>
      <c r="C66" s="52"/>
    </row>
    <row r="67" spans="2:3" ht="13.5" customHeight="1">
      <c r="B67" s="51"/>
      <c r="C67" s="52"/>
    </row>
    <row r="68" spans="2:3" ht="13.5" customHeight="1">
      <c r="B68" s="51"/>
      <c r="C68" s="52"/>
    </row>
    <row r="69" spans="2:3" ht="13.5" customHeight="1">
      <c r="B69" s="51"/>
      <c r="C69" s="52"/>
    </row>
    <row r="70" spans="2:3" ht="13.5" customHeight="1">
      <c r="B70" s="51"/>
      <c r="C70" s="52"/>
    </row>
    <row r="71" spans="2:3" ht="13.5" customHeight="1">
      <c r="B71" s="51"/>
      <c r="C71" s="52"/>
    </row>
    <row r="72" spans="2:3" ht="13.5" customHeight="1">
      <c r="B72" s="51"/>
      <c r="C72" s="52"/>
    </row>
    <row r="73" spans="2:3" ht="13.5" customHeight="1">
      <c r="B73" s="51"/>
      <c r="C73" s="52"/>
    </row>
    <row r="74" spans="2:3" ht="13.5" customHeight="1">
      <c r="B74" s="51"/>
      <c r="C74" s="52"/>
    </row>
    <row r="75" spans="2:3" ht="13.5" customHeight="1">
      <c r="B75" s="51"/>
      <c r="C75" s="52"/>
    </row>
    <row r="76" spans="2:3" ht="13.5" customHeight="1">
      <c r="B76" s="51"/>
      <c r="C76" s="52"/>
    </row>
    <row r="77" spans="2:3" ht="13.5" customHeight="1">
      <c r="B77" s="51"/>
      <c r="C77" s="52"/>
    </row>
    <row r="78" spans="2:3" ht="13.5" customHeight="1">
      <c r="B78" s="51"/>
      <c r="C78" s="52"/>
    </row>
    <row r="79" spans="2:3" ht="13.5" customHeight="1">
      <c r="B79" s="51"/>
      <c r="C79" s="52"/>
    </row>
    <row r="80" spans="2:3" ht="13.5" customHeight="1">
      <c r="B80" s="51"/>
      <c r="C80" s="52"/>
    </row>
    <row r="81" spans="2:3" ht="13.5" customHeight="1">
      <c r="B81" s="51"/>
      <c r="C81" s="52"/>
    </row>
    <row r="82" spans="2:3" ht="13.5" customHeight="1">
      <c r="B82" s="51"/>
      <c r="C82" s="52"/>
    </row>
    <row r="83" spans="2:3" ht="13.5" customHeight="1">
      <c r="B83" s="51"/>
      <c r="C83" s="52"/>
    </row>
    <row r="84" spans="2:3" ht="13.5" customHeight="1">
      <c r="B84" s="51"/>
      <c r="C84" s="52"/>
    </row>
    <row r="85" spans="2:3" ht="13.5" customHeight="1">
      <c r="B85" s="51"/>
      <c r="C85" s="52"/>
    </row>
    <row r="86" spans="2:3" ht="13.5" customHeight="1">
      <c r="B86" s="51"/>
      <c r="C86" s="52"/>
    </row>
    <row r="87" spans="2:3" ht="13.5" customHeight="1">
      <c r="B87" s="51"/>
      <c r="C87" s="52"/>
    </row>
    <row r="88" spans="2:3" ht="13.5" customHeight="1">
      <c r="B88" s="51"/>
      <c r="C88" s="52"/>
    </row>
    <row r="89" spans="2:3" ht="13.5" customHeight="1">
      <c r="B89" s="51"/>
      <c r="C89" s="52"/>
    </row>
    <row r="90" spans="2:3" ht="13.5" customHeight="1">
      <c r="B90" s="51"/>
      <c r="C90" s="52"/>
    </row>
    <row r="91" spans="2:3" ht="13.5" customHeight="1">
      <c r="B91" s="51"/>
      <c r="C91" s="52"/>
    </row>
    <row r="92" spans="2:3" ht="13.5" customHeight="1">
      <c r="B92" s="51"/>
      <c r="C92" s="52"/>
    </row>
    <row r="93" spans="2:3" ht="13.5" customHeight="1">
      <c r="B93" s="51"/>
      <c r="C93" s="52"/>
    </row>
    <row r="94" spans="2:3" ht="13.5" customHeight="1">
      <c r="B94" s="51"/>
      <c r="C94" s="52"/>
    </row>
    <row r="95" spans="2:3" ht="13.5" customHeight="1">
      <c r="B95" s="51"/>
      <c r="C95" s="52"/>
    </row>
    <row r="96" spans="2:3" ht="13.5" customHeight="1">
      <c r="B96" s="51"/>
      <c r="C96" s="52"/>
    </row>
    <row r="97" spans="2:3" ht="13.5" customHeight="1">
      <c r="B97" s="51"/>
      <c r="C97" s="52"/>
    </row>
    <row r="98" spans="2:3" ht="13.5" customHeight="1">
      <c r="B98" s="51"/>
      <c r="C98" s="52"/>
    </row>
    <row r="99" spans="2:3" ht="13.5" customHeight="1">
      <c r="B99" s="51"/>
      <c r="C99" s="52"/>
    </row>
    <row r="100" spans="2:3" ht="13.5" customHeight="1">
      <c r="B100" s="51"/>
      <c r="C100" s="52"/>
    </row>
    <row r="101" spans="2:3" ht="13.5" customHeight="1">
      <c r="B101" s="51"/>
      <c r="C101" s="52"/>
    </row>
    <row r="102" spans="2:3" ht="13.5" customHeight="1">
      <c r="B102" s="51"/>
      <c r="C102" s="52"/>
    </row>
    <row r="103" spans="2:3" ht="13.5" customHeight="1">
      <c r="B103" s="51"/>
      <c r="C103" s="52"/>
    </row>
    <row r="104" spans="2:3" ht="13.5" customHeight="1">
      <c r="B104" s="51"/>
      <c r="C104" s="52"/>
    </row>
    <row r="105" spans="2:3" ht="13.5" customHeight="1">
      <c r="B105" s="51"/>
      <c r="C105" s="52"/>
    </row>
    <row r="106" spans="2:3" ht="13.5" customHeight="1">
      <c r="B106" s="51"/>
      <c r="C106" s="52"/>
    </row>
    <row r="107" spans="2:3" ht="13.5" customHeight="1">
      <c r="B107" s="51"/>
      <c r="C107" s="52"/>
    </row>
    <row r="108" spans="2:3" ht="13.5" customHeight="1">
      <c r="B108" s="51"/>
      <c r="C108" s="52"/>
    </row>
    <row r="109" spans="2:3" ht="13.5" customHeight="1">
      <c r="B109" s="51"/>
      <c r="C109" s="52"/>
    </row>
    <row r="110" spans="2:3" ht="13.5" customHeight="1">
      <c r="B110" s="51"/>
      <c r="C110" s="52"/>
    </row>
    <row r="111" spans="2:3" ht="13.5" customHeight="1">
      <c r="B111" s="51"/>
      <c r="C111" s="52"/>
    </row>
    <row r="112" spans="2:3" ht="13.5" customHeight="1">
      <c r="B112" s="51"/>
      <c r="C112" s="52"/>
    </row>
    <row r="113" spans="2:3" ht="13.5" customHeight="1">
      <c r="B113" s="51"/>
      <c r="C113" s="52"/>
    </row>
    <row r="114" spans="2:3" ht="13.5" customHeight="1">
      <c r="B114" s="51"/>
      <c r="C114" s="52"/>
    </row>
    <row r="115" spans="2:3" ht="13.5" customHeight="1">
      <c r="B115" s="51"/>
      <c r="C115" s="52"/>
    </row>
    <row r="116" spans="2:3" ht="13.5" customHeight="1">
      <c r="B116" s="51"/>
      <c r="C116" s="52"/>
    </row>
    <row r="117" spans="2:3" ht="13.5" customHeight="1">
      <c r="B117" s="51"/>
      <c r="C117" s="52"/>
    </row>
    <row r="118" spans="2:3" ht="13.5" customHeight="1">
      <c r="B118" s="51"/>
      <c r="C118" s="52"/>
    </row>
    <row r="119" spans="2:3" ht="13.5" customHeight="1">
      <c r="B119" s="51"/>
      <c r="C119" s="52"/>
    </row>
    <row r="120" spans="2:3" ht="13.5" customHeight="1">
      <c r="B120" s="51"/>
      <c r="C120" s="52"/>
    </row>
    <row r="121" spans="2:3" ht="13.5" customHeight="1">
      <c r="B121" s="51"/>
      <c r="C121" s="52"/>
    </row>
    <row r="122" spans="2:3" ht="13.5" customHeight="1">
      <c r="B122" s="51"/>
      <c r="C122" s="52"/>
    </row>
    <row r="123" spans="2:3" ht="13.5" customHeight="1">
      <c r="B123" s="51"/>
      <c r="C123" s="52"/>
    </row>
    <row r="124" spans="2:3" ht="13.5" customHeight="1">
      <c r="B124" s="51"/>
      <c r="C124" s="52"/>
    </row>
    <row r="125" spans="2:3" ht="13.5" customHeight="1">
      <c r="B125" s="51"/>
      <c r="C125" s="52"/>
    </row>
    <row r="126" spans="2:3" ht="13.5" customHeight="1">
      <c r="B126" s="51"/>
      <c r="C126" s="52"/>
    </row>
    <row r="127" spans="2:3" ht="13.5" customHeight="1">
      <c r="B127" s="51"/>
      <c r="C127" s="52"/>
    </row>
    <row r="128" spans="2:3" ht="13.5" customHeight="1">
      <c r="B128" s="51"/>
      <c r="C128" s="52"/>
    </row>
    <row r="129" spans="2:3" ht="13.5" customHeight="1">
      <c r="B129" s="51"/>
      <c r="C129" s="52"/>
    </row>
    <row r="130" spans="2:3" ht="13.5" customHeight="1">
      <c r="B130" s="51"/>
      <c r="C130" s="52"/>
    </row>
    <row r="131" spans="2:3" ht="13.5" customHeight="1">
      <c r="B131" s="51"/>
      <c r="C131" s="52"/>
    </row>
    <row r="132" spans="2:3" ht="13.5" customHeight="1">
      <c r="B132" s="51"/>
      <c r="C132" s="52"/>
    </row>
    <row r="133" spans="2:3" ht="13.5" customHeight="1">
      <c r="B133" s="51"/>
      <c r="C133" s="52"/>
    </row>
    <row r="134" spans="2:3" ht="13.5" customHeight="1">
      <c r="B134" s="51"/>
      <c r="C134" s="52"/>
    </row>
    <row r="135" spans="2:3" ht="13.5" customHeight="1">
      <c r="B135" s="51"/>
      <c r="C135" s="52"/>
    </row>
    <row r="136" spans="2:3" ht="13.5" customHeight="1">
      <c r="B136" s="51"/>
      <c r="C136" s="52"/>
    </row>
    <row r="137" spans="2:3" ht="13.5" customHeight="1">
      <c r="B137" s="51"/>
      <c r="C137" s="52"/>
    </row>
    <row r="138" spans="2:3" ht="13.5" customHeight="1">
      <c r="B138" s="51"/>
      <c r="C138" s="52"/>
    </row>
    <row r="139" spans="2:3" ht="13.5" customHeight="1">
      <c r="B139" s="51"/>
      <c r="C139" s="52"/>
    </row>
    <row r="140" spans="2:3" ht="13.5" customHeight="1">
      <c r="B140" s="51"/>
      <c r="C140" s="52"/>
    </row>
    <row r="141" spans="2:3" ht="13.5" customHeight="1">
      <c r="B141" s="51"/>
      <c r="C141" s="52"/>
    </row>
    <row r="142" spans="2:3" ht="13.5" customHeight="1">
      <c r="B142" s="51"/>
      <c r="C142" s="52"/>
    </row>
    <row r="143" spans="2:3" ht="13.5" customHeight="1">
      <c r="B143" s="51"/>
      <c r="C143" s="52"/>
    </row>
    <row r="144" spans="2:3" ht="13.5" customHeight="1">
      <c r="B144" s="51"/>
      <c r="C144" s="52"/>
    </row>
    <row r="145" spans="2:3" ht="13.5" customHeight="1">
      <c r="B145" s="51"/>
      <c r="C145" s="52"/>
    </row>
    <row r="146" spans="2:3" ht="13.5" customHeight="1">
      <c r="B146" s="51"/>
      <c r="C146" s="52"/>
    </row>
    <row r="147" spans="2:3" ht="13.5" customHeight="1">
      <c r="B147" s="51"/>
      <c r="C147" s="52"/>
    </row>
    <row r="148" spans="2:3" ht="13.5" customHeight="1">
      <c r="B148" s="51"/>
      <c r="C148" s="52"/>
    </row>
    <row r="149" spans="2:3" ht="13.5" customHeight="1">
      <c r="B149" s="51"/>
      <c r="C149" s="52"/>
    </row>
    <row r="150" spans="2:3" ht="13.5" customHeight="1">
      <c r="B150" s="51"/>
      <c r="C150" s="52"/>
    </row>
    <row r="151" spans="2:3" ht="13.5" customHeight="1">
      <c r="B151" s="51"/>
      <c r="C151" s="52"/>
    </row>
    <row r="152" spans="2:3" ht="13.5" customHeight="1">
      <c r="B152" s="51"/>
      <c r="C152" s="52"/>
    </row>
    <row r="153" spans="2:3" ht="13.5" customHeight="1">
      <c r="B153" s="51"/>
      <c r="C153" s="52"/>
    </row>
    <row r="154" spans="2:3" ht="13.5" customHeight="1">
      <c r="B154" s="51"/>
      <c r="C154" s="52"/>
    </row>
    <row r="155" spans="2:3" ht="13.5" customHeight="1">
      <c r="B155" s="51"/>
      <c r="C155" s="52"/>
    </row>
    <row r="156" spans="2:3" ht="13.5" customHeight="1">
      <c r="B156" s="51"/>
      <c r="C156" s="52"/>
    </row>
    <row r="157" spans="2:3" ht="13.5" customHeight="1">
      <c r="B157" s="51"/>
      <c r="C157" s="52"/>
    </row>
    <row r="158" spans="2:3" ht="13.5" customHeight="1">
      <c r="B158" s="51"/>
      <c r="C158" s="52"/>
    </row>
    <row r="159" spans="2:3" ht="13.5" customHeight="1">
      <c r="B159" s="51"/>
      <c r="C159" s="52"/>
    </row>
    <row r="160" spans="2:3" ht="13.5" customHeight="1">
      <c r="B160" s="51"/>
      <c r="C160" s="52"/>
    </row>
    <row r="161" spans="2:3" ht="13.5" customHeight="1">
      <c r="B161" s="51"/>
      <c r="C161" s="52"/>
    </row>
    <row r="162" spans="2:3" ht="13.5" customHeight="1">
      <c r="B162" s="51"/>
      <c r="C162" s="52"/>
    </row>
    <row r="163" spans="2:3" ht="13.5" customHeight="1">
      <c r="B163" s="51"/>
      <c r="C163" s="52"/>
    </row>
    <row r="164" spans="2:3" ht="13.5" customHeight="1">
      <c r="B164" s="51"/>
      <c r="C164" s="52"/>
    </row>
    <row r="165" spans="2:3" ht="13.5" customHeight="1">
      <c r="B165" s="51"/>
      <c r="C165" s="52"/>
    </row>
    <row r="166" spans="2:3" ht="13.5" customHeight="1">
      <c r="B166" s="51"/>
      <c r="C166" s="52"/>
    </row>
    <row r="167" spans="2:3" ht="13.5" customHeight="1">
      <c r="B167" s="51"/>
      <c r="C167" s="52"/>
    </row>
    <row r="168" spans="2:3" ht="13.5" customHeight="1">
      <c r="B168" s="51"/>
      <c r="C168" s="52"/>
    </row>
    <row r="169" spans="2:3" ht="13.5" customHeight="1">
      <c r="B169" s="51"/>
      <c r="C169" s="52"/>
    </row>
    <row r="170" spans="2:3" ht="13.5" customHeight="1">
      <c r="B170" s="51"/>
      <c r="C170" s="52"/>
    </row>
    <row r="171" spans="2:3" ht="13.5" customHeight="1">
      <c r="B171" s="51"/>
      <c r="C171" s="52"/>
    </row>
    <row r="172" spans="2:3" ht="13.5" customHeight="1">
      <c r="B172" s="51"/>
      <c r="C172" s="52"/>
    </row>
    <row r="173" spans="2:3" ht="13.5" customHeight="1">
      <c r="B173" s="51"/>
      <c r="C173" s="52"/>
    </row>
    <row r="174" spans="2:3" ht="13.5" customHeight="1">
      <c r="B174" s="51"/>
      <c r="C174" s="52"/>
    </row>
    <row r="175" spans="2:3" ht="13.5" customHeight="1">
      <c r="B175" s="51"/>
      <c r="C175" s="52"/>
    </row>
    <row r="176" spans="2:3" ht="13.5" customHeight="1">
      <c r="B176" s="51"/>
      <c r="C176" s="52"/>
    </row>
    <row r="177" spans="2:3" ht="13.5" customHeight="1">
      <c r="B177" s="51"/>
      <c r="C177" s="52"/>
    </row>
    <row r="178" spans="2:3" ht="13.5" customHeight="1">
      <c r="B178" s="51"/>
      <c r="C178" s="52"/>
    </row>
    <row r="179" spans="2:3" ht="13.5" customHeight="1">
      <c r="B179" s="51"/>
      <c r="C179" s="52"/>
    </row>
    <row r="180" spans="2:3" ht="13.5" customHeight="1">
      <c r="B180" s="51"/>
      <c r="C180" s="52"/>
    </row>
    <row r="181" spans="2:3" ht="13.5" customHeight="1">
      <c r="B181" s="51"/>
      <c r="C181" s="52"/>
    </row>
    <row r="182" spans="2:3" ht="13.5" customHeight="1">
      <c r="B182" s="51"/>
      <c r="C182" s="52"/>
    </row>
    <row r="183" spans="2:3" ht="13.5" customHeight="1">
      <c r="B183" s="51"/>
      <c r="C183" s="52"/>
    </row>
    <row r="184" spans="2:3" ht="13.5" customHeight="1">
      <c r="B184" s="51"/>
      <c r="C184" s="52"/>
    </row>
    <row r="185" spans="2:3" ht="13.5" customHeight="1">
      <c r="B185" s="51"/>
      <c r="C185" s="52"/>
    </row>
    <row r="186" spans="2:3" ht="13.5" customHeight="1">
      <c r="B186" s="51"/>
      <c r="C186" s="52"/>
    </row>
    <row r="187" spans="2:3" ht="13.5" customHeight="1">
      <c r="B187" s="51"/>
      <c r="C187" s="52"/>
    </row>
    <row r="188" spans="2:3" ht="13.5" customHeight="1">
      <c r="B188" s="51"/>
      <c r="C188" s="52"/>
    </row>
    <row r="189" spans="2:3" ht="13.5" customHeight="1">
      <c r="B189" s="51"/>
      <c r="C189" s="52"/>
    </row>
    <row r="190" spans="2:3" ht="13.5" customHeight="1">
      <c r="B190" s="51"/>
      <c r="C190" s="52"/>
    </row>
    <row r="191" spans="2:3" ht="13.5" customHeight="1">
      <c r="B191" s="51"/>
      <c r="C191" s="52"/>
    </row>
    <row r="192" spans="2:3" ht="13.5" customHeight="1">
      <c r="B192" s="51"/>
      <c r="C192" s="52"/>
    </row>
    <row r="193" spans="2:3" ht="13.5" customHeight="1">
      <c r="B193" s="51"/>
      <c r="C193" s="52"/>
    </row>
    <row r="194" spans="2:3" ht="13.5" customHeight="1">
      <c r="B194" s="51"/>
      <c r="C194" s="52"/>
    </row>
    <row r="195" spans="2:3" ht="13.5" customHeight="1">
      <c r="B195" s="51"/>
      <c r="C195" s="52"/>
    </row>
    <row r="196" spans="2:3" ht="13.5" customHeight="1">
      <c r="B196" s="51"/>
      <c r="C196" s="52"/>
    </row>
    <row r="197" spans="2:3" ht="13.5" customHeight="1">
      <c r="B197" s="51"/>
      <c r="C197" s="52"/>
    </row>
    <row r="198" spans="2:3" ht="13.5" customHeight="1">
      <c r="B198" s="51"/>
      <c r="C198" s="52"/>
    </row>
    <row r="199" spans="2:3" ht="13.5" customHeight="1">
      <c r="B199" s="51"/>
      <c r="C199" s="52"/>
    </row>
    <row r="200" spans="2:3" ht="13.5" customHeight="1">
      <c r="B200" s="51"/>
      <c r="C200" s="52"/>
    </row>
    <row r="201" spans="2:3" ht="13.5" customHeight="1">
      <c r="B201" s="51"/>
      <c r="C201" s="52"/>
    </row>
    <row r="202" spans="2:3" ht="13.5" customHeight="1">
      <c r="B202" s="51"/>
      <c r="C202" s="52"/>
    </row>
    <row r="203" spans="2:3" ht="13.5" customHeight="1">
      <c r="B203" s="51"/>
      <c r="C203" s="52"/>
    </row>
    <row r="204" spans="2:3" ht="13.5" customHeight="1">
      <c r="B204" s="51"/>
      <c r="C204" s="52"/>
    </row>
    <row r="205" spans="2:3" ht="13.5" customHeight="1">
      <c r="B205" s="51"/>
      <c r="C205" s="52"/>
    </row>
    <row r="206" spans="2:3" ht="13.5" customHeight="1">
      <c r="B206" s="51"/>
      <c r="C206" s="52"/>
    </row>
    <row r="207" spans="2:3" ht="13.5" customHeight="1">
      <c r="B207" s="51"/>
      <c r="C207" s="52"/>
    </row>
    <row r="208" spans="2:3" ht="13.5" customHeight="1">
      <c r="B208" s="51"/>
      <c r="C208" s="52"/>
    </row>
    <row r="209" spans="2:3" ht="13.5" customHeight="1">
      <c r="B209" s="51"/>
      <c r="C209" s="52"/>
    </row>
    <row r="210" spans="2:3" ht="13.5" customHeight="1">
      <c r="B210" s="51"/>
      <c r="C210" s="52"/>
    </row>
    <row r="211" spans="2:3" ht="13.5" customHeight="1">
      <c r="B211" s="51"/>
      <c r="C211" s="52"/>
    </row>
    <row r="212" spans="2:3" ht="13.5" customHeight="1">
      <c r="B212" s="51"/>
      <c r="C212" s="52"/>
    </row>
    <row r="213" spans="2:3" ht="13.5" customHeight="1">
      <c r="B213" s="51"/>
      <c r="C213" s="52"/>
    </row>
    <row r="214" spans="2:3" ht="13.5" customHeight="1">
      <c r="B214" s="51"/>
      <c r="C214" s="52"/>
    </row>
    <row r="215" spans="2:3" ht="13.5" customHeight="1">
      <c r="B215" s="51"/>
      <c r="C215" s="52"/>
    </row>
    <row r="216" spans="2:3" ht="13.5" customHeight="1">
      <c r="B216" s="51"/>
      <c r="C216" s="52"/>
    </row>
    <row r="217" spans="2:3" ht="13.5" customHeight="1">
      <c r="B217" s="51"/>
      <c r="C217" s="52"/>
    </row>
    <row r="218" spans="2:3" ht="13.5" customHeight="1">
      <c r="B218" s="51"/>
      <c r="C218" s="52"/>
    </row>
    <row r="219" spans="2:3" ht="13.5" customHeight="1">
      <c r="B219" s="51"/>
      <c r="C219" s="52"/>
    </row>
    <row r="220" spans="2:3" ht="13.5" customHeight="1">
      <c r="B220" s="51"/>
      <c r="C220" s="52"/>
    </row>
    <row r="221" spans="2:3" ht="13.5" customHeight="1">
      <c r="B221" s="51"/>
      <c r="C221" s="52"/>
    </row>
    <row r="222" spans="2:3" ht="13.5" customHeight="1">
      <c r="B222" s="51"/>
      <c r="C222" s="52"/>
    </row>
    <row r="223" spans="2:3" ht="13.5" customHeight="1">
      <c r="B223" s="51"/>
      <c r="C223" s="52"/>
    </row>
    <row r="224" spans="2:3" ht="13.5" customHeight="1">
      <c r="B224" s="51"/>
      <c r="C224" s="52"/>
    </row>
    <row r="225" spans="2:3" ht="13.5" customHeight="1">
      <c r="B225" s="51"/>
      <c r="C225" s="52"/>
    </row>
    <row r="226" spans="2:3" ht="13.5" customHeight="1">
      <c r="B226" s="51"/>
      <c r="C226" s="52"/>
    </row>
    <row r="227" spans="2:3" ht="13.5" customHeight="1">
      <c r="B227" s="51"/>
      <c r="C227" s="52"/>
    </row>
    <row r="228" spans="2:3" ht="13.5" customHeight="1">
      <c r="B228" s="51"/>
      <c r="C228" s="52"/>
    </row>
    <row r="229" spans="2:3" ht="13.5" customHeight="1">
      <c r="B229" s="51"/>
      <c r="C229" s="52"/>
    </row>
    <row r="230" spans="2:3" ht="13.5" customHeight="1">
      <c r="B230" s="51"/>
      <c r="C230" s="52"/>
    </row>
    <row r="231" spans="2:3" ht="13.5" customHeight="1">
      <c r="B231" s="51"/>
      <c r="C231" s="52"/>
    </row>
    <row r="232" spans="2:3" ht="13.5" customHeight="1">
      <c r="B232" s="51"/>
      <c r="C232" s="52"/>
    </row>
    <row r="233" spans="2:3" ht="13.5" customHeight="1">
      <c r="B233" s="51"/>
      <c r="C233" s="52"/>
    </row>
    <row r="234" spans="2:3" ht="13.5" customHeight="1">
      <c r="B234" s="51"/>
      <c r="C234" s="52"/>
    </row>
    <row r="235" spans="2:3" ht="13.5" customHeight="1">
      <c r="B235" s="51"/>
      <c r="C235" s="52"/>
    </row>
    <row r="236" spans="2:3" ht="13.5" customHeight="1">
      <c r="B236" s="51"/>
      <c r="C236" s="52"/>
    </row>
    <row r="237" spans="2:3" ht="13.5" customHeight="1">
      <c r="B237" s="51"/>
      <c r="C237" s="52"/>
    </row>
    <row r="238" spans="2:3" ht="13.5" customHeight="1">
      <c r="B238" s="51"/>
      <c r="C238" s="52"/>
    </row>
    <row r="239" spans="2:3" ht="13.5" customHeight="1">
      <c r="B239" s="51"/>
      <c r="C239" s="52"/>
    </row>
    <row r="240" spans="2:3" ht="13.5" customHeight="1">
      <c r="B240" s="51"/>
      <c r="C240" s="52"/>
    </row>
    <row r="241" spans="2:3" ht="13.5" customHeight="1">
      <c r="B241" s="51"/>
      <c r="C241" s="52"/>
    </row>
    <row r="242" spans="2:3" ht="13.5" customHeight="1">
      <c r="B242" s="51"/>
      <c r="C242" s="52"/>
    </row>
    <row r="243" spans="2:3" ht="13.5" customHeight="1">
      <c r="B243" s="51"/>
      <c r="C243" s="52"/>
    </row>
    <row r="244" spans="2:3" ht="13.5" customHeight="1">
      <c r="B244" s="51"/>
      <c r="C244" s="52"/>
    </row>
    <row r="245" spans="2:3" ht="13.5" customHeight="1">
      <c r="B245" s="51"/>
      <c r="C245" s="52"/>
    </row>
    <row r="246" spans="2:3" ht="13.5" customHeight="1">
      <c r="B246" s="51"/>
      <c r="C246" s="52"/>
    </row>
    <row r="247" spans="2:3" ht="13.5" customHeight="1">
      <c r="B247" s="51"/>
      <c r="C247" s="52"/>
    </row>
    <row r="248" spans="2:3" ht="13.5" customHeight="1">
      <c r="B248" s="51"/>
      <c r="C248" s="52"/>
    </row>
    <row r="249" spans="2:3" ht="13.5" customHeight="1">
      <c r="B249" s="51"/>
      <c r="C249" s="52"/>
    </row>
    <row r="250" spans="2:3" ht="13.5" customHeight="1">
      <c r="B250" s="51"/>
      <c r="C250" s="52"/>
    </row>
    <row r="251" spans="2:3" ht="13.5" customHeight="1">
      <c r="B251" s="51"/>
      <c r="C251" s="52"/>
    </row>
    <row r="252" spans="2:3" ht="13.5" customHeight="1">
      <c r="B252" s="51"/>
      <c r="C252" s="52"/>
    </row>
    <row r="253" spans="2:3" ht="13.5" customHeight="1">
      <c r="B253" s="51"/>
      <c r="C253" s="52"/>
    </row>
    <row r="254" spans="2:3" ht="13.5" customHeight="1">
      <c r="B254" s="51"/>
      <c r="C254" s="52"/>
    </row>
    <row r="255" spans="2:3" ht="13.5" customHeight="1">
      <c r="B255" s="51"/>
      <c r="C255" s="52"/>
    </row>
    <row r="256" spans="2:3" ht="13.5" customHeight="1">
      <c r="B256" s="51"/>
      <c r="C256" s="52"/>
    </row>
    <row r="257" spans="2:3" ht="13.5" customHeight="1">
      <c r="B257" s="51"/>
      <c r="C257" s="52"/>
    </row>
    <row r="258" spans="2:3" ht="13.5" customHeight="1">
      <c r="B258" s="51"/>
      <c r="C258" s="52"/>
    </row>
    <row r="259" spans="2:3" ht="13.5" customHeight="1">
      <c r="B259" s="51"/>
      <c r="C259" s="52"/>
    </row>
    <row r="260" spans="2:3" ht="13.5" customHeight="1">
      <c r="B260" s="51"/>
      <c r="C260" s="52"/>
    </row>
    <row r="261" spans="2:3" ht="13.5" customHeight="1">
      <c r="B261" s="51"/>
      <c r="C261" s="52"/>
    </row>
    <row r="262" spans="2:3" ht="13.5" customHeight="1">
      <c r="B262" s="51"/>
      <c r="C262" s="52"/>
    </row>
    <row r="263" spans="2:3" ht="13.5" customHeight="1">
      <c r="B263" s="51"/>
      <c r="C263" s="52"/>
    </row>
    <row r="264" spans="2:3" ht="13.5" customHeight="1">
      <c r="B264" s="51"/>
      <c r="C264" s="52"/>
    </row>
    <row r="265" spans="2:3" ht="13.5" customHeight="1">
      <c r="B265" s="51"/>
      <c r="C265" s="52"/>
    </row>
    <row r="266" spans="2:3" ht="13.5" customHeight="1">
      <c r="B266" s="51"/>
      <c r="C266" s="52"/>
    </row>
    <row r="267" spans="2:3" ht="13.5" customHeight="1">
      <c r="B267" s="51"/>
      <c r="C267" s="52"/>
    </row>
    <row r="268" spans="2:3" ht="13.5" customHeight="1">
      <c r="B268" s="51"/>
      <c r="C268" s="52"/>
    </row>
    <row r="269" spans="2:3" ht="13.5" customHeight="1">
      <c r="B269" s="51"/>
      <c r="C269" s="52"/>
    </row>
    <row r="270" spans="2:3" ht="13.5" customHeight="1">
      <c r="B270" s="51"/>
      <c r="C270" s="52"/>
    </row>
    <row r="271" spans="2:3" ht="13.5" customHeight="1">
      <c r="B271" s="51"/>
      <c r="C271" s="52"/>
    </row>
    <row r="272" spans="2:3" ht="13.5" customHeight="1">
      <c r="B272" s="51"/>
      <c r="C272" s="52"/>
    </row>
    <row r="273" spans="2:3" ht="13.5" customHeight="1">
      <c r="B273" s="51"/>
      <c r="C273" s="52"/>
    </row>
    <row r="274" spans="2:3" ht="13.5" customHeight="1">
      <c r="B274" s="51"/>
      <c r="C274" s="52"/>
    </row>
    <row r="275" spans="2:3" ht="13.5" customHeight="1">
      <c r="B275" s="51"/>
      <c r="C275" s="52"/>
    </row>
    <row r="276" spans="2:3" ht="13.5" customHeight="1">
      <c r="B276" s="51"/>
      <c r="C276" s="52"/>
    </row>
    <row r="277" spans="2:3" ht="13.5" customHeight="1">
      <c r="B277" s="51"/>
      <c r="C277" s="52"/>
    </row>
    <row r="278" spans="2:3" ht="13.5" customHeight="1">
      <c r="B278" s="51"/>
      <c r="C278" s="52"/>
    </row>
    <row r="279" spans="2:3" ht="13.5" customHeight="1">
      <c r="B279" s="51"/>
      <c r="C279" s="52"/>
    </row>
    <row r="280" spans="2:3" ht="13.5" customHeight="1">
      <c r="B280" s="51"/>
      <c r="C280" s="52"/>
    </row>
    <row r="281" spans="2:3" ht="13.5" customHeight="1">
      <c r="B281" s="51"/>
      <c r="C281" s="52"/>
    </row>
    <row r="282" spans="2:3" ht="13.5" customHeight="1">
      <c r="B282" s="51"/>
      <c r="C282" s="52"/>
    </row>
    <row r="283" spans="2:3" ht="13.5" customHeight="1">
      <c r="B283" s="51"/>
      <c r="C283" s="52"/>
    </row>
    <row r="284" spans="2:3" ht="13.5" customHeight="1">
      <c r="B284" s="51"/>
      <c r="C284" s="52"/>
    </row>
    <row r="285" spans="2:3" ht="13.5" customHeight="1">
      <c r="B285" s="51"/>
      <c r="C285" s="52"/>
    </row>
    <row r="286" spans="2:3" ht="13.5" customHeight="1">
      <c r="B286" s="51"/>
      <c r="C286" s="52"/>
    </row>
    <row r="287" spans="2:3" ht="13.5" customHeight="1">
      <c r="B287" s="51"/>
      <c r="C287" s="52"/>
    </row>
    <row r="288" spans="2:3" ht="13.5" customHeight="1">
      <c r="B288" s="51"/>
      <c r="C288" s="52"/>
    </row>
    <row r="289" spans="2:3" ht="13.5" customHeight="1">
      <c r="B289" s="51"/>
      <c r="C289" s="52"/>
    </row>
    <row r="290" spans="2:3" ht="13.5" customHeight="1">
      <c r="B290" s="51"/>
      <c r="C290" s="52"/>
    </row>
    <row r="291" spans="2:3" ht="13.5" customHeight="1">
      <c r="B291" s="51"/>
      <c r="C291" s="52"/>
    </row>
    <row r="292" spans="2:3" ht="13.5" customHeight="1">
      <c r="B292" s="51"/>
      <c r="C292" s="52"/>
    </row>
    <row r="293" spans="2:3" ht="13.5" customHeight="1">
      <c r="B293" s="51"/>
      <c r="C293" s="52"/>
    </row>
    <row r="294" spans="2:3" ht="13.5" customHeight="1">
      <c r="B294" s="51"/>
      <c r="C294" s="52"/>
    </row>
    <row r="295" spans="2:3" ht="13.5" customHeight="1">
      <c r="B295" s="51"/>
      <c r="C295" s="52"/>
    </row>
    <row r="296" spans="2:3" ht="13.5" customHeight="1">
      <c r="B296" s="51"/>
      <c r="C296" s="52"/>
    </row>
    <row r="297" spans="2:3" ht="13.5" customHeight="1">
      <c r="B297" s="51"/>
      <c r="C297" s="52"/>
    </row>
    <row r="298" spans="2:3" ht="13.5" customHeight="1">
      <c r="B298" s="51"/>
      <c r="C298" s="52"/>
    </row>
    <row r="299" spans="2:3" ht="13.5" customHeight="1">
      <c r="B299" s="51"/>
      <c r="C299" s="52"/>
    </row>
    <row r="300" spans="2:3" ht="13.5" customHeight="1">
      <c r="B300" s="51"/>
      <c r="C300" s="52"/>
    </row>
    <row r="301" spans="2:3" ht="13.5" customHeight="1">
      <c r="B301" s="51"/>
      <c r="C301" s="52"/>
    </row>
    <row r="302" spans="2:3" ht="13.5" customHeight="1">
      <c r="B302" s="51"/>
      <c r="C302" s="52"/>
    </row>
    <row r="303" spans="2:3" ht="13.5" customHeight="1">
      <c r="B303" s="51"/>
      <c r="C303" s="52"/>
    </row>
    <row r="304" spans="2:3" ht="13.5" customHeight="1">
      <c r="B304" s="51"/>
      <c r="C304" s="52"/>
    </row>
    <row r="305" spans="2:3" ht="13.5" customHeight="1">
      <c r="B305" s="51"/>
      <c r="C305" s="52"/>
    </row>
    <row r="306" spans="2:3" ht="13.5" customHeight="1">
      <c r="B306" s="51"/>
      <c r="C306" s="52"/>
    </row>
    <row r="307" spans="2:3" ht="13.5" customHeight="1">
      <c r="B307" s="51"/>
      <c r="C307" s="52"/>
    </row>
    <row r="308" spans="2:3" ht="13.5" customHeight="1">
      <c r="B308" s="51"/>
      <c r="C308" s="52"/>
    </row>
    <row r="309" spans="2:3" ht="13.5" customHeight="1">
      <c r="B309" s="51"/>
      <c r="C309" s="52"/>
    </row>
    <row r="310" spans="2:3" ht="13.5" customHeight="1">
      <c r="B310" s="51"/>
      <c r="C310" s="52"/>
    </row>
    <row r="311" spans="2:3" ht="13.5" customHeight="1">
      <c r="B311" s="51"/>
      <c r="C311" s="52"/>
    </row>
    <row r="312" spans="2:3" ht="13.5" customHeight="1">
      <c r="B312" s="51"/>
      <c r="C312" s="52"/>
    </row>
    <row r="313" spans="2:3" ht="13.5" customHeight="1">
      <c r="B313" s="51"/>
      <c r="C313" s="52"/>
    </row>
    <row r="314" spans="2:3" ht="13.5" customHeight="1">
      <c r="B314" s="51"/>
      <c r="C314" s="52"/>
    </row>
    <row r="315" spans="2:3" ht="13.5" customHeight="1">
      <c r="B315" s="51"/>
      <c r="C315" s="52"/>
    </row>
    <row r="316" spans="2:3" ht="13.5" customHeight="1">
      <c r="B316" s="51"/>
      <c r="C316" s="52"/>
    </row>
    <row r="317" spans="2:3" ht="13.5" customHeight="1">
      <c r="B317" s="51"/>
      <c r="C317" s="52"/>
    </row>
    <row r="318" spans="2:3" ht="13.5" customHeight="1">
      <c r="B318" s="51"/>
      <c r="C318" s="52"/>
    </row>
    <row r="319" spans="2:3" ht="13.5" customHeight="1">
      <c r="B319" s="51"/>
      <c r="C319" s="52"/>
    </row>
    <row r="320" spans="2:3" ht="13.5" customHeight="1">
      <c r="B320" s="51"/>
      <c r="C320" s="52"/>
    </row>
    <row r="321" spans="2:3" ht="13.5" customHeight="1">
      <c r="B321" s="51"/>
      <c r="C321" s="52"/>
    </row>
    <row r="322" spans="2:3" ht="13.5" customHeight="1">
      <c r="B322" s="51"/>
      <c r="C322" s="52"/>
    </row>
    <row r="323" spans="2:3" ht="13.5" customHeight="1">
      <c r="B323" s="51"/>
      <c r="C323" s="52"/>
    </row>
    <row r="324" spans="2:3" ht="13.5" customHeight="1">
      <c r="B324" s="51"/>
      <c r="C324" s="52"/>
    </row>
    <row r="325" spans="2:3" ht="13.5" customHeight="1">
      <c r="B325" s="51"/>
      <c r="C325" s="52"/>
    </row>
    <row r="326" spans="2:3" ht="13.5" customHeight="1">
      <c r="B326" s="51"/>
      <c r="C326" s="52"/>
    </row>
    <row r="327" spans="2:3" ht="13.5" customHeight="1">
      <c r="B327" s="51"/>
      <c r="C327" s="52"/>
    </row>
    <row r="328" spans="2:3" ht="13.5" customHeight="1">
      <c r="B328" s="51"/>
      <c r="C328" s="52"/>
    </row>
    <row r="329" spans="2:3" ht="13.5" customHeight="1">
      <c r="B329" s="51"/>
      <c r="C329" s="52"/>
    </row>
    <row r="330" spans="2:3" ht="13.5" customHeight="1">
      <c r="B330" s="51"/>
      <c r="C330" s="52"/>
    </row>
    <row r="331" spans="2:3" ht="13.5" customHeight="1">
      <c r="B331" s="51"/>
      <c r="C331" s="52"/>
    </row>
    <row r="332" spans="2:3" ht="13.5" customHeight="1">
      <c r="B332" s="51"/>
      <c r="C332" s="52"/>
    </row>
    <row r="333" spans="2:3" ht="13.5" customHeight="1">
      <c r="B333" s="51"/>
      <c r="C333" s="52"/>
    </row>
    <row r="334" spans="2:3" ht="13.5" customHeight="1">
      <c r="B334" s="51"/>
      <c r="C334" s="52"/>
    </row>
    <row r="335" spans="2:3" ht="13.5" customHeight="1">
      <c r="B335" s="51"/>
      <c r="C335" s="52"/>
    </row>
    <row r="336" spans="2:3" ht="13.5" customHeight="1">
      <c r="B336" s="51"/>
      <c r="C336" s="52"/>
    </row>
    <row r="337" spans="2:3" ht="13.5" customHeight="1">
      <c r="B337" s="51"/>
      <c r="C337" s="52"/>
    </row>
    <row r="338" spans="2:3" ht="13.5" customHeight="1">
      <c r="B338" s="51"/>
      <c r="C338" s="52"/>
    </row>
    <row r="339" spans="2:3" ht="13.5" customHeight="1">
      <c r="B339" s="51"/>
      <c r="C339" s="52"/>
    </row>
    <row r="340" spans="2:3" ht="13.5" customHeight="1">
      <c r="B340" s="51"/>
      <c r="C340" s="52"/>
    </row>
    <row r="341" spans="2:3" ht="13.5" customHeight="1">
      <c r="B341" s="51"/>
      <c r="C341" s="52"/>
    </row>
    <row r="342" spans="2:3" ht="13.5" customHeight="1">
      <c r="B342" s="51"/>
      <c r="C342" s="52"/>
    </row>
    <row r="343" spans="2:3" ht="13.5" customHeight="1">
      <c r="B343" s="51"/>
      <c r="C343" s="52"/>
    </row>
    <row r="344" spans="2:3" ht="13.5" customHeight="1">
      <c r="B344" s="51"/>
      <c r="C344" s="52"/>
    </row>
    <row r="345" spans="2:3" ht="13.5" customHeight="1">
      <c r="B345" s="51"/>
      <c r="C345" s="52"/>
    </row>
    <row r="346" spans="2:3" ht="13.5" customHeight="1">
      <c r="B346" s="51"/>
      <c r="C346" s="52"/>
    </row>
    <row r="347" spans="2:3" ht="13.5" customHeight="1">
      <c r="B347" s="51"/>
      <c r="C347" s="52"/>
    </row>
    <row r="348" spans="2:3" ht="13.5" customHeight="1">
      <c r="B348" s="51"/>
      <c r="C348" s="52"/>
    </row>
    <row r="349" spans="2:3" ht="13.5" customHeight="1">
      <c r="B349" s="51"/>
      <c r="C349" s="52"/>
    </row>
    <row r="350" spans="2:3" ht="13.5" customHeight="1">
      <c r="B350" s="51"/>
      <c r="C350" s="52"/>
    </row>
    <row r="351" spans="2:3" ht="13.5" customHeight="1">
      <c r="B351" s="51"/>
      <c r="C351" s="52"/>
    </row>
    <row r="352" spans="2:3" ht="13.5" customHeight="1">
      <c r="B352" s="51"/>
      <c r="C352" s="52"/>
    </row>
    <row r="353" spans="2:3" ht="13.5" customHeight="1">
      <c r="B353" s="51"/>
      <c r="C353" s="52"/>
    </row>
    <row r="354" spans="2:3" ht="13.5" customHeight="1">
      <c r="B354" s="51"/>
      <c r="C354" s="52"/>
    </row>
    <row r="355" spans="2:3" ht="13.5" customHeight="1">
      <c r="B355" s="51"/>
      <c r="C355" s="52"/>
    </row>
    <row r="356" spans="2:3" ht="13.5" customHeight="1">
      <c r="B356" s="51"/>
      <c r="C356" s="52"/>
    </row>
    <row r="357" spans="2:3" ht="13.5" customHeight="1">
      <c r="B357" s="51"/>
      <c r="C357" s="52"/>
    </row>
    <row r="358" spans="2:3" ht="13.5" customHeight="1">
      <c r="B358" s="51"/>
      <c r="C358" s="52"/>
    </row>
    <row r="359" spans="2:3" ht="13.5" customHeight="1">
      <c r="B359" s="51"/>
      <c r="C359" s="52"/>
    </row>
    <row r="360" spans="2:3" ht="13.5" customHeight="1">
      <c r="B360" s="51"/>
      <c r="C360" s="52"/>
    </row>
    <row r="361" spans="2:3" ht="13.5" customHeight="1">
      <c r="B361" s="51"/>
      <c r="C361" s="52"/>
    </row>
    <row r="362" spans="2:3" ht="13.5" customHeight="1">
      <c r="B362" s="51"/>
      <c r="C362" s="52"/>
    </row>
    <row r="363" spans="2:3" ht="13.5" customHeight="1">
      <c r="B363" s="51"/>
      <c r="C363" s="52"/>
    </row>
    <row r="364" spans="2:3" ht="13.5" customHeight="1">
      <c r="B364" s="51"/>
      <c r="C364" s="52"/>
    </row>
    <row r="365" spans="2:3" ht="13.5" customHeight="1">
      <c r="B365" s="51"/>
      <c r="C365" s="52"/>
    </row>
    <row r="366" spans="2:3" ht="13.5" customHeight="1">
      <c r="B366" s="51"/>
      <c r="C366" s="52"/>
    </row>
    <row r="367" spans="2:3" ht="13.5" customHeight="1">
      <c r="B367" s="51"/>
      <c r="C367" s="52"/>
    </row>
    <row r="368" spans="2:3" ht="13.5" customHeight="1">
      <c r="B368" s="51"/>
      <c r="C368" s="52"/>
    </row>
    <row r="369" spans="2:3" ht="13.5" customHeight="1">
      <c r="B369" s="51"/>
      <c r="C369" s="52"/>
    </row>
    <row r="370" spans="2:3" ht="13.5" customHeight="1">
      <c r="B370" s="51"/>
      <c r="C370" s="52"/>
    </row>
    <row r="371" spans="2:3" ht="13.5" customHeight="1">
      <c r="B371" s="51"/>
      <c r="C371" s="52"/>
    </row>
    <row r="372" spans="2:3" ht="13.5" customHeight="1">
      <c r="B372" s="51"/>
      <c r="C372" s="52"/>
    </row>
    <row r="373" spans="2:3" ht="13.5" customHeight="1">
      <c r="B373" s="51"/>
      <c r="C373" s="52"/>
    </row>
    <row r="374" spans="2:3" ht="13.5" customHeight="1">
      <c r="B374" s="51"/>
      <c r="C374" s="52"/>
    </row>
    <row r="375" spans="2:3" ht="13.5" customHeight="1">
      <c r="B375" s="51"/>
      <c r="C375" s="52"/>
    </row>
    <row r="376" spans="2:3" ht="13.5" customHeight="1">
      <c r="B376" s="51"/>
      <c r="C376" s="52"/>
    </row>
    <row r="377" spans="2:3" ht="13.5" customHeight="1">
      <c r="B377" s="51"/>
      <c r="C377" s="52"/>
    </row>
    <row r="378" spans="2:3" ht="13.5" customHeight="1">
      <c r="B378" s="51"/>
      <c r="C378" s="52"/>
    </row>
    <row r="379" spans="2:3" ht="13.5" customHeight="1">
      <c r="B379" s="51"/>
      <c r="C379" s="52"/>
    </row>
    <row r="380" spans="2:3" ht="13.5" customHeight="1">
      <c r="B380" s="51"/>
      <c r="C380" s="52"/>
    </row>
    <row r="381" spans="2:3" ht="13.5" customHeight="1">
      <c r="B381" s="51"/>
      <c r="C381" s="52"/>
    </row>
    <row r="382" spans="2:3" ht="13.5" customHeight="1">
      <c r="B382" s="51"/>
      <c r="C382" s="52"/>
    </row>
    <row r="383" spans="2:3" ht="13.5" customHeight="1">
      <c r="B383" s="51"/>
      <c r="C383" s="52"/>
    </row>
    <row r="384" spans="2:3" ht="13.5" customHeight="1">
      <c r="B384" s="51"/>
      <c r="C384" s="52"/>
    </row>
    <row r="385" spans="2:3" ht="13.5" customHeight="1">
      <c r="B385" s="51"/>
      <c r="C385" s="52"/>
    </row>
    <row r="386" spans="2:3" ht="13.5" customHeight="1">
      <c r="B386" s="51"/>
      <c r="C386" s="52"/>
    </row>
    <row r="387" spans="2:3" ht="13.5" customHeight="1">
      <c r="B387" s="51"/>
      <c r="C387" s="52"/>
    </row>
    <row r="388" spans="2:3" ht="13.5" customHeight="1">
      <c r="B388" s="51"/>
      <c r="C388" s="52"/>
    </row>
    <row r="389" spans="2:3" ht="13.5" customHeight="1">
      <c r="B389" s="51"/>
      <c r="C389" s="52"/>
    </row>
    <row r="390" spans="2:3" ht="13.5" customHeight="1">
      <c r="B390" s="51"/>
      <c r="C390" s="52"/>
    </row>
    <row r="391" spans="2:3" ht="13.5" customHeight="1">
      <c r="B391" s="51"/>
      <c r="C391" s="52"/>
    </row>
    <row r="392" spans="2:3" ht="13.5" customHeight="1">
      <c r="B392" s="51"/>
      <c r="C392" s="52"/>
    </row>
    <row r="393" spans="2:3" ht="13.5" customHeight="1">
      <c r="B393" s="51"/>
      <c r="C393" s="52"/>
    </row>
    <row r="394" spans="2:3" ht="13.5" customHeight="1">
      <c r="B394" s="51"/>
      <c r="C394" s="52"/>
    </row>
    <row r="395" spans="2:3" ht="13.5" customHeight="1">
      <c r="B395" s="51"/>
      <c r="C395" s="52"/>
    </row>
    <row r="396" spans="2:3" ht="13.5" customHeight="1">
      <c r="B396" s="51"/>
      <c r="C396" s="52"/>
    </row>
    <row r="397" spans="2:3" ht="13.5" customHeight="1">
      <c r="B397" s="51"/>
      <c r="C397" s="52"/>
    </row>
    <row r="398" spans="2:3" ht="13.5" customHeight="1">
      <c r="B398" s="51"/>
      <c r="C398" s="52"/>
    </row>
    <row r="399" spans="2:3" ht="13.5" customHeight="1">
      <c r="B399" s="51"/>
      <c r="C399" s="52"/>
    </row>
    <row r="400" spans="2:3" ht="13.5" customHeight="1">
      <c r="B400" s="51"/>
      <c r="C400" s="52"/>
    </row>
    <row r="401" spans="2:3" ht="13.5" customHeight="1">
      <c r="B401" s="51"/>
      <c r="C401" s="52"/>
    </row>
    <row r="402" spans="2:3" ht="13.5" customHeight="1">
      <c r="B402" s="51"/>
      <c r="C402" s="52"/>
    </row>
    <row r="403" spans="2:3" ht="13.5" customHeight="1">
      <c r="B403" s="51"/>
      <c r="C403" s="52"/>
    </row>
    <row r="404" spans="2:3" ht="13.5" customHeight="1">
      <c r="B404" s="51"/>
      <c r="C404" s="52"/>
    </row>
    <row r="405" spans="2:3" ht="13.5" customHeight="1">
      <c r="B405" s="51"/>
      <c r="C405" s="52"/>
    </row>
    <row r="406" spans="2:3" ht="13.5" customHeight="1">
      <c r="B406" s="51"/>
      <c r="C406" s="52"/>
    </row>
    <row r="407" spans="2:3" ht="13.5" customHeight="1">
      <c r="B407" s="51"/>
      <c r="C407" s="52"/>
    </row>
    <row r="408" spans="2:3" ht="13.5" customHeight="1">
      <c r="B408" s="51"/>
      <c r="C408" s="52"/>
    </row>
    <row r="409" spans="2:3" ht="13.5" customHeight="1">
      <c r="B409" s="51"/>
      <c r="C409" s="52"/>
    </row>
    <row r="410" spans="2:3" ht="13.5" customHeight="1">
      <c r="B410" s="51"/>
      <c r="C410" s="52"/>
    </row>
    <row r="411" spans="2:3" ht="13.5" customHeight="1">
      <c r="B411" s="51"/>
      <c r="C411" s="52"/>
    </row>
    <row r="412" spans="2:3" ht="13.5" customHeight="1">
      <c r="B412" s="51"/>
      <c r="C412" s="52"/>
    </row>
    <row r="413" spans="2:3" ht="13.5" customHeight="1">
      <c r="B413" s="51"/>
      <c r="C413" s="52"/>
    </row>
    <row r="414" spans="2:3" ht="13.5" customHeight="1">
      <c r="B414" s="51"/>
      <c r="C414" s="52"/>
    </row>
    <row r="415" spans="2:3" ht="13.5" customHeight="1">
      <c r="B415" s="51"/>
      <c r="C415" s="52"/>
    </row>
    <row r="416" spans="2:3" ht="13.5" customHeight="1">
      <c r="B416" s="51"/>
      <c r="C416" s="52"/>
    </row>
    <row r="417" spans="2:3" ht="13.5" customHeight="1">
      <c r="B417" s="51"/>
      <c r="C417" s="52"/>
    </row>
    <row r="418" spans="2:3" ht="13.5" customHeight="1">
      <c r="B418" s="51"/>
      <c r="C418" s="52"/>
    </row>
    <row r="419" spans="2:3" ht="13.5" customHeight="1">
      <c r="B419" s="51"/>
      <c r="C419" s="52"/>
    </row>
    <row r="420" spans="2:3" ht="13.5" customHeight="1">
      <c r="B420" s="51"/>
      <c r="C420" s="52"/>
    </row>
    <row r="421" spans="2:3" ht="13.5" customHeight="1">
      <c r="B421" s="51"/>
      <c r="C421" s="52"/>
    </row>
    <row r="422" spans="2:3" ht="13.5" customHeight="1">
      <c r="B422" s="51"/>
      <c r="C422" s="52"/>
    </row>
    <row r="423" spans="2:3" ht="13.5" customHeight="1">
      <c r="B423" s="51"/>
      <c r="C423" s="52"/>
    </row>
    <row r="424" spans="2:3" ht="13.5" customHeight="1">
      <c r="B424" s="51"/>
      <c r="C424" s="52"/>
    </row>
    <row r="425" spans="2:3" ht="13.5" customHeight="1">
      <c r="B425" s="51"/>
      <c r="C425" s="52"/>
    </row>
    <row r="426" spans="2:3" ht="13.5" customHeight="1">
      <c r="B426" s="51"/>
      <c r="C426" s="52"/>
    </row>
    <row r="427" spans="2:3" ht="13.5" customHeight="1">
      <c r="B427" s="51"/>
      <c r="C427" s="52"/>
    </row>
    <row r="428" spans="2:3" ht="13.5" customHeight="1">
      <c r="B428" s="51"/>
      <c r="C428" s="52"/>
    </row>
    <row r="429" spans="2:3" ht="13.5" customHeight="1">
      <c r="B429" s="51"/>
      <c r="C429" s="52"/>
    </row>
    <row r="430" spans="2:3" ht="13.5" customHeight="1">
      <c r="B430" s="51"/>
      <c r="C430" s="52"/>
    </row>
    <row r="431" spans="2:3" ht="13.5" customHeight="1">
      <c r="B431" s="51"/>
      <c r="C431" s="52"/>
    </row>
    <row r="432" spans="2:3" ht="13.5" customHeight="1">
      <c r="B432" s="51"/>
      <c r="C432" s="52"/>
    </row>
    <row r="433" spans="2:3" ht="13.5" customHeight="1">
      <c r="B433" s="51"/>
      <c r="C433" s="52"/>
    </row>
    <row r="434" spans="2:3" ht="13.5" customHeight="1">
      <c r="B434" s="51"/>
      <c r="C434" s="52"/>
    </row>
    <row r="435" spans="2:3" ht="13.5" customHeight="1">
      <c r="B435" s="51"/>
      <c r="C435" s="52"/>
    </row>
    <row r="436" spans="2:3" ht="13.5" customHeight="1">
      <c r="B436" s="51"/>
      <c r="C436" s="52"/>
    </row>
    <row r="437" spans="2:3" ht="13.5" customHeight="1">
      <c r="B437" s="51"/>
      <c r="C437" s="52"/>
    </row>
    <row r="438" spans="2:3" ht="13.5" customHeight="1">
      <c r="B438" s="51"/>
      <c r="C438" s="52"/>
    </row>
    <row r="439" spans="2:3" ht="13.5" customHeight="1">
      <c r="B439" s="51"/>
      <c r="C439" s="52"/>
    </row>
    <row r="440" spans="2:3" ht="13.5" customHeight="1">
      <c r="B440" s="51"/>
      <c r="C440" s="52"/>
    </row>
    <row r="441" spans="2:3" ht="13.5" customHeight="1">
      <c r="B441" s="51"/>
      <c r="C441" s="52"/>
    </row>
    <row r="442" spans="2:3" ht="13.5" customHeight="1">
      <c r="B442" s="51"/>
      <c r="C442" s="52"/>
    </row>
    <row r="443" spans="2:3" ht="13.5" customHeight="1">
      <c r="B443" s="51"/>
      <c r="C443" s="52"/>
    </row>
    <row r="444" spans="2:3" ht="13.5" customHeight="1">
      <c r="B444" s="51"/>
      <c r="C444" s="52"/>
    </row>
    <row r="445" spans="2:3" ht="13.5" customHeight="1">
      <c r="B445" s="51"/>
      <c r="C445" s="52"/>
    </row>
    <row r="446" spans="2:3" ht="13.5" customHeight="1">
      <c r="B446" s="51"/>
      <c r="C446" s="52"/>
    </row>
    <row r="447" spans="2:3" ht="13.5" customHeight="1">
      <c r="B447" s="51"/>
      <c r="C447" s="52"/>
    </row>
    <row r="448" spans="2:3" ht="13.5" customHeight="1">
      <c r="B448" s="51"/>
      <c r="C448" s="52"/>
    </row>
    <row r="449" spans="2:3" ht="13.5" customHeight="1">
      <c r="B449" s="51"/>
      <c r="C449" s="52"/>
    </row>
    <row r="450" spans="2:3" ht="13.5" customHeight="1">
      <c r="B450" s="51"/>
      <c r="C450" s="52"/>
    </row>
    <row r="451" spans="2:3" ht="13.5" customHeight="1">
      <c r="B451" s="51"/>
      <c r="C451" s="52"/>
    </row>
    <row r="452" spans="2:3" ht="13.5" customHeight="1">
      <c r="B452" s="51"/>
      <c r="C452" s="52"/>
    </row>
    <row r="453" spans="2:3" ht="13.5" customHeight="1">
      <c r="B453" s="51"/>
      <c r="C453" s="52"/>
    </row>
    <row r="454" spans="2:3" ht="13.5" customHeight="1">
      <c r="B454" s="51"/>
      <c r="C454" s="52"/>
    </row>
    <row r="455" spans="2:3" ht="13.5" customHeight="1">
      <c r="B455" s="51"/>
      <c r="C455" s="52"/>
    </row>
    <row r="456" spans="2:3" ht="13.5" customHeight="1">
      <c r="B456" s="51"/>
      <c r="C456" s="52"/>
    </row>
    <row r="457" spans="2:3" ht="13.5" customHeight="1">
      <c r="B457" s="51"/>
      <c r="C457" s="52"/>
    </row>
    <row r="458" spans="2:3" ht="13.5" customHeight="1">
      <c r="B458" s="51"/>
      <c r="C458" s="52"/>
    </row>
    <row r="459" spans="2:3" ht="13.5" customHeight="1">
      <c r="B459" s="51"/>
      <c r="C459" s="52"/>
    </row>
    <row r="460" spans="2:3" ht="13.5" customHeight="1">
      <c r="B460" s="51"/>
      <c r="C460" s="52"/>
    </row>
    <row r="461" spans="2:3" ht="13.5" customHeight="1">
      <c r="B461" s="51"/>
      <c r="C461" s="52"/>
    </row>
    <row r="462" spans="2:3" ht="13.5" customHeight="1">
      <c r="B462" s="51"/>
      <c r="C462" s="52"/>
    </row>
    <row r="463" spans="2:3" ht="13.5" customHeight="1">
      <c r="B463" s="51"/>
      <c r="C463" s="52"/>
    </row>
    <row r="464" spans="2:3" ht="13.5" customHeight="1">
      <c r="B464" s="51"/>
      <c r="C464" s="52"/>
    </row>
    <row r="465" spans="2:3" ht="13.5" customHeight="1">
      <c r="B465" s="51"/>
      <c r="C465" s="52"/>
    </row>
    <row r="466" spans="2:3" ht="13.5" customHeight="1">
      <c r="B466" s="51"/>
      <c r="C466" s="52"/>
    </row>
    <row r="467" spans="2:3" ht="13.5" customHeight="1">
      <c r="B467" s="51"/>
      <c r="C467" s="52"/>
    </row>
    <row r="468" spans="2:3" ht="13.5" customHeight="1">
      <c r="B468" s="51"/>
      <c r="C468" s="52"/>
    </row>
    <row r="469" spans="2:3" ht="13.5" customHeight="1">
      <c r="B469" s="51"/>
      <c r="C469" s="52"/>
    </row>
    <row r="470" spans="2:3" ht="13.5" customHeight="1">
      <c r="B470" s="51"/>
      <c r="C470" s="52"/>
    </row>
    <row r="471" spans="2:3" ht="13.5" customHeight="1">
      <c r="B471" s="51"/>
      <c r="C471" s="52"/>
    </row>
    <row r="472" spans="2:3" ht="13.5" customHeight="1">
      <c r="B472" s="51"/>
      <c r="C472" s="52"/>
    </row>
    <row r="473" spans="2:3" ht="13.5" customHeight="1">
      <c r="B473" s="51"/>
      <c r="C473" s="52"/>
    </row>
    <row r="474" spans="2:3" ht="13.5" customHeight="1">
      <c r="B474" s="51"/>
      <c r="C474" s="52"/>
    </row>
    <row r="475" spans="2:3" ht="13.5" customHeight="1">
      <c r="B475" s="51"/>
      <c r="C475" s="52"/>
    </row>
    <row r="476" spans="2:3" ht="13.5" customHeight="1">
      <c r="B476" s="51"/>
      <c r="C476" s="52"/>
    </row>
    <row r="477" spans="2:3" ht="13.5" customHeight="1">
      <c r="B477" s="51"/>
      <c r="C477" s="52"/>
    </row>
    <row r="478" spans="2:3" ht="13.5" customHeight="1">
      <c r="B478" s="51"/>
      <c r="C478" s="52"/>
    </row>
    <row r="479" spans="2:3" ht="13.5" customHeight="1">
      <c r="B479" s="51"/>
      <c r="C479" s="52"/>
    </row>
    <row r="480" spans="2:3" ht="13.5" customHeight="1">
      <c r="B480" s="51"/>
      <c r="C480" s="52"/>
    </row>
    <row r="481" spans="2:3" ht="13.5" customHeight="1">
      <c r="B481" s="51"/>
      <c r="C481" s="52"/>
    </row>
    <row r="482" spans="2:3" ht="13.5" customHeight="1">
      <c r="B482" s="51"/>
      <c r="C482" s="52"/>
    </row>
    <row r="483" spans="2:3" ht="13.5" customHeight="1">
      <c r="B483" s="51"/>
      <c r="C483" s="52"/>
    </row>
    <row r="484" spans="2:3" ht="13.5" customHeight="1">
      <c r="B484" s="51"/>
      <c r="C484" s="52"/>
    </row>
    <row r="485" spans="2:3" ht="13.5" customHeight="1">
      <c r="B485" s="51"/>
      <c r="C485" s="52"/>
    </row>
    <row r="486" spans="2:3" ht="13.5" customHeight="1">
      <c r="B486" s="51"/>
      <c r="C486" s="52"/>
    </row>
    <row r="487" spans="2:3" ht="13.5" customHeight="1">
      <c r="B487" s="51"/>
      <c r="C487" s="52"/>
    </row>
    <row r="488" spans="2:3" ht="13.5" customHeight="1">
      <c r="B488" s="51"/>
      <c r="C488" s="52"/>
    </row>
    <row r="489" spans="2:3" ht="13.5" customHeight="1">
      <c r="B489" s="51"/>
      <c r="C489" s="52"/>
    </row>
    <row r="490" spans="2:3" ht="13.5" customHeight="1">
      <c r="B490" s="51"/>
      <c r="C490" s="52"/>
    </row>
    <row r="491" spans="2:3" ht="13.5" customHeight="1">
      <c r="B491" s="51"/>
      <c r="C491" s="52"/>
    </row>
    <row r="492" spans="2:3" ht="13.5" customHeight="1">
      <c r="B492" s="51"/>
      <c r="C492" s="52"/>
    </row>
    <row r="493" spans="2:3" ht="13.5" customHeight="1">
      <c r="B493" s="51"/>
      <c r="C493" s="52"/>
    </row>
    <row r="494" spans="2:3" ht="13.5" customHeight="1">
      <c r="B494" s="51"/>
      <c r="C494" s="52"/>
    </row>
    <row r="495" spans="2:3" ht="13.5" customHeight="1">
      <c r="B495" s="51"/>
      <c r="C495" s="52"/>
    </row>
    <row r="496" spans="2:3" ht="13.5" customHeight="1">
      <c r="B496" s="51"/>
      <c r="C496" s="52"/>
    </row>
    <row r="497" spans="2:3" ht="13.5" customHeight="1">
      <c r="B497" s="51"/>
      <c r="C497" s="52"/>
    </row>
    <row r="498" spans="2:3" ht="13.5" customHeight="1">
      <c r="B498" s="51"/>
      <c r="C498" s="52"/>
    </row>
    <row r="499" spans="2:3" ht="13.5" customHeight="1">
      <c r="B499" s="51"/>
      <c r="C499" s="52"/>
    </row>
    <row r="500" spans="2:3" ht="13.5" customHeight="1">
      <c r="B500" s="51"/>
      <c r="C500" s="52"/>
    </row>
    <row r="501" spans="2:3" ht="13.5" customHeight="1">
      <c r="B501" s="51"/>
      <c r="C501" s="52"/>
    </row>
    <row r="502" spans="2:3" ht="13.5" customHeight="1">
      <c r="B502" s="51"/>
      <c r="C502" s="52"/>
    </row>
    <row r="503" spans="2:3" ht="13.5" customHeight="1">
      <c r="B503" s="51"/>
      <c r="C503" s="52"/>
    </row>
    <row r="504" spans="2:3" ht="13.5" customHeight="1">
      <c r="B504" s="51"/>
      <c r="C504" s="52"/>
    </row>
    <row r="505" spans="2:3" ht="13.5" customHeight="1">
      <c r="B505" s="51"/>
      <c r="C505" s="52"/>
    </row>
    <row r="506" spans="2:3" ht="13.5" customHeight="1">
      <c r="B506" s="51"/>
      <c r="C506" s="52"/>
    </row>
    <row r="507" spans="2:3" ht="13.5" customHeight="1">
      <c r="B507" s="51"/>
      <c r="C507" s="52"/>
    </row>
    <row r="508" spans="2:3" ht="13.5" customHeight="1">
      <c r="B508" s="51"/>
      <c r="C508" s="52"/>
    </row>
    <row r="509" spans="2:3" ht="13.5" customHeight="1">
      <c r="B509" s="51"/>
      <c r="C509" s="52"/>
    </row>
    <row r="510" spans="2:3" ht="13.5" customHeight="1">
      <c r="B510" s="51"/>
      <c r="C510" s="52"/>
    </row>
    <row r="511" spans="2:3" ht="13.5" customHeight="1">
      <c r="B511" s="51"/>
      <c r="C511" s="52"/>
    </row>
    <row r="512" spans="2:3" ht="13.5" customHeight="1">
      <c r="B512" s="51"/>
      <c r="C512" s="52"/>
    </row>
    <row r="513" spans="2:3" ht="13.5" customHeight="1">
      <c r="B513" s="51"/>
      <c r="C513" s="52"/>
    </row>
    <row r="514" spans="2:3" ht="13.5" customHeight="1">
      <c r="B514" s="51"/>
      <c r="C514" s="52"/>
    </row>
    <row r="515" spans="2:3" ht="13.5" customHeight="1">
      <c r="B515" s="51"/>
      <c r="C515" s="52"/>
    </row>
    <row r="516" spans="2:3" ht="13.5" customHeight="1">
      <c r="B516" s="51"/>
      <c r="C516" s="52"/>
    </row>
    <row r="517" spans="2:3" ht="13.5" customHeight="1">
      <c r="B517" s="51"/>
      <c r="C517" s="52"/>
    </row>
    <row r="518" spans="2:3" ht="13.5" customHeight="1">
      <c r="B518" s="51"/>
      <c r="C518" s="52"/>
    </row>
    <row r="519" spans="2:3" ht="13.5" customHeight="1">
      <c r="B519" s="51"/>
      <c r="C519" s="52"/>
    </row>
    <row r="520" spans="2:3" ht="13.5" customHeight="1">
      <c r="B520" s="51"/>
      <c r="C520" s="52"/>
    </row>
    <row r="521" spans="2:3" ht="13.5" customHeight="1">
      <c r="B521" s="51"/>
      <c r="C521" s="52"/>
    </row>
    <row r="522" spans="2:3" ht="13.5" customHeight="1">
      <c r="B522" s="51"/>
      <c r="C522" s="52"/>
    </row>
    <row r="523" spans="2:3" ht="13.5" customHeight="1">
      <c r="B523" s="51"/>
      <c r="C523" s="52"/>
    </row>
    <row r="524" spans="2:3" ht="13.5" customHeight="1">
      <c r="B524" s="51"/>
      <c r="C524" s="52"/>
    </row>
    <row r="525" spans="2:3" ht="13.5" customHeight="1">
      <c r="B525" s="51"/>
      <c r="C525" s="52"/>
    </row>
    <row r="526" spans="2:3" ht="13.5" customHeight="1">
      <c r="B526" s="51"/>
      <c r="C526" s="52"/>
    </row>
    <row r="527" spans="2:3" ht="13.5" customHeight="1">
      <c r="B527" s="51"/>
      <c r="C527" s="52"/>
    </row>
    <row r="528" spans="2:3" ht="13.5" customHeight="1">
      <c r="B528" s="51"/>
      <c r="C528" s="52"/>
    </row>
    <row r="529" spans="2:3" ht="13.5" customHeight="1">
      <c r="B529" s="51"/>
      <c r="C529" s="52"/>
    </row>
    <row r="530" spans="2:3" ht="13.5" customHeight="1">
      <c r="B530" s="51"/>
      <c r="C530" s="52"/>
    </row>
    <row r="531" spans="2:3" ht="13.5" customHeight="1">
      <c r="B531" s="51"/>
      <c r="C531" s="52"/>
    </row>
    <row r="532" spans="2:3" ht="13.5" customHeight="1">
      <c r="B532" s="51"/>
      <c r="C532" s="52"/>
    </row>
    <row r="533" spans="2:3" ht="13.5" customHeight="1">
      <c r="B533" s="51"/>
      <c r="C533" s="52"/>
    </row>
    <row r="534" spans="2:3" ht="13.5" customHeight="1">
      <c r="B534" s="51"/>
      <c r="C534" s="52"/>
    </row>
    <row r="535" spans="2:3" ht="13.5" customHeight="1">
      <c r="B535" s="51"/>
      <c r="C535" s="52"/>
    </row>
    <row r="536" spans="2:3" ht="13.5" customHeight="1">
      <c r="B536" s="51"/>
      <c r="C536" s="52"/>
    </row>
    <row r="537" spans="2:3" ht="13.5" customHeight="1">
      <c r="B537" s="51"/>
      <c r="C537" s="52"/>
    </row>
    <row r="538" spans="2:3" ht="13.5" customHeight="1">
      <c r="B538" s="51"/>
      <c r="C538" s="52"/>
    </row>
    <row r="539" spans="2:3" ht="13.5" customHeight="1">
      <c r="B539" s="51"/>
      <c r="C539" s="52"/>
    </row>
    <row r="540" spans="2:3" ht="13.5" customHeight="1">
      <c r="B540" s="51"/>
      <c r="C540" s="52"/>
    </row>
    <row r="541" spans="2:3" ht="13.5" customHeight="1">
      <c r="B541" s="51"/>
      <c r="C541" s="52"/>
    </row>
    <row r="542" spans="2:3" ht="13.5" customHeight="1">
      <c r="B542" s="51"/>
      <c r="C542" s="52"/>
    </row>
    <row r="543" spans="2:3" ht="13.5" customHeight="1">
      <c r="B543" s="51"/>
      <c r="C543" s="52"/>
    </row>
    <row r="544" spans="2:3" ht="13.5" customHeight="1">
      <c r="B544" s="51"/>
      <c r="C544" s="52"/>
    </row>
    <row r="545" spans="2:3" ht="13.5" customHeight="1">
      <c r="B545" s="51"/>
      <c r="C545" s="52"/>
    </row>
    <row r="546" spans="2:3" ht="13.5" customHeight="1">
      <c r="B546" s="51"/>
      <c r="C546" s="52"/>
    </row>
    <row r="547" spans="2:3" ht="13.5" customHeight="1">
      <c r="B547" s="51"/>
      <c r="C547" s="52"/>
    </row>
    <row r="548" spans="2:3" ht="13.5" customHeight="1">
      <c r="B548" s="51"/>
      <c r="C548" s="52"/>
    </row>
    <row r="549" spans="2:3" ht="13.5" customHeight="1">
      <c r="B549" s="51"/>
      <c r="C549" s="52"/>
    </row>
    <row r="550" spans="2:3" ht="13.5" customHeight="1">
      <c r="B550" s="51"/>
      <c r="C550" s="52"/>
    </row>
    <row r="551" spans="2:3" ht="13.5" customHeight="1">
      <c r="B551" s="51"/>
      <c r="C551" s="52"/>
    </row>
    <row r="552" spans="2:3" ht="13.5" customHeight="1">
      <c r="B552" s="51"/>
      <c r="C552" s="52"/>
    </row>
    <row r="553" spans="2:3" ht="13.5" customHeight="1">
      <c r="B553" s="51"/>
      <c r="C553" s="52"/>
    </row>
    <row r="554" spans="2:3" ht="13.5" customHeight="1">
      <c r="B554" s="51"/>
      <c r="C554" s="52"/>
    </row>
    <row r="555" spans="2:3" ht="13.5" customHeight="1">
      <c r="B555" s="51"/>
      <c r="C555" s="52"/>
    </row>
    <row r="556" spans="2:3" ht="13.5" customHeight="1">
      <c r="B556" s="51"/>
      <c r="C556" s="52"/>
    </row>
    <row r="557" spans="2:3" ht="13.5" customHeight="1">
      <c r="B557" s="51"/>
      <c r="C557" s="52"/>
    </row>
    <row r="558" spans="2:3" ht="13.5" customHeight="1">
      <c r="B558" s="51"/>
      <c r="C558" s="52"/>
    </row>
    <row r="559" spans="2:3" ht="13.5" customHeight="1">
      <c r="B559" s="51"/>
      <c r="C559" s="52"/>
    </row>
    <row r="560" spans="2:3" ht="13.5" customHeight="1">
      <c r="B560" s="51"/>
      <c r="C560" s="52"/>
    </row>
    <row r="561" spans="2:3" ht="13.5" customHeight="1">
      <c r="B561" s="51"/>
      <c r="C561" s="52"/>
    </row>
    <row r="562" spans="2:3" ht="13.5" customHeight="1">
      <c r="B562" s="51"/>
      <c r="C562" s="52"/>
    </row>
    <row r="563" spans="2:3" ht="13.5" customHeight="1">
      <c r="B563" s="51"/>
      <c r="C563" s="52"/>
    </row>
    <row r="564" spans="2:3" ht="13.5" customHeight="1">
      <c r="B564" s="51"/>
      <c r="C564" s="52"/>
    </row>
    <row r="565" spans="2:3" ht="13.5" customHeight="1">
      <c r="B565" s="51"/>
      <c r="C565" s="52"/>
    </row>
    <row r="566" spans="2:3" ht="13.5" customHeight="1">
      <c r="B566" s="51"/>
      <c r="C566" s="52"/>
    </row>
    <row r="567" spans="2:3" ht="13.5" customHeight="1">
      <c r="B567" s="51"/>
      <c r="C567" s="52"/>
    </row>
    <row r="568" spans="2:3" ht="13.5" customHeight="1">
      <c r="B568" s="51"/>
      <c r="C568" s="52"/>
    </row>
    <row r="569" spans="2:3" ht="13.5" customHeight="1">
      <c r="B569" s="51"/>
      <c r="C569" s="52"/>
    </row>
    <row r="570" spans="2:3" ht="13.5" customHeight="1">
      <c r="B570" s="51"/>
      <c r="C570" s="52"/>
    </row>
    <row r="571" spans="2:3" ht="13.5" customHeight="1">
      <c r="B571" s="51"/>
      <c r="C571" s="52"/>
    </row>
    <row r="572" spans="2:3" ht="13.5" customHeight="1">
      <c r="B572" s="51"/>
      <c r="C572" s="52"/>
    </row>
    <row r="573" spans="2:3" ht="13.5" customHeight="1">
      <c r="B573" s="51"/>
      <c r="C573" s="52"/>
    </row>
    <row r="574" spans="2:3" ht="13.5" customHeight="1">
      <c r="B574" s="51"/>
      <c r="C574" s="52"/>
    </row>
    <row r="575" spans="2:3" ht="13.5" customHeight="1">
      <c r="B575" s="51"/>
      <c r="C575" s="52"/>
    </row>
    <row r="576" spans="2:3" ht="13.5" customHeight="1">
      <c r="B576" s="51"/>
      <c r="C576" s="52"/>
    </row>
    <row r="577" spans="2:3" ht="13.5" customHeight="1">
      <c r="B577" s="51"/>
      <c r="C577" s="52"/>
    </row>
    <row r="578" spans="2:3" ht="13.5" customHeight="1">
      <c r="B578" s="51"/>
      <c r="C578" s="52"/>
    </row>
    <row r="579" spans="2:3" ht="13.5" customHeight="1">
      <c r="B579" s="51"/>
      <c r="C579" s="52"/>
    </row>
    <row r="580" spans="2:3" ht="13.5" customHeight="1">
      <c r="B580" s="51"/>
      <c r="C580" s="52"/>
    </row>
    <row r="581" spans="2:3" ht="13.5" customHeight="1">
      <c r="B581" s="51"/>
      <c r="C581" s="52"/>
    </row>
    <row r="582" spans="2:3" ht="13.5" customHeight="1">
      <c r="B582" s="51"/>
      <c r="C582" s="52"/>
    </row>
    <row r="583" spans="2:3" ht="13.5" customHeight="1">
      <c r="B583" s="51"/>
      <c r="C583" s="52"/>
    </row>
    <row r="584" spans="2:3" ht="13.5" customHeight="1">
      <c r="B584" s="51"/>
      <c r="C584" s="52"/>
    </row>
    <row r="585" spans="2:3" ht="13.5" customHeight="1">
      <c r="B585" s="51"/>
      <c r="C585" s="52"/>
    </row>
    <row r="586" spans="2:3" ht="13.5" customHeight="1">
      <c r="B586" s="51"/>
      <c r="C586" s="52"/>
    </row>
    <row r="587" spans="2:3" ht="13.5" customHeight="1">
      <c r="B587" s="51"/>
      <c r="C587" s="52"/>
    </row>
    <row r="588" spans="2:3" ht="13.5" customHeight="1">
      <c r="B588" s="51"/>
      <c r="C588" s="52"/>
    </row>
    <row r="589" spans="2:3" ht="13.5" customHeight="1">
      <c r="B589" s="51"/>
      <c r="C589" s="52"/>
    </row>
    <row r="590" spans="2:3" ht="13.5" customHeight="1">
      <c r="B590" s="51"/>
      <c r="C590" s="52"/>
    </row>
    <row r="591" spans="2:3" ht="13.5" customHeight="1">
      <c r="B591" s="51"/>
      <c r="C591" s="52"/>
    </row>
    <row r="592" spans="2:3" ht="13.5" customHeight="1">
      <c r="B592" s="51"/>
      <c r="C592" s="52"/>
    </row>
    <row r="593" spans="2:3" ht="13.5" customHeight="1">
      <c r="B593" s="51"/>
      <c r="C593" s="52"/>
    </row>
    <row r="594" spans="2:3" ht="13.5" customHeight="1">
      <c r="B594" s="51"/>
      <c r="C594" s="52"/>
    </row>
    <row r="595" spans="2:3" ht="13.5" customHeight="1">
      <c r="B595" s="51"/>
      <c r="C595" s="52"/>
    </row>
    <row r="596" spans="2:3" ht="13.5" customHeight="1">
      <c r="B596" s="51"/>
      <c r="C596" s="52"/>
    </row>
    <row r="597" spans="2:3" ht="13.5" customHeight="1">
      <c r="B597" s="51"/>
      <c r="C597" s="52"/>
    </row>
    <row r="598" spans="2:3" ht="13.5" customHeight="1">
      <c r="B598" s="51"/>
      <c r="C598" s="52"/>
    </row>
    <row r="599" spans="2:3" ht="13.5" customHeight="1">
      <c r="B599" s="51"/>
      <c r="C599" s="52"/>
    </row>
    <row r="600" spans="2:3" ht="13.5" customHeight="1">
      <c r="B600" s="51"/>
      <c r="C600" s="52"/>
    </row>
    <row r="601" spans="2:3" ht="13.5" customHeight="1">
      <c r="B601" s="51"/>
      <c r="C601" s="52"/>
    </row>
    <row r="602" spans="2:3" ht="13.5" customHeight="1">
      <c r="B602" s="51"/>
      <c r="C602" s="52"/>
    </row>
    <row r="603" spans="2:3" ht="13.5" customHeight="1">
      <c r="B603" s="51"/>
      <c r="C603" s="52"/>
    </row>
    <row r="604" spans="2:3" ht="13.5" customHeight="1">
      <c r="B604" s="51"/>
      <c r="C604" s="52"/>
    </row>
    <row r="605" spans="2:3" ht="13.5" customHeight="1">
      <c r="B605" s="51"/>
      <c r="C605" s="52"/>
    </row>
    <row r="606" spans="2:3" ht="13.5" customHeight="1">
      <c r="B606" s="51"/>
      <c r="C606" s="52"/>
    </row>
    <row r="607" spans="2:3" ht="13.5" customHeight="1">
      <c r="B607" s="51"/>
      <c r="C607" s="52"/>
    </row>
    <row r="608" spans="2:3" ht="13.5" customHeight="1">
      <c r="B608" s="51"/>
      <c r="C608" s="52"/>
    </row>
    <row r="609" spans="2:3" ht="13.5" customHeight="1">
      <c r="B609" s="51"/>
      <c r="C609" s="52"/>
    </row>
    <row r="610" spans="2:3" ht="13.5" customHeight="1">
      <c r="B610" s="51"/>
      <c r="C610" s="52"/>
    </row>
    <row r="611" spans="2:3" ht="13.5" customHeight="1">
      <c r="B611" s="51"/>
      <c r="C611" s="52"/>
    </row>
    <row r="612" spans="2:3" ht="13.5" customHeight="1">
      <c r="B612" s="51"/>
      <c r="C612" s="52"/>
    </row>
    <row r="613" spans="2:3" ht="13.5" customHeight="1">
      <c r="B613" s="51"/>
      <c r="C613" s="52"/>
    </row>
    <row r="614" spans="2:3" ht="13.5" customHeight="1">
      <c r="B614" s="51"/>
      <c r="C614" s="52"/>
    </row>
    <row r="615" spans="2:3" ht="13.5" customHeight="1">
      <c r="B615" s="51"/>
      <c r="C615" s="52"/>
    </row>
    <row r="616" spans="2:3" ht="13.5" customHeight="1">
      <c r="B616" s="51"/>
      <c r="C616" s="52"/>
    </row>
    <row r="617" spans="2:3" ht="13.5" customHeight="1">
      <c r="B617" s="51"/>
      <c r="C617" s="52"/>
    </row>
    <row r="618" spans="2:3" ht="13.5" customHeight="1">
      <c r="B618" s="51"/>
      <c r="C618" s="52"/>
    </row>
    <row r="619" spans="2:3" ht="13.5" customHeight="1">
      <c r="B619" s="51"/>
      <c r="C619" s="52"/>
    </row>
    <row r="620" spans="2:3" ht="13.5" customHeight="1">
      <c r="B620" s="51"/>
      <c r="C620" s="52"/>
    </row>
    <row r="621" spans="2:3" ht="13.5" customHeight="1">
      <c r="B621" s="51"/>
      <c r="C621" s="52"/>
    </row>
    <row r="622" spans="2:3" ht="13.5" customHeight="1">
      <c r="B622" s="51"/>
      <c r="C622" s="52"/>
    </row>
    <row r="623" spans="2:3" ht="13.5" customHeight="1">
      <c r="B623" s="51"/>
      <c r="C623" s="52"/>
    </row>
    <row r="624" spans="2:3" ht="13.5" customHeight="1">
      <c r="B624" s="51"/>
      <c r="C624" s="52"/>
    </row>
    <row r="625" spans="2:3" ht="13.5" customHeight="1">
      <c r="B625" s="51"/>
      <c r="C625" s="52"/>
    </row>
    <row r="626" spans="2:3" ht="13.5" customHeight="1">
      <c r="B626" s="51"/>
      <c r="C626" s="52"/>
    </row>
    <row r="627" spans="2:3" ht="13.5" customHeight="1">
      <c r="B627" s="51"/>
      <c r="C627" s="52"/>
    </row>
    <row r="628" spans="2:3" ht="13.5" customHeight="1">
      <c r="B628" s="51"/>
      <c r="C628" s="52"/>
    </row>
    <row r="629" spans="2:3" ht="13.5" customHeight="1">
      <c r="B629" s="51"/>
      <c r="C629" s="52"/>
    </row>
    <row r="630" spans="2:3" ht="13.5" customHeight="1">
      <c r="B630" s="51"/>
      <c r="C630" s="52"/>
    </row>
    <row r="631" spans="2:3" ht="13.5" customHeight="1">
      <c r="B631" s="51"/>
      <c r="C631" s="52"/>
    </row>
    <row r="632" spans="2:3" ht="13.5" customHeight="1">
      <c r="B632" s="51"/>
      <c r="C632" s="52"/>
    </row>
    <row r="633" spans="2:3" ht="13.5" customHeight="1">
      <c r="B633" s="51"/>
      <c r="C633" s="52"/>
    </row>
    <row r="634" spans="2:3" ht="13.5" customHeight="1">
      <c r="B634" s="51"/>
      <c r="C634" s="52"/>
    </row>
    <row r="635" spans="2:3" ht="13.5" customHeight="1">
      <c r="B635" s="51"/>
      <c r="C635" s="52"/>
    </row>
    <row r="636" spans="2:3" ht="13.5" customHeight="1">
      <c r="B636" s="51"/>
      <c r="C636" s="52"/>
    </row>
    <row r="637" spans="2:3" ht="13.5" customHeight="1">
      <c r="B637" s="51"/>
      <c r="C637" s="52"/>
    </row>
    <row r="638" spans="2:3" ht="13.5" customHeight="1">
      <c r="B638" s="51"/>
      <c r="C638" s="52"/>
    </row>
    <row r="639" spans="2:3" ht="13.5" customHeight="1">
      <c r="B639" s="51"/>
      <c r="C639" s="52"/>
    </row>
    <row r="640" spans="2:3" ht="13.5" customHeight="1">
      <c r="B640" s="51"/>
      <c r="C640" s="52"/>
    </row>
    <row r="641" spans="2:3" ht="13.5" customHeight="1">
      <c r="B641" s="51"/>
      <c r="C641" s="52"/>
    </row>
    <row r="642" spans="2:3" ht="13.5" customHeight="1">
      <c r="B642" s="51"/>
      <c r="C642" s="52"/>
    </row>
    <row r="643" spans="2:3" ht="13.5" customHeight="1">
      <c r="B643" s="51"/>
      <c r="C643" s="52"/>
    </row>
    <row r="644" spans="2:3" ht="13.5" customHeight="1">
      <c r="B644" s="51"/>
      <c r="C644" s="52"/>
    </row>
    <row r="645" spans="2:3" ht="13.5" customHeight="1">
      <c r="B645" s="51"/>
      <c r="C645" s="52"/>
    </row>
    <row r="646" spans="2:3" ht="13.5" customHeight="1">
      <c r="B646" s="51"/>
      <c r="C646" s="52"/>
    </row>
    <row r="647" spans="2:3" ht="13.5" customHeight="1">
      <c r="B647" s="51"/>
      <c r="C647" s="52"/>
    </row>
    <row r="648" spans="2:3" ht="13.5" customHeight="1">
      <c r="B648" s="51"/>
      <c r="C648" s="52"/>
    </row>
    <row r="649" spans="2:3" ht="13.5" customHeight="1">
      <c r="B649" s="51"/>
      <c r="C649" s="52"/>
    </row>
    <row r="650" spans="2:3" ht="13.5" customHeight="1">
      <c r="B650" s="51"/>
      <c r="C650" s="52"/>
    </row>
    <row r="651" spans="2:3" ht="13.5" customHeight="1">
      <c r="B651" s="51"/>
      <c r="C651" s="52"/>
    </row>
    <row r="652" spans="2:3" ht="13.5" customHeight="1">
      <c r="B652" s="51"/>
      <c r="C652" s="52"/>
    </row>
    <row r="653" spans="2:3" ht="13.5" customHeight="1">
      <c r="B653" s="51"/>
      <c r="C653" s="52"/>
    </row>
    <row r="654" spans="2:3" ht="13.5" customHeight="1">
      <c r="B654" s="51"/>
      <c r="C654" s="52"/>
    </row>
    <row r="655" spans="2:3" ht="13.5" customHeight="1">
      <c r="B655" s="51"/>
      <c r="C655" s="52"/>
    </row>
    <row r="656" spans="2:3" ht="13.5" customHeight="1">
      <c r="B656" s="51"/>
      <c r="C656" s="52"/>
    </row>
    <row r="657" spans="2:3" ht="13.5" customHeight="1">
      <c r="B657" s="51"/>
      <c r="C657" s="52"/>
    </row>
    <row r="658" spans="2:3" ht="13.5" customHeight="1">
      <c r="B658" s="51"/>
      <c r="C658" s="52"/>
    </row>
    <row r="659" spans="2:3" ht="13.5" customHeight="1">
      <c r="B659" s="51"/>
      <c r="C659" s="52"/>
    </row>
    <row r="660" spans="2:3" ht="13.5" customHeight="1">
      <c r="B660" s="51"/>
      <c r="C660" s="52"/>
    </row>
    <row r="661" spans="2:3" ht="13.5" customHeight="1">
      <c r="B661" s="51"/>
      <c r="C661" s="52"/>
    </row>
    <row r="662" spans="2:3" ht="13.5" customHeight="1">
      <c r="B662" s="51"/>
      <c r="C662" s="52"/>
    </row>
    <row r="663" spans="2:3" ht="13.5" customHeight="1">
      <c r="B663" s="51"/>
      <c r="C663" s="52"/>
    </row>
    <row r="664" spans="2:3" ht="13.5" customHeight="1">
      <c r="B664" s="51"/>
      <c r="C664" s="52"/>
    </row>
    <row r="665" spans="2:3" ht="13.5" customHeight="1">
      <c r="B665" s="51"/>
      <c r="C665" s="52"/>
    </row>
    <row r="666" spans="2:3" ht="13.5" customHeight="1">
      <c r="B666" s="51"/>
      <c r="C666" s="52"/>
    </row>
    <row r="667" spans="2:3" ht="13.5" customHeight="1">
      <c r="B667" s="51"/>
      <c r="C667" s="52"/>
    </row>
    <row r="668" spans="2:3" ht="13.5" customHeight="1">
      <c r="B668" s="51"/>
      <c r="C668" s="52"/>
    </row>
    <row r="669" spans="2:3" ht="13.5" customHeight="1">
      <c r="B669" s="51"/>
      <c r="C669" s="52"/>
    </row>
    <row r="670" spans="2:3" ht="13.5" customHeight="1">
      <c r="B670" s="51"/>
      <c r="C670" s="52"/>
    </row>
    <row r="671" spans="2:3" ht="13.5" customHeight="1">
      <c r="B671" s="51"/>
      <c r="C671" s="52"/>
    </row>
    <row r="672" spans="2:3" ht="13.5" customHeight="1">
      <c r="B672" s="51"/>
      <c r="C672" s="52"/>
    </row>
    <row r="673" spans="2:3" ht="13.5" customHeight="1">
      <c r="B673" s="51"/>
      <c r="C673" s="52"/>
    </row>
    <row r="674" spans="2:3" ht="13.5" customHeight="1">
      <c r="B674" s="51"/>
      <c r="C674" s="52"/>
    </row>
    <row r="675" spans="2:3" ht="13.5" customHeight="1">
      <c r="B675" s="51"/>
      <c r="C675" s="52"/>
    </row>
    <row r="676" spans="2:3" ht="13.5" customHeight="1">
      <c r="B676" s="51"/>
      <c r="C676" s="52"/>
    </row>
    <row r="677" spans="2:3" ht="13.5" customHeight="1">
      <c r="B677" s="51"/>
      <c r="C677" s="52"/>
    </row>
    <row r="678" spans="2:3" ht="13.5" customHeight="1">
      <c r="B678" s="51"/>
      <c r="C678" s="52"/>
    </row>
    <row r="679" spans="2:3" ht="13.5" customHeight="1">
      <c r="B679" s="51"/>
      <c r="C679" s="52"/>
    </row>
    <row r="680" spans="2:3" ht="13.5" customHeight="1">
      <c r="B680" s="51"/>
      <c r="C680" s="52"/>
    </row>
    <row r="681" spans="2:3" ht="13.5" customHeight="1">
      <c r="B681" s="51"/>
      <c r="C681" s="52"/>
    </row>
    <row r="682" spans="2:3" ht="13.5" customHeight="1">
      <c r="B682" s="51"/>
      <c r="C682" s="52"/>
    </row>
    <row r="683" spans="2:3" ht="13.5" customHeight="1">
      <c r="B683" s="51"/>
      <c r="C683" s="52"/>
    </row>
    <row r="684" spans="2:3" ht="13.5" customHeight="1">
      <c r="B684" s="51"/>
      <c r="C684" s="52"/>
    </row>
    <row r="685" spans="2:3" ht="13.5" customHeight="1">
      <c r="B685" s="51"/>
      <c r="C685" s="52"/>
    </row>
    <row r="686" spans="2:3" ht="13.5" customHeight="1">
      <c r="B686" s="51"/>
      <c r="C686" s="52"/>
    </row>
    <row r="687" spans="2:3" ht="13.5" customHeight="1">
      <c r="B687" s="51"/>
      <c r="C687" s="52"/>
    </row>
    <row r="688" spans="2:3" ht="13.5" customHeight="1">
      <c r="B688" s="51"/>
      <c r="C688" s="52"/>
    </row>
    <row r="689" spans="2:3" ht="13.5" customHeight="1">
      <c r="B689" s="51"/>
      <c r="C689" s="52"/>
    </row>
    <row r="690" spans="2:3" ht="13.5" customHeight="1">
      <c r="B690" s="51"/>
      <c r="C690" s="52"/>
    </row>
    <row r="691" spans="2:3" ht="13.5" customHeight="1">
      <c r="B691" s="51"/>
      <c r="C691" s="52"/>
    </row>
    <row r="692" spans="2:3" ht="13.5" customHeight="1">
      <c r="B692" s="51"/>
      <c r="C692" s="52"/>
    </row>
    <row r="693" spans="2:3" ht="13.5" customHeight="1">
      <c r="B693" s="51"/>
      <c r="C693" s="52"/>
    </row>
    <row r="694" spans="2:3" ht="13.5" customHeight="1">
      <c r="B694" s="51"/>
      <c r="C694" s="52"/>
    </row>
    <row r="695" spans="2:3" ht="13.5" customHeight="1">
      <c r="B695" s="51"/>
      <c r="C695" s="52"/>
    </row>
    <row r="696" spans="2:3" ht="13.5" customHeight="1">
      <c r="B696" s="51"/>
      <c r="C696" s="52"/>
    </row>
    <row r="697" spans="2:3" ht="13.5" customHeight="1">
      <c r="B697" s="51"/>
      <c r="C697" s="52"/>
    </row>
    <row r="698" spans="2:3" ht="13.5" customHeight="1">
      <c r="B698" s="51"/>
      <c r="C698" s="52"/>
    </row>
    <row r="699" spans="2:3" ht="13.5" customHeight="1">
      <c r="B699" s="51"/>
      <c r="C699" s="52"/>
    </row>
    <row r="700" spans="2:3" ht="13.5" customHeight="1">
      <c r="B700" s="51"/>
      <c r="C700" s="52"/>
    </row>
    <row r="701" spans="2:3" ht="13.5" customHeight="1">
      <c r="B701" s="51"/>
      <c r="C701" s="52"/>
    </row>
    <row r="702" spans="2:3" ht="13.5" customHeight="1">
      <c r="B702" s="51"/>
      <c r="C702" s="52"/>
    </row>
    <row r="703" spans="2:3" ht="13.5" customHeight="1">
      <c r="B703" s="51"/>
      <c r="C703" s="52"/>
    </row>
    <row r="704" spans="2:3" ht="13.5" customHeight="1">
      <c r="B704" s="51"/>
      <c r="C704" s="52"/>
    </row>
    <row r="705" spans="2:3" ht="13.5" customHeight="1">
      <c r="B705" s="51"/>
      <c r="C705" s="52"/>
    </row>
    <row r="706" spans="2:3" ht="13.5" customHeight="1">
      <c r="B706" s="51"/>
      <c r="C706" s="52"/>
    </row>
    <row r="707" spans="2:3" ht="13.5" customHeight="1">
      <c r="B707" s="51"/>
      <c r="C707" s="52"/>
    </row>
    <row r="708" spans="2:3" ht="13.5" customHeight="1">
      <c r="B708" s="51"/>
      <c r="C708" s="52"/>
    </row>
    <row r="709" spans="2:3" ht="13.5" customHeight="1">
      <c r="B709" s="51"/>
      <c r="C709" s="52"/>
    </row>
    <row r="710" spans="2:3" ht="13.5" customHeight="1">
      <c r="B710" s="51"/>
      <c r="C710" s="52"/>
    </row>
    <row r="711" spans="2:3" ht="13.5" customHeight="1">
      <c r="B711" s="51"/>
      <c r="C711" s="52"/>
    </row>
    <row r="712" spans="2:3" ht="13.5" customHeight="1">
      <c r="B712" s="51"/>
      <c r="C712" s="52"/>
    </row>
    <row r="713" spans="2:3" ht="13.5" customHeight="1">
      <c r="B713" s="51"/>
      <c r="C713" s="52"/>
    </row>
    <row r="714" spans="2:3" ht="13.5" customHeight="1">
      <c r="B714" s="51"/>
      <c r="C714" s="52"/>
    </row>
    <row r="715" spans="2:3" ht="13.5" customHeight="1">
      <c r="B715" s="51"/>
      <c r="C715" s="52"/>
    </row>
    <row r="716" spans="2:3" ht="13.5" customHeight="1">
      <c r="B716" s="51"/>
      <c r="C716" s="52"/>
    </row>
    <row r="717" spans="2:3" ht="13.5" customHeight="1">
      <c r="B717" s="51"/>
      <c r="C717" s="52"/>
    </row>
    <row r="718" spans="2:3" ht="13.5" customHeight="1">
      <c r="B718" s="51"/>
      <c r="C718" s="52"/>
    </row>
    <row r="719" spans="2:3" ht="13.5" customHeight="1">
      <c r="B719" s="51"/>
      <c r="C719" s="52"/>
    </row>
    <row r="720" spans="2:3" ht="13.5" customHeight="1">
      <c r="B720" s="51"/>
      <c r="C720" s="52"/>
    </row>
    <row r="721" spans="2:3" ht="13.5" customHeight="1">
      <c r="B721" s="51"/>
      <c r="C721" s="52"/>
    </row>
    <row r="722" spans="2:3" ht="13.5" customHeight="1">
      <c r="B722" s="51"/>
      <c r="C722" s="52"/>
    </row>
    <row r="723" spans="2:3" ht="13.5" customHeight="1">
      <c r="B723" s="51"/>
      <c r="C723" s="52"/>
    </row>
    <row r="724" spans="2:3" ht="13.5" customHeight="1">
      <c r="B724" s="51"/>
      <c r="C724" s="52"/>
    </row>
    <row r="725" spans="2:3" ht="13.5" customHeight="1">
      <c r="B725" s="51"/>
      <c r="C725" s="52"/>
    </row>
    <row r="726" spans="2:3" ht="13.5" customHeight="1">
      <c r="B726" s="51"/>
      <c r="C726" s="52"/>
    </row>
    <row r="727" spans="2:3" ht="13.5" customHeight="1">
      <c r="B727" s="51"/>
      <c r="C727" s="52"/>
    </row>
    <row r="728" spans="2:3" ht="13.5" customHeight="1">
      <c r="B728" s="51"/>
      <c r="C728" s="52"/>
    </row>
    <row r="729" spans="2:3" ht="13.5" customHeight="1">
      <c r="B729" s="51"/>
      <c r="C729" s="52"/>
    </row>
    <row r="730" spans="2:3" ht="13.5" customHeight="1">
      <c r="B730" s="51"/>
      <c r="C730" s="52"/>
    </row>
    <row r="731" spans="2:3" ht="13.5" customHeight="1">
      <c r="B731" s="51"/>
      <c r="C731" s="52"/>
    </row>
    <row r="732" spans="2:3" ht="13.5" customHeight="1">
      <c r="B732" s="51"/>
      <c r="C732" s="52"/>
    </row>
    <row r="733" spans="2:3" ht="13.5" customHeight="1">
      <c r="B733" s="51"/>
      <c r="C733" s="52"/>
    </row>
    <row r="734" spans="2:3" ht="13.5" customHeight="1">
      <c r="B734" s="51"/>
      <c r="C734" s="52"/>
    </row>
    <row r="735" spans="2:3" ht="13.5" customHeight="1">
      <c r="B735" s="51"/>
      <c r="C735" s="52"/>
    </row>
    <row r="736" spans="2:3" ht="13.5" customHeight="1">
      <c r="B736" s="51"/>
      <c r="C736" s="52"/>
    </row>
    <row r="737" spans="2:3" ht="13.5" customHeight="1">
      <c r="B737" s="51"/>
      <c r="C737" s="52"/>
    </row>
    <row r="738" spans="2:3" ht="13.5" customHeight="1">
      <c r="B738" s="51"/>
      <c r="C738" s="52"/>
    </row>
    <row r="739" spans="2:3" ht="13.5" customHeight="1">
      <c r="B739" s="51"/>
      <c r="C739" s="52"/>
    </row>
    <row r="740" spans="2:3" ht="13.5" customHeight="1">
      <c r="B740" s="51"/>
      <c r="C740" s="52"/>
    </row>
    <row r="741" spans="2:3" ht="13.5" customHeight="1">
      <c r="B741" s="51"/>
      <c r="C741" s="52"/>
    </row>
    <row r="742" spans="2:3" ht="13.5" customHeight="1">
      <c r="B742" s="51"/>
      <c r="C742" s="52"/>
    </row>
    <row r="743" spans="2:3" ht="13.5" customHeight="1">
      <c r="B743" s="51"/>
      <c r="C743" s="52"/>
    </row>
    <row r="744" spans="2:3" ht="13.5" customHeight="1">
      <c r="B744" s="51"/>
      <c r="C744" s="52"/>
    </row>
    <row r="745" spans="2:3" ht="13.5" customHeight="1">
      <c r="B745" s="51"/>
      <c r="C745" s="52"/>
    </row>
    <row r="746" spans="2:3" ht="13.5" customHeight="1">
      <c r="B746" s="51"/>
      <c r="C746" s="52"/>
    </row>
    <row r="747" spans="2:3" ht="13.5" customHeight="1">
      <c r="B747" s="51"/>
      <c r="C747" s="52"/>
    </row>
    <row r="748" spans="2:3" ht="13.5" customHeight="1">
      <c r="B748" s="51"/>
      <c r="C748" s="52"/>
    </row>
    <row r="749" spans="2:3" ht="13.5" customHeight="1">
      <c r="B749" s="51"/>
      <c r="C749" s="52"/>
    </row>
    <row r="750" spans="2:3" ht="13.5" customHeight="1">
      <c r="B750" s="51"/>
      <c r="C750" s="52"/>
    </row>
    <row r="751" spans="2:3" ht="13.5" customHeight="1">
      <c r="B751" s="51"/>
      <c r="C751" s="52"/>
    </row>
    <row r="752" spans="2:3" ht="13.5" customHeight="1">
      <c r="B752" s="51"/>
      <c r="C752" s="52"/>
    </row>
    <row r="753" spans="2:3" ht="13.5" customHeight="1">
      <c r="B753" s="51"/>
      <c r="C753" s="52"/>
    </row>
    <row r="754" spans="2:3" ht="13.5" customHeight="1">
      <c r="B754" s="51"/>
      <c r="C754" s="52"/>
    </row>
    <row r="755" spans="2:3" ht="13.5" customHeight="1">
      <c r="B755" s="51"/>
      <c r="C755" s="52"/>
    </row>
    <row r="756" spans="2:3" ht="13.5" customHeight="1">
      <c r="B756" s="51"/>
      <c r="C756" s="52"/>
    </row>
    <row r="757" spans="2:3" ht="13.5" customHeight="1">
      <c r="B757" s="51"/>
      <c r="C757" s="52"/>
    </row>
    <row r="758" spans="2:3" ht="13.5" customHeight="1">
      <c r="B758" s="51"/>
      <c r="C758" s="52"/>
    </row>
    <row r="759" spans="2:3" ht="13.5" customHeight="1">
      <c r="B759" s="51"/>
      <c r="C759" s="52"/>
    </row>
    <row r="760" spans="2:3" ht="13.5" customHeight="1">
      <c r="B760" s="51"/>
      <c r="C760" s="52"/>
    </row>
    <row r="761" spans="2:3" ht="13.5" customHeight="1">
      <c r="B761" s="51"/>
      <c r="C761" s="52"/>
    </row>
    <row r="762" spans="2:3" ht="13.5" customHeight="1">
      <c r="B762" s="51"/>
      <c r="C762" s="52"/>
    </row>
    <row r="763" spans="2:3" ht="13.5" customHeight="1">
      <c r="B763" s="51"/>
      <c r="C763" s="52"/>
    </row>
    <row r="764" spans="2:3" ht="13.5" customHeight="1">
      <c r="B764" s="51"/>
      <c r="C764" s="52"/>
    </row>
    <row r="765" spans="2:3" ht="13.5" customHeight="1">
      <c r="B765" s="51"/>
      <c r="C765" s="52"/>
    </row>
    <row r="766" spans="2:3" ht="13.5" customHeight="1">
      <c r="B766" s="51"/>
      <c r="C766" s="52"/>
    </row>
    <row r="767" spans="2:3" ht="13.5" customHeight="1">
      <c r="B767" s="51"/>
      <c r="C767" s="52"/>
    </row>
    <row r="768" spans="2:3" ht="13.5" customHeight="1">
      <c r="B768" s="51"/>
      <c r="C768" s="52"/>
    </row>
    <row r="769" spans="2:3" ht="13.5" customHeight="1">
      <c r="B769" s="51"/>
      <c r="C769" s="52"/>
    </row>
    <row r="770" spans="2:3" ht="13.5" customHeight="1">
      <c r="B770" s="51"/>
      <c r="C770" s="52"/>
    </row>
    <row r="771" spans="2:3" ht="13.5" customHeight="1">
      <c r="B771" s="51"/>
      <c r="C771" s="52"/>
    </row>
    <row r="772" spans="2:3" ht="13.5" customHeight="1">
      <c r="B772" s="51"/>
      <c r="C772" s="52"/>
    </row>
    <row r="773" spans="2:3" ht="13.5" customHeight="1">
      <c r="B773" s="51"/>
      <c r="C773" s="52"/>
    </row>
    <row r="774" spans="2:3" ht="13.5" customHeight="1">
      <c r="B774" s="51"/>
      <c r="C774" s="52"/>
    </row>
    <row r="775" spans="2:3" ht="13.5" customHeight="1">
      <c r="B775" s="51"/>
      <c r="C775" s="52"/>
    </row>
    <row r="776" spans="2:3" ht="13.5" customHeight="1">
      <c r="B776" s="51"/>
      <c r="C776" s="52"/>
    </row>
    <row r="777" spans="2:3" ht="13.5" customHeight="1">
      <c r="B777" s="51"/>
      <c r="C777" s="52"/>
    </row>
    <row r="778" spans="2:3" ht="13.5" customHeight="1">
      <c r="B778" s="51"/>
      <c r="C778" s="52"/>
    </row>
    <row r="779" spans="2:3" ht="13.5" customHeight="1">
      <c r="B779" s="51"/>
      <c r="C779" s="52"/>
    </row>
    <row r="780" spans="2:3" ht="13.5" customHeight="1">
      <c r="B780" s="51"/>
      <c r="C780" s="52"/>
    </row>
    <row r="781" spans="2:3" ht="13.5" customHeight="1">
      <c r="B781" s="51"/>
      <c r="C781" s="52"/>
    </row>
    <row r="782" spans="2:3" ht="13.5" customHeight="1">
      <c r="B782" s="51"/>
      <c r="C782" s="52"/>
    </row>
    <row r="783" spans="2:3" ht="13.5" customHeight="1">
      <c r="B783" s="51"/>
      <c r="C783" s="52"/>
    </row>
    <row r="784" spans="2:3" ht="13.5" customHeight="1">
      <c r="B784" s="51"/>
      <c r="C784" s="52"/>
    </row>
    <row r="785" spans="2:3" ht="13.5" customHeight="1">
      <c r="B785" s="51"/>
      <c r="C785" s="52"/>
    </row>
    <row r="786" spans="2:3" ht="13.5" customHeight="1">
      <c r="B786" s="51"/>
      <c r="C786" s="52"/>
    </row>
    <row r="787" spans="2:3" ht="13.5" customHeight="1">
      <c r="B787" s="51"/>
      <c r="C787" s="52"/>
    </row>
    <row r="788" spans="2:3" ht="13.5" customHeight="1">
      <c r="B788" s="51"/>
      <c r="C788" s="52"/>
    </row>
    <row r="789" spans="2:3" ht="13.5" customHeight="1">
      <c r="B789" s="51"/>
      <c r="C789" s="52"/>
    </row>
    <row r="790" spans="2:3" ht="13.5" customHeight="1">
      <c r="B790" s="51"/>
      <c r="C790" s="52"/>
    </row>
    <row r="791" spans="2:3" ht="13.5" customHeight="1">
      <c r="B791" s="51"/>
      <c r="C791" s="52"/>
    </row>
    <row r="792" spans="2:3" ht="13.5" customHeight="1">
      <c r="B792" s="51"/>
      <c r="C792" s="52"/>
    </row>
    <row r="793" spans="2:3" ht="13.5" customHeight="1">
      <c r="B793" s="51"/>
      <c r="C793" s="52"/>
    </row>
    <row r="794" spans="2:3" ht="13.5" customHeight="1">
      <c r="B794" s="51"/>
      <c r="C794" s="52"/>
    </row>
    <row r="795" spans="2:3" ht="13.5" customHeight="1">
      <c r="B795" s="51"/>
      <c r="C795" s="52"/>
    </row>
    <row r="796" spans="2:3" ht="13.5" customHeight="1">
      <c r="B796" s="51"/>
      <c r="C796" s="52"/>
    </row>
    <row r="797" spans="2:3" ht="13.5" customHeight="1">
      <c r="B797" s="51"/>
      <c r="C797" s="52"/>
    </row>
    <row r="798" spans="2:3" ht="13.5" customHeight="1">
      <c r="B798" s="51"/>
      <c r="C798" s="52"/>
    </row>
    <row r="799" spans="2:3" ht="13.5" customHeight="1">
      <c r="B799" s="51"/>
      <c r="C799" s="52"/>
    </row>
    <row r="800" spans="2:3" ht="13.5" customHeight="1">
      <c r="B800" s="51"/>
      <c r="C800" s="52"/>
    </row>
    <row r="801" spans="2:3" ht="13.5" customHeight="1">
      <c r="B801" s="51"/>
      <c r="C801" s="52"/>
    </row>
    <row r="802" spans="2:3" ht="13.5" customHeight="1">
      <c r="B802" s="51"/>
      <c r="C802" s="52"/>
    </row>
    <row r="803" spans="2:3" ht="13.5" customHeight="1">
      <c r="B803" s="51"/>
      <c r="C803" s="52"/>
    </row>
    <row r="804" spans="2:3" ht="13.5" customHeight="1">
      <c r="B804" s="51"/>
      <c r="C804" s="52"/>
    </row>
    <row r="805" spans="2:3" ht="13.5" customHeight="1">
      <c r="B805" s="51"/>
      <c r="C805" s="52"/>
    </row>
    <row r="806" spans="2:3" ht="13.5" customHeight="1">
      <c r="B806" s="51"/>
      <c r="C806" s="52"/>
    </row>
    <row r="807" spans="2:3" ht="13.5" customHeight="1">
      <c r="B807" s="51"/>
      <c r="C807" s="52"/>
    </row>
    <row r="808" spans="2:3" ht="13.5" customHeight="1">
      <c r="B808" s="51"/>
      <c r="C808" s="52"/>
    </row>
    <row r="809" spans="2:3" ht="13.5" customHeight="1">
      <c r="B809" s="51"/>
      <c r="C809" s="52"/>
    </row>
    <row r="810" spans="2:3" ht="13.5" customHeight="1">
      <c r="B810" s="51"/>
      <c r="C810" s="52"/>
    </row>
    <row r="811" spans="2:3" ht="13.5" customHeight="1">
      <c r="B811" s="51"/>
      <c r="C811" s="52"/>
    </row>
    <row r="812" spans="2:3" ht="13.5" customHeight="1">
      <c r="B812" s="51"/>
      <c r="C812" s="52"/>
    </row>
    <row r="813" spans="2:3" ht="13.5" customHeight="1">
      <c r="B813" s="51"/>
      <c r="C813" s="52"/>
    </row>
    <row r="814" spans="2:3" ht="13.5" customHeight="1">
      <c r="B814" s="51"/>
      <c r="C814" s="52"/>
    </row>
    <row r="815" spans="2:3" ht="13.5" customHeight="1">
      <c r="B815" s="51"/>
      <c r="C815" s="52"/>
    </row>
    <row r="816" spans="2:3" ht="13.5" customHeight="1">
      <c r="B816" s="51"/>
      <c r="C816" s="52"/>
    </row>
    <row r="817" spans="2:3" ht="13.5" customHeight="1">
      <c r="B817" s="51"/>
      <c r="C817" s="52"/>
    </row>
    <row r="818" spans="2:3" ht="13.5" customHeight="1">
      <c r="B818" s="51"/>
      <c r="C818" s="52"/>
    </row>
    <row r="819" spans="2:3" ht="13.5" customHeight="1">
      <c r="B819" s="51"/>
      <c r="C819" s="52"/>
    </row>
    <row r="820" spans="2:3" ht="13.5" customHeight="1">
      <c r="B820" s="51"/>
      <c r="C820" s="52"/>
    </row>
    <row r="821" spans="2:3" ht="13.5" customHeight="1">
      <c r="B821" s="51"/>
      <c r="C821" s="52"/>
    </row>
    <row r="822" spans="2:3" ht="13.5" customHeight="1">
      <c r="B822" s="51"/>
      <c r="C822" s="52"/>
    </row>
    <row r="823" spans="2:3" ht="13.5" customHeight="1">
      <c r="B823" s="51"/>
      <c r="C823" s="52"/>
    </row>
    <row r="824" spans="2:3" ht="13.5" customHeight="1">
      <c r="B824" s="51"/>
      <c r="C824" s="52"/>
    </row>
    <row r="825" spans="2:3" ht="13.5" customHeight="1">
      <c r="B825" s="51"/>
      <c r="C825" s="52"/>
    </row>
    <row r="826" spans="2:3" ht="13.5" customHeight="1">
      <c r="B826" s="51"/>
      <c r="C826" s="52"/>
    </row>
    <row r="827" spans="2:3" ht="13.5" customHeight="1">
      <c r="B827" s="51"/>
      <c r="C827" s="52"/>
    </row>
    <row r="828" spans="2:3" ht="13.5" customHeight="1">
      <c r="B828" s="51"/>
      <c r="C828" s="52"/>
    </row>
    <row r="829" spans="2:3" ht="13.5" customHeight="1">
      <c r="B829" s="51"/>
      <c r="C829" s="52"/>
    </row>
    <row r="830" spans="2:3" ht="13.5" customHeight="1">
      <c r="B830" s="51"/>
      <c r="C830" s="52"/>
    </row>
    <row r="831" spans="2:3" ht="13.5" customHeight="1">
      <c r="B831" s="51"/>
      <c r="C831" s="52"/>
    </row>
    <row r="832" spans="2:3" ht="13.5" customHeight="1">
      <c r="B832" s="51"/>
      <c r="C832" s="52"/>
    </row>
    <row r="833" spans="2:3" ht="13.5" customHeight="1">
      <c r="B833" s="51"/>
      <c r="C833" s="52"/>
    </row>
    <row r="834" spans="2:3" ht="13.5" customHeight="1">
      <c r="B834" s="51"/>
      <c r="C834" s="52"/>
    </row>
    <row r="835" spans="2:3" ht="13.5" customHeight="1">
      <c r="B835" s="51"/>
      <c r="C835" s="52"/>
    </row>
    <row r="836" spans="2:3" ht="13.5" customHeight="1">
      <c r="B836" s="51"/>
      <c r="C836" s="52"/>
    </row>
    <row r="837" spans="2:3" ht="13.5" customHeight="1">
      <c r="B837" s="51"/>
      <c r="C837" s="52"/>
    </row>
    <row r="838" spans="2:3" ht="13.5" customHeight="1">
      <c r="B838" s="51"/>
      <c r="C838" s="52"/>
    </row>
    <row r="839" spans="2:3" ht="13.5" customHeight="1">
      <c r="B839" s="51"/>
      <c r="C839" s="52"/>
    </row>
    <row r="840" spans="2:3" ht="13.5" customHeight="1">
      <c r="B840" s="51"/>
      <c r="C840" s="52"/>
    </row>
    <row r="841" spans="2:3" ht="13.5" customHeight="1">
      <c r="B841" s="51"/>
      <c r="C841" s="52"/>
    </row>
    <row r="842" spans="2:3" ht="13.5" customHeight="1">
      <c r="B842" s="51"/>
      <c r="C842" s="52"/>
    </row>
    <row r="843" spans="2:3" ht="13.5" customHeight="1">
      <c r="B843" s="51"/>
      <c r="C843" s="52"/>
    </row>
    <row r="844" spans="2:3" ht="13.5" customHeight="1">
      <c r="B844" s="51"/>
      <c r="C844" s="52"/>
    </row>
    <row r="845" spans="2:3" ht="13.5" customHeight="1">
      <c r="B845" s="51"/>
      <c r="C845" s="52"/>
    </row>
    <row r="846" spans="2:3" ht="13.5" customHeight="1">
      <c r="B846" s="51"/>
      <c r="C846" s="52"/>
    </row>
    <row r="847" spans="2:3" ht="13.5" customHeight="1">
      <c r="B847" s="51"/>
      <c r="C847" s="52"/>
    </row>
    <row r="848" spans="2:3" ht="13.5" customHeight="1">
      <c r="B848" s="51"/>
      <c r="C848" s="52"/>
    </row>
    <row r="849" spans="2:3" ht="13.5" customHeight="1">
      <c r="B849" s="51"/>
      <c r="C849" s="52"/>
    </row>
    <row r="850" spans="2:3" ht="13.5" customHeight="1">
      <c r="B850" s="51"/>
      <c r="C850" s="52"/>
    </row>
    <row r="851" spans="2:3" ht="13.5" customHeight="1">
      <c r="B851" s="51"/>
      <c r="C851" s="52"/>
    </row>
    <row r="852" spans="2:3" ht="13.5" customHeight="1">
      <c r="B852" s="51"/>
      <c r="C852" s="52"/>
    </row>
    <row r="853" spans="2:3" ht="13.5" customHeight="1">
      <c r="B853" s="51"/>
      <c r="C853" s="52"/>
    </row>
    <row r="854" spans="2:3" ht="13.5" customHeight="1">
      <c r="B854" s="51"/>
      <c r="C854" s="52"/>
    </row>
    <row r="855" spans="2:3" ht="13.5" customHeight="1">
      <c r="B855" s="51"/>
      <c r="C855" s="52"/>
    </row>
    <row r="856" spans="2:3" ht="13.5" customHeight="1">
      <c r="B856" s="51"/>
      <c r="C856" s="52"/>
    </row>
    <row r="857" spans="2:3" ht="13.5" customHeight="1">
      <c r="B857" s="51"/>
      <c r="C857" s="52"/>
    </row>
    <row r="858" spans="2:3" ht="13.5" customHeight="1">
      <c r="B858" s="51"/>
      <c r="C858" s="52"/>
    </row>
    <row r="859" spans="2:3" ht="13.5" customHeight="1">
      <c r="B859" s="51"/>
      <c r="C859" s="52"/>
    </row>
    <row r="860" spans="2:3" ht="13.5" customHeight="1">
      <c r="B860" s="51"/>
      <c r="C860" s="52"/>
    </row>
    <row r="861" spans="2:3" ht="13.5" customHeight="1">
      <c r="B861" s="51"/>
      <c r="C861" s="52"/>
    </row>
    <row r="862" spans="2:3" ht="13.5" customHeight="1">
      <c r="B862" s="51"/>
      <c r="C862" s="52"/>
    </row>
    <row r="863" spans="2:3" ht="13.5" customHeight="1">
      <c r="B863" s="51"/>
      <c r="C863" s="52"/>
    </row>
    <row r="864" spans="2:3" ht="13.5" customHeight="1">
      <c r="B864" s="51"/>
      <c r="C864" s="52"/>
    </row>
    <row r="865" spans="2:3" ht="13.5" customHeight="1">
      <c r="B865" s="51"/>
      <c r="C865" s="52"/>
    </row>
    <row r="866" spans="2:3" ht="13.5" customHeight="1">
      <c r="B866" s="51"/>
      <c r="C866" s="52"/>
    </row>
    <row r="867" spans="2:3" ht="13.5" customHeight="1">
      <c r="B867" s="51"/>
      <c r="C867" s="52"/>
    </row>
    <row r="868" spans="2:3" ht="13.5" customHeight="1">
      <c r="B868" s="51"/>
      <c r="C868" s="52"/>
    </row>
    <row r="869" spans="2:3" ht="13.5" customHeight="1">
      <c r="B869" s="51"/>
      <c r="C869" s="52"/>
    </row>
    <row r="870" spans="2:3" ht="13.5" customHeight="1">
      <c r="B870" s="51"/>
      <c r="C870" s="52"/>
    </row>
    <row r="871" spans="2:3" ht="13.5" customHeight="1">
      <c r="B871" s="51"/>
      <c r="C871" s="52"/>
    </row>
    <row r="872" spans="2:3" ht="13.5" customHeight="1">
      <c r="B872" s="51"/>
      <c r="C872" s="52"/>
    </row>
    <row r="873" spans="2:3" ht="13.5" customHeight="1">
      <c r="B873" s="51"/>
      <c r="C873" s="52"/>
    </row>
    <row r="874" spans="2:3" ht="13.5" customHeight="1">
      <c r="B874" s="51"/>
      <c r="C874" s="52"/>
    </row>
    <row r="875" spans="2:3" ht="13.5" customHeight="1">
      <c r="B875" s="51"/>
      <c r="C875" s="52"/>
    </row>
    <row r="876" spans="2:3" ht="13.5" customHeight="1">
      <c r="B876" s="51"/>
      <c r="C876" s="52"/>
    </row>
    <row r="877" spans="2:3" ht="13.5" customHeight="1">
      <c r="B877" s="51"/>
      <c r="C877" s="52"/>
    </row>
    <row r="878" spans="2:3" ht="13.5" customHeight="1">
      <c r="B878" s="51"/>
      <c r="C878" s="52"/>
    </row>
    <row r="879" spans="2:3" ht="13.5" customHeight="1">
      <c r="B879" s="51"/>
      <c r="C879" s="52"/>
    </row>
    <row r="880" spans="2:3" ht="13.5" customHeight="1">
      <c r="B880" s="51"/>
      <c r="C880" s="52"/>
    </row>
    <row r="881" spans="2:3" ht="13.5" customHeight="1">
      <c r="B881" s="51"/>
      <c r="C881" s="52"/>
    </row>
    <row r="882" spans="2:3" ht="13.5" customHeight="1">
      <c r="B882" s="51"/>
      <c r="C882" s="52"/>
    </row>
    <row r="883" spans="2:3" ht="13.5" customHeight="1">
      <c r="B883" s="51"/>
      <c r="C883" s="52"/>
    </row>
    <row r="884" spans="2:3" ht="13.5" customHeight="1">
      <c r="B884" s="51"/>
      <c r="C884" s="52"/>
    </row>
    <row r="885" spans="2:3" ht="13.5" customHeight="1">
      <c r="B885" s="51"/>
      <c r="C885" s="52"/>
    </row>
    <row r="886" spans="2:3" ht="13.5" customHeight="1">
      <c r="B886" s="51"/>
      <c r="C886" s="52"/>
    </row>
    <row r="887" spans="2:3" ht="13.5" customHeight="1">
      <c r="B887" s="51"/>
      <c r="C887" s="52"/>
    </row>
    <row r="888" spans="2:3" ht="13.5" customHeight="1">
      <c r="B888" s="51"/>
      <c r="C888" s="52"/>
    </row>
    <row r="889" spans="2:3" ht="13.5" customHeight="1">
      <c r="B889" s="51"/>
      <c r="C889" s="52"/>
    </row>
    <row r="890" spans="2:3" ht="13.5" customHeight="1">
      <c r="B890" s="51"/>
      <c r="C890" s="52"/>
    </row>
    <row r="891" spans="2:3" ht="13.5" customHeight="1">
      <c r="B891" s="51"/>
      <c r="C891" s="52"/>
    </row>
    <row r="892" spans="2:3" ht="13.5" customHeight="1">
      <c r="B892" s="51"/>
      <c r="C892" s="52"/>
    </row>
    <row r="893" spans="2:3" ht="13.5" customHeight="1">
      <c r="B893" s="51"/>
      <c r="C893" s="52"/>
    </row>
    <row r="894" spans="2:3" ht="13.5" customHeight="1">
      <c r="B894" s="51"/>
      <c r="C894" s="52"/>
    </row>
    <row r="895" spans="2:3" ht="13.5" customHeight="1">
      <c r="B895" s="51"/>
      <c r="C895" s="52"/>
    </row>
    <row r="896" spans="2:3" ht="13.5" customHeight="1">
      <c r="B896" s="51"/>
      <c r="C896" s="52"/>
    </row>
    <row r="897" spans="2:3" ht="13.5" customHeight="1">
      <c r="B897" s="51"/>
      <c r="C897" s="52"/>
    </row>
    <row r="898" spans="2:3" ht="13.5" customHeight="1">
      <c r="B898" s="51"/>
      <c r="C898" s="52"/>
    </row>
    <row r="899" spans="2:3" ht="13.5" customHeight="1">
      <c r="B899" s="51"/>
      <c r="C899" s="52"/>
    </row>
    <row r="900" spans="2:3" ht="13.5" customHeight="1">
      <c r="B900" s="51"/>
      <c r="C900" s="52"/>
    </row>
    <row r="901" spans="2:3" ht="13.5" customHeight="1">
      <c r="B901" s="51"/>
      <c r="C901" s="52"/>
    </row>
    <row r="902" spans="2:3" ht="13.5" customHeight="1">
      <c r="B902" s="51"/>
      <c r="C902" s="52"/>
    </row>
    <row r="903" spans="2:3" ht="13.5" customHeight="1">
      <c r="B903" s="51"/>
      <c r="C903" s="52"/>
    </row>
    <row r="904" spans="2:3" ht="13.5" customHeight="1">
      <c r="B904" s="51"/>
      <c r="C904" s="52"/>
    </row>
    <row r="905" spans="2:3" ht="13.5" customHeight="1">
      <c r="B905" s="51"/>
      <c r="C905" s="52"/>
    </row>
    <row r="906" spans="2:3" ht="13.5" customHeight="1">
      <c r="B906" s="51"/>
      <c r="C906" s="52"/>
    </row>
    <row r="907" spans="2:3" ht="13.5" customHeight="1">
      <c r="B907" s="51"/>
      <c r="C907" s="52"/>
    </row>
    <row r="908" spans="2:3" ht="13.5" customHeight="1">
      <c r="B908" s="51"/>
      <c r="C908" s="52"/>
    </row>
    <row r="909" spans="2:3" ht="13.5" customHeight="1">
      <c r="B909" s="51"/>
      <c r="C909" s="52"/>
    </row>
    <row r="910" spans="2:3" ht="13.5" customHeight="1">
      <c r="B910" s="51"/>
      <c r="C910" s="52"/>
    </row>
    <row r="911" spans="2:3" ht="13.5" customHeight="1">
      <c r="B911" s="51"/>
      <c r="C911" s="52"/>
    </row>
    <row r="912" spans="2:3" ht="13.5" customHeight="1">
      <c r="B912" s="51"/>
      <c r="C912" s="52"/>
    </row>
    <row r="913" spans="2:3" ht="13.5" customHeight="1">
      <c r="B913" s="51"/>
      <c r="C913" s="52"/>
    </row>
    <row r="914" spans="2:3" ht="13.5" customHeight="1">
      <c r="B914" s="51"/>
      <c r="C914" s="52"/>
    </row>
    <row r="915" spans="2:3" ht="13.5" customHeight="1">
      <c r="B915" s="51"/>
      <c r="C915" s="52"/>
    </row>
    <row r="916" spans="2:3" ht="13.5" customHeight="1">
      <c r="B916" s="51"/>
      <c r="C916" s="52"/>
    </row>
    <row r="917" spans="2:3" ht="13.5" customHeight="1">
      <c r="B917" s="51"/>
      <c r="C917" s="52"/>
    </row>
    <row r="918" spans="2:3" ht="13.5" customHeight="1">
      <c r="B918" s="51"/>
      <c r="C918" s="52"/>
    </row>
    <row r="919" spans="2:3" ht="13.5" customHeight="1">
      <c r="B919" s="51"/>
      <c r="C919" s="52"/>
    </row>
    <row r="920" spans="2:3" ht="13.5" customHeight="1">
      <c r="B920" s="51"/>
      <c r="C920" s="52"/>
    </row>
    <row r="921" spans="2:3" ht="13.5" customHeight="1">
      <c r="B921" s="51"/>
      <c r="C921" s="52"/>
    </row>
    <row r="922" spans="2:3" ht="13.5" customHeight="1">
      <c r="B922" s="51"/>
      <c r="C922" s="52"/>
    </row>
    <row r="923" spans="2:3" ht="13.5" customHeight="1">
      <c r="B923" s="51"/>
      <c r="C923" s="52"/>
    </row>
    <row r="924" spans="2:3" ht="13.5" customHeight="1">
      <c r="B924" s="51"/>
      <c r="C924" s="52"/>
    </row>
    <row r="925" spans="2:3" ht="13.5" customHeight="1">
      <c r="B925" s="51"/>
      <c r="C925" s="52"/>
    </row>
    <row r="926" spans="2:3" ht="13.5" customHeight="1">
      <c r="B926" s="51"/>
      <c r="C926" s="52"/>
    </row>
    <row r="927" spans="2:3" ht="13.5" customHeight="1">
      <c r="B927" s="51"/>
      <c r="C927" s="52"/>
    </row>
    <row r="928" spans="2:3" ht="13.5" customHeight="1">
      <c r="B928" s="51"/>
      <c r="C928" s="52"/>
    </row>
    <row r="929" spans="2:3" ht="13.5" customHeight="1">
      <c r="B929" s="51"/>
      <c r="C929" s="52"/>
    </row>
    <row r="930" spans="2:3" ht="13.5" customHeight="1">
      <c r="B930" s="51"/>
      <c r="C930" s="52"/>
    </row>
    <row r="931" spans="2:3" ht="13.5" customHeight="1">
      <c r="B931" s="51"/>
      <c r="C931" s="52"/>
    </row>
    <row r="932" spans="2:3" ht="13.5" customHeight="1">
      <c r="B932" s="51"/>
      <c r="C932" s="52"/>
    </row>
    <row r="933" spans="2:3" ht="13.5" customHeight="1">
      <c r="B933" s="51"/>
      <c r="C933" s="52"/>
    </row>
    <row r="934" spans="2:3" ht="13.5" customHeight="1">
      <c r="B934" s="51"/>
      <c r="C934" s="52"/>
    </row>
    <row r="935" spans="2:3" ht="13.5" customHeight="1">
      <c r="B935" s="51"/>
      <c r="C935" s="52"/>
    </row>
    <row r="936" spans="2:3" ht="13.5" customHeight="1">
      <c r="B936" s="51"/>
      <c r="C936" s="52"/>
    </row>
    <row r="937" spans="2:3" ht="13.5" customHeight="1">
      <c r="B937" s="51"/>
      <c r="C937" s="52"/>
    </row>
    <row r="938" spans="2:3" ht="13.5" customHeight="1">
      <c r="B938" s="51"/>
      <c r="C938" s="52"/>
    </row>
    <row r="939" spans="2:3" ht="13.5" customHeight="1">
      <c r="B939" s="51"/>
      <c r="C939" s="52"/>
    </row>
    <row r="940" spans="2:3" ht="13.5" customHeight="1">
      <c r="B940" s="51"/>
      <c r="C940" s="52"/>
    </row>
    <row r="941" spans="2:3" ht="13.5" customHeight="1">
      <c r="B941" s="51"/>
      <c r="C941" s="52"/>
    </row>
    <row r="942" spans="2:3" ht="13.5" customHeight="1">
      <c r="B942" s="51"/>
      <c r="C942" s="52"/>
    </row>
    <row r="943" spans="2:3" ht="13.5" customHeight="1">
      <c r="B943" s="51"/>
      <c r="C943" s="52"/>
    </row>
    <row r="944" spans="2:3" ht="13.5" customHeight="1">
      <c r="B944" s="51"/>
      <c r="C944" s="52"/>
    </row>
    <row r="945" spans="2:3" ht="13.5" customHeight="1">
      <c r="B945" s="51"/>
      <c r="C945" s="52"/>
    </row>
    <row r="946" spans="2:3" ht="13.5" customHeight="1">
      <c r="B946" s="51"/>
      <c r="C946" s="52"/>
    </row>
    <row r="947" spans="2:3" ht="13.5" customHeight="1">
      <c r="B947" s="51"/>
      <c r="C947" s="52"/>
    </row>
    <row r="948" spans="2:3" ht="13.5" customHeight="1">
      <c r="B948" s="51"/>
      <c r="C948" s="52"/>
    </row>
    <row r="949" spans="2:3" ht="13.5" customHeight="1">
      <c r="B949" s="51"/>
      <c r="C949" s="52"/>
    </row>
    <row r="950" spans="2:3" ht="13.5" customHeight="1">
      <c r="B950" s="51"/>
      <c r="C950" s="52"/>
    </row>
    <row r="951" spans="2:3" ht="13.5" customHeight="1">
      <c r="B951" s="51"/>
      <c r="C951" s="52"/>
    </row>
    <row r="952" spans="2:3" ht="13.5" customHeight="1">
      <c r="B952" s="51"/>
      <c r="C952" s="52"/>
    </row>
    <row r="953" spans="2:3" ht="13.5" customHeight="1">
      <c r="B953" s="51"/>
      <c r="C953" s="52"/>
    </row>
    <row r="954" spans="2:3" ht="13.5" customHeight="1">
      <c r="B954" s="51"/>
      <c r="C954" s="52"/>
    </row>
    <row r="955" spans="2:3" ht="13.5" customHeight="1">
      <c r="B955" s="51"/>
      <c r="C955" s="52"/>
    </row>
    <row r="956" spans="2:3" ht="13.5" customHeight="1">
      <c r="B956" s="51"/>
      <c r="C956" s="52"/>
    </row>
    <row r="957" spans="2:3" ht="13.5" customHeight="1">
      <c r="B957" s="51"/>
      <c r="C957" s="52"/>
    </row>
    <row r="958" spans="2:3" ht="13.5" customHeight="1">
      <c r="B958" s="51"/>
      <c r="C958" s="52"/>
    </row>
    <row r="959" spans="2:3" ht="13.5" customHeight="1">
      <c r="B959" s="51"/>
      <c r="C959" s="52"/>
    </row>
    <row r="960" spans="2:3" ht="13.5" customHeight="1">
      <c r="B960" s="51"/>
      <c r="C960" s="52"/>
    </row>
    <row r="961" spans="2:3" ht="13.5" customHeight="1">
      <c r="B961" s="51"/>
      <c r="C961" s="52"/>
    </row>
    <row r="962" spans="2:3" ht="13.5" customHeight="1">
      <c r="B962" s="51"/>
      <c r="C962" s="52"/>
    </row>
    <row r="963" spans="2:3" ht="13.5" customHeight="1">
      <c r="B963" s="51"/>
      <c r="C963" s="52"/>
    </row>
    <row r="964" spans="2:3" ht="13.5" customHeight="1">
      <c r="B964" s="51"/>
      <c r="C964" s="52"/>
    </row>
    <row r="965" spans="2:3" ht="13.5" customHeight="1">
      <c r="B965" s="51"/>
      <c r="C965" s="52"/>
    </row>
    <row r="966" spans="2:3" ht="13.5" customHeight="1">
      <c r="B966" s="51"/>
      <c r="C966" s="52"/>
    </row>
    <row r="967" spans="2:3" ht="13.5" customHeight="1">
      <c r="B967" s="51"/>
      <c r="C967" s="52"/>
    </row>
    <row r="968" spans="2:3" ht="13.5" customHeight="1">
      <c r="B968" s="51"/>
      <c r="C968" s="52"/>
    </row>
    <row r="969" spans="2:3" ht="13.5" customHeight="1">
      <c r="B969" s="51"/>
      <c r="C969" s="52"/>
    </row>
    <row r="970" spans="2:3" ht="13.5" customHeight="1">
      <c r="B970" s="51"/>
      <c r="C970" s="52"/>
    </row>
    <row r="971" spans="2:3" ht="13.5" customHeight="1">
      <c r="B971" s="51"/>
      <c r="C971" s="52"/>
    </row>
    <row r="972" spans="2:3" ht="13.5" customHeight="1">
      <c r="B972" s="51"/>
      <c r="C972" s="52"/>
    </row>
    <row r="973" spans="2:3" ht="13.5" customHeight="1">
      <c r="B973" s="51"/>
      <c r="C973" s="52"/>
    </row>
    <row r="974" spans="2:3" ht="13.5" customHeight="1">
      <c r="B974" s="51"/>
      <c r="C974" s="52"/>
    </row>
    <row r="975" spans="2:3" ht="13.5" customHeight="1">
      <c r="B975" s="51"/>
      <c r="C975" s="52"/>
    </row>
    <row r="976" spans="2:3" ht="13.5" customHeight="1">
      <c r="B976" s="51"/>
      <c r="C976" s="52"/>
    </row>
    <row r="977" spans="2:3" ht="13.5" customHeight="1">
      <c r="B977" s="51"/>
      <c r="C977" s="52"/>
    </row>
    <row r="978" spans="2:3" ht="13.5" customHeight="1">
      <c r="B978" s="51"/>
      <c r="C978" s="52"/>
    </row>
    <row r="979" spans="2:3" ht="13.5" customHeight="1">
      <c r="B979" s="51"/>
      <c r="C979" s="52"/>
    </row>
    <row r="980" spans="2:3" ht="13.5" customHeight="1">
      <c r="B980" s="51"/>
      <c r="C980" s="52"/>
    </row>
    <row r="981" spans="2:3" ht="13.5" customHeight="1">
      <c r="B981" s="51"/>
      <c r="C981" s="52"/>
    </row>
    <row r="982" spans="2:3" ht="13.5" customHeight="1">
      <c r="B982" s="51"/>
      <c r="C982" s="52"/>
    </row>
    <row r="983" spans="2:3" ht="13.5" customHeight="1">
      <c r="B983" s="51"/>
      <c r="C983" s="52"/>
    </row>
    <row r="984" spans="2:3" ht="13.5" customHeight="1">
      <c r="B984" s="51"/>
      <c r="C984" s="52"/>
    </row>
    <row r="985" spans="2:3" ht="13.5" customHeight="1">
      <c r="B985" s="51"/>
      <c r="C985" s="52"/>
    </row>
    <row r="986" spans="2:3" ht="13.5" customHeight="1">
      <c r="B986" s="51"/>
      <c r="C986" s="52"/>
    </row>
    <row r="987" spans="2:3" ht="13.5" customHeight="1">
      <c r="B987" s="51"/>
      <c r="C987" s="52"/>
    </row>
    <row r="988" spans="2:3" ht="13.5" customHeight="1">
      <c r="B988" s="51"/>
      <c r="C988" s="52"/>
    </row>
    <row r="989" spans="2:3" ht="13.5" customHeight="1">
      <c r="B989" s="51"/>
      <c r="C989" s="52"/>
    </row>
    <row r="990" spans="2:3" ht="13.5" customHeight="1">
      <c r="B990" s="51"/>
      <c r="C990" s="52"/>
    </row>
    <row r="991" spans="2:3" ht="13.5" customHeight="1">
      <c r="B991" s="51"/>
      <c r="C991" s="52"/>
    </row>
    <row r="992" spans="2:3" ht="13.5" customHeight="1">
      <c r="B992" s="51"/>
      <c r="C992" s="52"/>
    </row>
    <row r="993" ht="13.5" customHeight="1"/>
    <row r="994" ht="13.5" customHeight="1"/>
    <row r="995" ht="13.5" customHeight="1"/>
    <row r="996" ht="13.5" customHeight="1"/>
  </sheetData>
  <mergeCells count="16">
    <mergeCell ref="J38:K38"/>
    <mergeCell ref="J39:K39"/>
    <mergeCell ref="J40:K40"/>
    <mergeCell ref="J41:K41"/>
    <mergeCell ref="B5:C5"/>
    <mergeCell ref="F5:F6"/>
    <mergeCell ref="J36:K36"/>
    <mergeCell ref="E4:E6"/>
    <mergeCell ref="G4:G6"/>
    <mergeCell ref="AA36:AB36"/>
    <mergeCell ref="J37:K37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000"/>
  <sheetViews>
    <sheetView showGridLines="0" topLeftCell="F1" zoomScaleNormal="100" workbookViewId="0">
      <selection activeCell="I34" sqref="I34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3.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3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3.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3.5" customHeight="1">
      <c r="B5" s="75" t="s">
        <v>347</v>
      </c>
      <c r="C5" s="1"/>
      <c r="D5" s="1"/>
      <c r="E5" s="1"/>
      <c r="F5" s="1"/>
      <c r="G5" s="1"/>
      <c r="H5" s="1"/>
      <c r="I5" s="1"/>
      <c r="J5" s="1"/>
      <c r="K5" s="1"/>
    </row>
    <row r="6" spans="2:11" ht="13.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13.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3.5" customHeight="1">
      <c r="B8" s="76" t="s">
        <v>348</v>
      </c>
      <c r="C8" s="1"/>
      <c r="D8" s="1"/>
      <c r="E8" s="1"/>
      <c r="F8" s="1"/>
      <c r="G8" s="1"/>
      <c r="H8" s="1"/>
      <c r="I8" s="1"/>
      <c r="J8" s="1"/>
      <c r="K8" s="76" t="s">
        <v>349</v>
      </c>
    </row>
    <row r="9" spans="2:11" ht="13.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3.5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ht="13.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3.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ht="13.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3.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13.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AADB"/>
  </sheetPr>
  <dimension ref="B1:AB992"/>
  <sheetViews>
    <sheetView showGridLines="0" topLeftCell="B4" zoomScaleNormal="100" workbookViewId="0">
      <selection activeCell="D13" sqref="D13"/>
    </sheetView>
  </sheetViews>
  <sheetFormatPr defaultColWidth="14.42578125" defaultRowHeight="13.15"/>
  <cols>
    <col min="1" max="1" width="5.42578125" style="2" customWidth="1"/>
    <col min="2" max="3" width="11.42578125" style="2" customWidth="1"/>
    <col min="4" max="4" width="60.85546875" style="2" customWidth="1"/>
    <col min="5" max="5" width="15" style="2" customWidth="1"/>
    <col min="6" max="6" width="13.28515625" style="2" customWidth="1"/>
    <col min="7" max="7" width="12.5703125" style="2" customWidth="1"/>
    <col min="8" max="11" width="11.5703125" style="2" customWidth="1"/>
    <col min="12" max="26" width="3.7109375" style="2" customWidth="1"/>
    <col min="27" max="16384" width="14.42578125" style="2"/>
  </cols>
  <sheetData>
    <row r="1" spans="2:26" ht="13.5" customHeight="1">
      <c r="B1" s="51"/>
      <c r="C1" s="52"/>
    </row>
    <row r="2" spans="2:26" ht="13.5" customHeight="1">
      <c r="B2" s="51"/>
      <c r="C2" s="52"/>
      <c r="H2" s="102" t="s">
        <v>262</v>
      </c>
    </row>
    <row r="3" spans="2:26" ht="13.5" customHeight="1">
      <c r="B3" s="51"/>
      <c r="C3" s="52"/>
      <c r="H3" s="102"/>
      <c r="K3" s="99" t="s">
        <v>263</v>
      </c>
      <c r="L3" s="98" t="s">
        <v>264</v>
      </c>
      <c r="M3" s="98"/>
      <c r="N3" s="98"/>
      <c r="O3" s="98"/>
      <c r="P3" s="98"/>
      <c r="Q3" s="98"/>
      <c r="R3" s="98"/>
      <c r="S3" s="98"/>
      <c r="T3" s="98"/>
      <c r="U3" s="98"/>
    </row>
    <row r="4" spans="2:26" ht="12.75" customHeight="1">
      <c r="B4" s="51"/>
      <c r="C4" s="52"/>
      <c r="E4" s="101" t="s">
        <v>265</v>
      </c>
      <c r="G4" s="100" t="s">
        <v>266</v>
      </c>
      <c r="H4" s="102"/>
      <c r="I4" s="99" t="s">
        <v>267</v>
      </c>
      <c r="J4" s="102" t="s">
        <v>268</v>
      </c>
      <c r="K4" s="99"/>
      <c r="L4" s="99"/>
      <c r="M4" s="98"/>
      <c r="N4" s="98"/>
      <c r="O4" s="98"/>
      <c r="P4" s="98"/>
      <c r="Q4" s="98"/>
      <c r="R4" s="98"/>
      <c r="S4" s="98"/>
      <c r="T4" s="98"/>
      <c r="U4" s="98"/>
    </row>
    <row r="5" spans="2:26" ht="18" customHeight="1">
      <c r="B5" s="104" t="s">
        <v>269</v>
      </c>
      <c r="C5" s="104"/>
      <c r="E5" s="101"/>
      <c r="F5" s="105" t="s">
        <v>270</v>
      </c>
      <c r="G5" s="100"/>
      <c r="H5" s="100"/>
      <c r="I5" s="100"/>
      <c r="J5" s="100"/>
      <c r="K5" s="100"/>
      <c r="L5" s="100"/>
      <c r="M5" s="98"/>
      <c r="N5" s="98"/>
      <c r="O5" s="98"/>
      <c r="P5" s="98"/>
      <c r="Q5" s="98"/>
      <c r="R5" s="98"/>
      <c r="S5" s="98"/>
      <c r="T5" s="98"/>
      <c r="U5" s="98"/>
    </row>
    <row r="6" spans="2:26" ht="13.5" customHeight="1">
      <c r="B6" s="53"/>
      <c r="C6" s="52"/>
      <c r="E6" s="101"/>
      <c r="F6" s="101"/>
      <c r="G6" s="101"/>
      <c r="H6" s="101"/>
      <c r="I6" s="101"/>
      <c r="J6" s="101"/>
      <c r="K6" s="101"/>
      <c r="L6" s="101"/>
      <c r="M6" s="98"/>
      <c r="N6" s="98"/>
      <c r="O6" s="98"/>
      <c r="P6" s="98"/>
      <c r="Q6" s="98"/>
      <c r="R6" s="98"/>
      <c r="S6" s="98"/>
      <c r="T6" s="98"/>
      <c r="U6" s="98"/>
    </row>
    <row r="7" spans="2:26" s="79" customFormat="1" ht="34.5" customHeight="1">
      <c r="B7" s="54" t="s">
        <v>271</v>
      </c>
      <c r="C7" s="54" t="s">
        <v>272</v>
      </c>
      <c r="D7" s="54" t="s">
        <v>19</v>
      </c>
      <c r="E7" s="54" t="s">
        <v>50</v>
      </c>
      <c r="F7" s="54" t="s">
        <v>22</v>
      </c>
      <c r="G7" s="55" t="s">
        <v>273</v>
      </c>
      <c r="H7" s="55" t="s">
        <v>274</v>
      </c>
      <c r="I7" s="55" t="s">
        <v>275</v>
      </c>
      <c r="J7" s="55" t="s">
        <v>276</v>
      </c>
      <c r="K7" s="55" t="s">
        <v>277</v>
      </c>
      <c r="L7" s="56" t="s">
        <v>278</v>
      </c>
      <c r="M7" s="56" t="s">
        <v>279</v>
      </c>
      <c r="N7" s="56" t="s">
        <v>280</v>
      </c>
      <c r="O7" s="56" t="s">
        <v>281</v>
      </c>
      <c r="P7" s="56" t="s">
        <v>282</v>
      </c>
      <c r="Q7" s="56" t="s">
        <v>283</v>
      </c>
      <c r="R7" s="56" t="s">
        <v>284</v>
      </c>
      <c r="S7" s="56" t="s">
        <v>285</v>
      </c>
      <c r="T7" s="56" t="s">
        <v>286</v>
      </c>
      <c r="U7" s="56" t="s">
        <v>287</v>
      </c>
      <c r="V7" s="56" t="s">
        <v>288</v>
      </c>
      <c r="W7" s="56" t="s">
        <v>289</v>
      </c>
      <c r="X7" s="56" t="s">
        <v>290</v>
      </c>
      <c r="Y7" s="56" t="s">
        <v>291</v>
      </c>
      <c r="Z7" s="56" t="s">
        <v>292</v>
      </c>
    </row>
    <row r="8" spans="2:26" ht="13.5" customHeight="1">
      <c r="B8" s="57">
        <v>5.01</v>
      </c>
      <c r="C8" s="58" t="s">
        <v>205</v>
      </c>
      <c r="D8" s="59" t="s">
        <v>457</v>
      </c>
      <c r="E8" s="59" t="s">
        <v>322</v>
      </c>
      <c r="F8" s="59" t="s">
        <v>31</v>
      </c>
      <c r="G8" s="58">
        <v>14</v>
      </c>
      <c r="H8" s="77">
        <v>0</v>
      </c>
      <c r="I8" s="77">
        <f t="shared" ref="I8:I28" si="0">SUM(G8-H8)</f>
        <v>14</v>
      </c>
      <c r="J8" s="77">
        <v>0</v>
      </c>
      <c r="K8" s="77">
        <f t="shared" ref="K8:K28" si="1">SUM(J8-G8)</f>
        <v>-14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>
      <c r="B9" s="57">
        <v>5.0199999999999996</v>
      </c>
      <c r="C9" s="61" t="s">
        <v>205</v>
      </c>
      <c r="D9" s="62" t="s">
        <v>458</v>
      </c>
      <c r="E9" s="62" t="s">
        <v>358</v>
      </c>
      <c r="F9" s="62" t="s">
        <v>31</v>
      </c>
      <c r="G9" s="61">
        <v>17.5</v>
      </c>
      <c r="H9" s="78">
        <v>0</v>
      </c>
      <c r="I9" s="78">
        <f t="shared" si="0"/>
        <v>17.5</v>
      </c>
      <c r="J9" s="78">
        <v>0</v>
      </c>
      <c r="K9" s="78">
        <f t="shared" si="1"/>
        <v>-17.5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>
      <c r="B10" s="57">
        <v>5.03</v>
      </c>
      <c r="C10" s="61" t="s">
        <v>205</v>
      </c>
      <c r="D10" s="62" t="s">
        <v>459</v>
      </c>
      <c r="E10" s="62" t="s">
        <v>351</v>
      </c>
      <c r="F10" s="62" t="s">
        <v>31</v>
      </c>
      <c r="G10" s="61">
        <v>21</v>
      </c>
      <c r="H10" s="78">
        <v>0</v>
      </c>
      <c r="I10" s="78">
        <f t="shared" si="0"/>
        <v>21</v>
      </c>
      <c r="J10" s="78">
        <v>0</v>
      </c>
      <c r="K10" s="78">
        <f t="shared" si="1"/>
        <v>-21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>
      <c r="B11" s="57">
        <v>5.04</v>
      </c>
      <c r="C11" s="61" t="s">
        <v>205</v>
      </c>
      <c r="D11" s="62" t="s">
        <v>460</v>
      </c>
      <c r="E11" s="62" t="s">
        <v>322</v>
      </c>
      <c r="F11" s="62" t="s">
        <v>31</v>
      </c>
      <c r="G11" s="61">
        <v>14</v>
      </c>
      <c r="H11" s="78">
        <v>0</v>
      </c>
      <c r="I11" s="78">
        <f t="shared" si="0"/>
        <v>14</v>
      </c>
      <c r="J11" s="78">
        <v>0</v>
      </c>
      <c r="K11" s="78">
        <f t="shared" si="1"/>
        <v>-14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>
      <c r="B12" s="57">
        <v>5.05</v>
      </c>
      <c r="C12" s="61" t="s">
        <v>205</v>
      </c>
      <c r="D12" s="62" t="s">
        <v>461</v>
      </c>
      <c r="E12" s="62" t="s">
        <v>370</v>
      </c>
      <c r="F12" s="62" t="s">
        <v>31</v>
      </c>
      <c r="G12" s="61">
        <v>7</v>
      </c>
      <c r="H12" s="78">
        <v>0</v>
      </c>
      <c r="I12" s="78">
        <f t="shared" si="0"/>
        <v>7</v>
      </c>
      <c r="J12" s="78">
        <v>0</v>
      </c>
      <c r="K12" s="78">
        <f t="shared" si="1"/>
        <v>-7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>
      <c r="B13" s="57">
        <v>5.0599999999999996</v>
      </c>
      <c r="C13" s="61" t="s">
        <v>205</v>
      </c>
      <c r="D13" s="62" t="s">
        <v>462</v>
      </c>
      <c r="E13" s="62" t="s">
        <v>425</v>
      </c>
      <c r="F13" s="62" t="s">
        <v>31</v>
      </c>
      <c r="G13" s="61">
        <v>5</v>
      </c>
      <c r="H13" s="78">
        <v>0</v>
      </c>
      <c r="I13" s="78">
        <f t="shared" si="0"/>
        <v>5</v>
      </c>
      <c r="J13" s="78">
        <v>0</v>
      </c>
      <c r="K13" s="78">
        <f t="shared" si="1"/>
        <v>-5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>
      <c r="B14" s="57">
        <v>5.07</v>
      </c>
      <c r="C14" s="61" t="s">
        <v>210</v>
      </c>
      <c r="D14" s="62" t="s">
        <v>463</v>
      </c>
      <c r="E14" s="62" t="s">
        <v>322</v>
      </c>
      <c r="F14" s="62" t="s">
        <v>31</v>
      </c>
      <c r="G14" s="61">
        <v>7.5</v>
      </c>
      <c r="H14" s="78">
        <v>0</v>
      </c>
      <c r="I14" s="78">
        <f t="shared" si="0"/>
        <v>7.5</v>
      </c>
      <c r="J14" s="78">
        <v>0</v>
      </c>
      <c r="K14" s="78">
        <f t="shared" si="1"/>
        <v>-7.5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>
      <c r="B15" s="57">
        <v>5.08</v>
      </c>
      <c r="C15" s="61" t="s">
        <v>210</v>
      </c>
      <c r="D15" s="62" t="s">
        <v>464</v>
      </c>
      <c r="E15" s="62" t="s">
        <v>398</v>
      </c>
      <c r="F15" s="62" t="s">
        <v>31</v>
      </c>
      <c r="G15" s="61">
        <v>6.5</v>
      </c>
      <c r="H15" s="78">
        <v>0</v>
      </c>
      <c r="I15" s="78">
        <f t="shared" si="0"/>
        <v>6.5</v>
      </c>
      <c r="J15" s="78">
        <v>0</v>
      </c>
      <c r="K15" s="78">
        <f t="shared" si="1"/>
        <v>-6.5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>
      <c r="B16" s="57">
        <v>5.09</v>
      </c>
      <c r="C16" s="61" t="s">
        <v>215</v>
      </c>
      <c r="D16" s="62" t="s">
        <v>465</v>
      </c>
      <c r="E16" s="62" t="s">
        <v>303</v>
      </c>
      <c r="F16" s="62" t="s">
        <v>31</v>
      </c>
      <c r="G16" s="61">
        <v>6</v>
      </c>
      <c r="H16" s="78">
        <v>0</v>
      </c>
      <c r="I16" s="78">
        <f t="shared" si="0"/>
        <v>6</v>
      </c>
      <c r="J16" s="78">
        <v>0</v>
      </c>
      <c r="K16" s="78">
        <f t="shared" si="1"/>
        <v>-6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ht="13.5" customHeight="1">
      <c r="B17" s="57" t="s">
        <v>466</v>
      </c>
      <c r="C17" s="61" t="s">
        <v>215</v>
      </c>
      <c r="D17" s="62" t="s">
        <v>467</v>
      </c>
      <c r="E17" s="62" t="s">
        <v>322</v>
      </c>
      <c r="F17" s="62" t="s">
        <v>31</v>
      </c>
      <c r="G17" s="61">
        <v>15</v>
      </c>
      <c r="H17" s="78">
        <v>0</v>
      </c>
      <c r="I17" s="78">
        <f t="shared" si="0"/>
        <v>15</v>
      </c>
      <c r="J17" s="78">
        <v>0</v>
      </c>
      <c r="K17" s="78">
        <f t="shared" si="1"/>
        <v>-15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ht="13.5" customHeight="1">
      <c r="B18" s="57">
        <v>5.1100000000000003</v>
      </c>
      <c r="C18" s="61" t="s">
        <v>215</v>
      </c>
      <c r="D18" s="62" t="s">
        <v>468</v>
      </c>
      <c r="E18" s="62" t="s">
        <v>306</v>
      </c>
      <c r="F18" s="62" t="s">
        <v>31</v>
      </c>
      <c r="G18" s="61">
        <v>6</v>
      </c>
      <c r="H18" s="78">
        <v>0</v>
      </c>
      <c r="I18" s="78">
        <f t="shared" si="0"/>
        <v>6</v>
      </c>
      <c r="J18" s="78">
        <v>0</v>
      </c>
      <c r="K18" s="78">
        <f t="shared" si="1"/>
        <v>-6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ht="13.5" customHeight="1">
      <c r="B19" s="57">
        <v>5.12</v>
      </c>
      <c r="C19" s="61" t="s">
        <v>215</v>
      </c>
      <c r="D19" s="62" t="s">
        <v>469</v>
      </c>
      <c r="E19" s="62" t="s">
        <v>425</v>
      </c>
      <c r="F19" s="62" t="s">
        <v>31</v>
      </c>
      <c r="G19" s="61">
        <v>5</v>
      </c>
      <c r="H19" s="78">
        <v>0</v>
      </c>
      <c r="I19" s="78">
        <f t="shared" si="0"/>
        <v>5</v>
      </c>
      <c r="J19" s="78">
        <v>0</v>
      </c>
      <c r="K19" s="78">
        <f t="shared" si="1"/>
        <v>-5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ht="13.5" customHeight="1">
      <c r="B20" s="57">
        <v>5.13</v>
      </c>
      <c r="C20" s="61" t="s">
        <v>220</v>
      </c>
      <c r="D20" s="62" t="s">
        <v>470</v>
      </c>
      <c r="E20" s="62" t="s">
        <v>351</v>
      </c>
      <c r="F20" s="62" t="s">
        <v>31</v>
      </c>
      <c r="G20" s="61">
        <v>7.5</v>
      </c>
      <c r="H20" s="78">
        <v>0</v>
      </c>
      <c r="I20" s="78">
        <f t="shared" si="0"/>
        <v>7.5</v>
      </c>
      <c r="J20" s="78">
        <v>0</v>
      </c>
      <c r="K20" s="78">
        <f t="shared" si="1"/>
        <v>-7.5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3.5" customHeight="1">
      <c r="B21" s="57">
        <v>5.14</v>
      </c>
      <c r="C21" s="61" t="s">
        <v>220</v>
      </c>
      <c r="D21" s="62" t="s">
        <v>471</v>
      </c>
      <c r="E21" s="62" t="s">
        <v>456</v>
      </c>
      <c r="F21" s="62" t="s">
        <v>31</v>
      </c>
      <c r="G21" s="61">
        <v>7.5</v>
      </c>
      <c r="H21" s="78">
        <v>0</v>
      </c>
      <c r="I21" s="78">
        <f t="shared" si="0"/>
        <v>7.5</v>
      </c>
      <c r="J21" s="78">
        <v>0</v>
      </c>
      <c r="K21" s="78">
        <f t="shared" si="1"/>
        <v>-7.5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ht="13.5" customHeight="1">
      <c r="B22" s="57">
        <v>5.15</v>
      </c>
      <c r="C22" s="61" t="s">
        <v>220</v>
      </c>
      <c r="D22" s="62" t="s">
        <v>472</v>
      </c>
      <c r="E22" s="62" t="s">
        <v>398</v>
      </c>
      <c r="F22" s="62" t="s">
        <v>31</v>
      </c>
      <c r="G22" s="61">
        <v>6.5</v>
      </c>
      <c r="H22" s="78">
        <v>0</v>
      </c>
      <c r="I22" s="78">
        <f t="shared" si="0"/>
        <v>6.5</v>
      </c>
      <c r="J22" s="78">
        <v>0</v>
      </c>
      <c r="K22" s="78">
        <f t="shared" si="1"/>
        <v>-6.5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ht="13.5" customHeight="1">
      <c r="B23" s="57">
        <v>5.16</v>
      </c>
      <c r="C23" s="61" t="s">
        <v>225</v>
      </c>
      <c r="D23" s="62" t="s">
        <v>473</v>
      </c>
      <c r="E23" s="62" t="s">
        <v>355</v>
      </c>
      <c r="F23" s="62" t="s">
        <v>31</v>
      </c>
      <c r="G23" s="61">
        <v>7.5</v>
      </c>
      <c r="H23" s="78">
        <v>0</v>
      </c>
      <c r="I23" s="78">
        <f t="shared" si="0"/>
        <v>7.5</v>
      </c>
      <c r="J23" s="78">
        <v>0</v>
      </c>
      <c r="K23" s="78">
        <f t="shared" si="1"/>
        <v>-7.5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6" ht="13.5" customHeight="1">
      <c r="B24" s="57">
        <v>5.17</v>
      </c>
      <c r="C24" s="61" t="s">
        <v>225</v>
      </c>
      <c r="D24" s="62" t="s">
        <v>474</v>
      </c>
      <c r="E24" s="62" t="s">
        <v>295</v>
      </c>
      <c r="F24" s="62" t="s">
        <v>31</v>
      </c>
      <c r="G24" s="61">
        <v>10</v>
      </c>
      <c r="H24" s="78">
        <v>0</v>
      </c>
      <c r="I24" s="78">
        <f t="shared" si="0"/>
        <v>10</v>
      </c>
      <c r="J24" s="78">
        <v>0</v>
      </c>
      <c r="K24" s="78">
        <f t="shared" si="1"/>
        <v>-10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ht="13.5" customHeight="1">
      <c r="B25" s="57">
        <v>5.18</v>
      </c>
      <c r="C25" s="61" t="s">
        <v>225</v>
      </c>
      <c r="D25" s="62" t="s">
        <v>475</v>
      </c>
      <c r="E25" s="62" t="s">
        <v>309</v>
      </c>
      <c r="F25" s="62" t="s">
        <v>31</v>
      </c>
      <c r="G25" s="61">
        <v>5</v>
      </c>
      <c r="H25" s="78">
        <v>0</v>
      </c>
      <c r="I25" s="78">
        <f t="shared" si="0"/>
        <v>5</v>
      </c>
      <c r="J25" s="78">
        <v>0</v>
      </c>
      <c r="K25" s="78">
        <f t="shared" si="1"/>
        <v>-5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3.5" customHeight="1">
      <c r="B26" s="57">
        <v>5.19</v>
      </c>
      <c r="C26" s="61" t="s">
        <v>230</v>
      </c>
      <c r="D26" s="62" t="s">
        <v>476</v>
      </c>
      <c r="E26" s="62" t="s">
        <v>351</v>
      </c>
      <c r="F26" s="62" t="s">
        <v>31</v>
      </c>
      <c r="G26" s="61">
        <v>7.5</v>
      </c>
      <c r="H26" s="78">
        <v>0</v>
      </c>
      <c r="I26" s="78">
        <f t="shared" si="0"/>
        <v>7.5</v>
      </c>
      <c r="J26" s="78">
        <v>0</v>
      </c>
      <c r="K26" s="78">
        <f t="shared" si="1"/>
        <v>-7.5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3.5" customHeight="1">
      <c r="B27" s="57" t="s">
        <v>477</v>
      </c>
      <c r="C27" s="61" t="s">
        <v>230</v>
      </c>
      <c r="D27" s="62" t="s">
        <v>478</v>
      </c>
      <c r="E27" s="62" t="s">
        <v>456</v>
      </c>
      <c r="F27" s="62" t="s">
        <v>31</v>
      </c>
      <c r="G27" s="61">
        <v>7.5</v>
      </c>
      <c r="H27" s="78">
        <v>0</v>
      </c>
      <c r="I27" s="78">
        <f t="shared" si="0"/>
        <v>7.5</v>
      </c>
      <c r="J27" s="78">
        <v>0</v>
      </c>
      <c r="K27" s="78">
        <f t="shared" si="1"/>
        <v>-7.5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ht="13.5" customHeight="1">
      <c r="B28" s="57">
        <v>5.21</v>
      </c>
      <c r="C28" s="61" t="s">
        <v>230</v>
      </c>
      <c r="D28" s="62" t="s">
        <v>479</v>
      </c>
      <c r="E28" s="62" t="s">
        <v>309</v>
      </c>
      <c r="F28" s="62" t="s">
        <v>31</v>
      </c>
      <c r="G28" s="61">
        <v>3</v>
      </c>
      <c r="H28" s="78">
        <v>0</v>
      </c>
      <c r="I28" s="78">
        <f t="shared" si="0"/>
        <v>3</v>
      </c>
      <c r="J28" s="78">
        <v>0</v>
      </c>
      <c r="K28" s="78">
        <f t="shared" si="1"/>
        <v>-3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ht="13.5" customHeight="1">
      <c r="B29" s="63"/>
      <c r="C29" s="64"/>
      <c r="D29" s="65"/>
      <c r="E29" s="65"/>
      <c r="F29" s="66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2:26" ht="13.5" customHeight="1">
      <c r="B30" s="67"/>
      <c r="C30" s="68"/>
      <c r="D30" s="69"/>
      <c r="E30" s="69"/>
      <c r="F30" s="70" t="s">
        <v>261</v>
      </c>
      <c r="G30" s="93">
        <f>SUM(G8:G28)</f>
        <v>186.5</v>
      </c>
      <c r="H30" s="93">
        <f>SUM(H8:H28)</f>
        <v>0</v>
      </c>
      <c r="I30" s="93">
        <f>SUM(I8:I28)</f>
        <v>186.5</v>
      </c>
      <c r="J30" s="93">
        <f>SUM(J8:J28)</f>
        <v>0</v>
      </c>
      <c r="K30" s="93">
        <f>SUM(K8:K28)</f>
        <v>-186.5</v>
      </c>
      <c r="L30" s="93">
        <f t="shared" ref="L30:Z30" si="2">SUBTOTAL(9,L7:L28)</f>
        <v>0</v>
      </c>
      <c r="M30" s="93">
        <f t="shared" si="2"/>
        <v>0</v>
      </c>
      <c r="N30" s="93">
        <f t="shared" si="2"/>
        <v>0</v>
      </c>
      <c r="O30" s="93">
        <f t="shared" si="2"/>
        <v>0</v>
      </c>
      <c r="P30" s="93">
        <f t="shared" si="2"/>
        <v>0</v>
      </c>
      <c r="Q30" s="93">
        <f t="shared" si="2"/>
        <v>0</v>
      </c>
      <c r="R30" s="93">
        <f t="shared" si="2"/>
        <v>0</v>
      </c>
      <c r="S30" s="93">
        <f t="shared" si="2"/>
        <v>0</v>
      </c>
      <c r="T30" s="93">
        <f t="shared" si="2"/>
        <v>0</v>
      </c>
      <c r="U30" s="93">
        <f t="shared" si="2"/>
        <v>0</v>
      </c>
      <c r="V30" s="93">
        <f t="shared" si="2"/>
        <v>0</v>
      </c>
      <c r="W30" s="93">
        <f t="shared" si="2"/>
        <v>0</v>
      </c>
      <c r="X30" s="93">
        <f t="shared" si="2"/>
        <v>0</v>
      </c>
      <c r="Y30" s="93">
        <f t="shared" si="2"/>
        <v>0</v>
      </c>
      <c r="Z30" s="93">
        <f t="shared" si="2"/>
        <v>0</v>
      </c>
    </row>
    <row r="31" spans="2:26" ht="13.5" customHeight="1">
      <c r="B31" s="67"/>
      <c r="C31" s="68"/>
      <c r="D31" s="69"/>
      <c r="E31" s="69"/>
      <c r="F31" s="70" t="s">
        <v>341</v>
      </c>
      <c r="G31" s="93"/>
      <c r="H31" s="93"/>
      <c r="I31" s="93"/>
      <c r="J31" s="93"/>
      <c r="K31" s="93"/>
      <c r="L31" s="93">
        <f>G30-L30</f>
        <v>186.5</v>
      </c>
      <c r="M31" s="93">
        <f t="shared" ref="M31:Z31" si="3">L31-M30</f>
        <v>186.5</v>
      </c>
      <c r="N31" s="93">
        <f t="shared" si="3"/>
        <v>186.5</v>
      </c>
      <c r="O31" s="93">
        <f t="shared" si="3"/>
        <v>186.5</v>
      </c>
      <c r="P31" s="93">
        <f t="shared" si="3"/>
        <v>186.5</v>
      </c>
      <c r="Q31" s="93">
        <f t="shared" si="3"/>
        <v>186.5</v>
      </c>
      <c r="R31" s="93">
        <f t="shared" si="3"/>
        <v>186.5</v>
      </c>
      <c r="S31" s="93">
        <f t="shared" si="3"/>
        <v>186.5</v>
      </c>
      <c r="T31" s="93">
        <f t="shared" si="3"/>
        <v>186.5</v>
      </c>
      <c r="U31" s="93">
        <f t="shared" si="3"/>
        <v>186.5</v>
      </c>
      <c r="V31" s="93">
        <f t="shared" si="3"/>
        <v>186.5</v>
      </c>
      <c r="W31" s="93">
        <f t="shared" si="3"/>
        <v>186.5</v>
      </c>
      <c r="X31" s="93">
        <f t="shared" si="3"/>
        <v>186.5</v>
      </c>
      <c r="Y31" s="93">
        <f t="shared" si="3"/>
        <v>186.5</v>
      </c>
      <c r="Z31" s="93">
        <f t="shared" si="3"/>
        <v>186.5</v>
      </c>
    </row>
    <row r="32" spans="2:26" ht="13.5" customHeight="1">
      <c r="B32" s="67"/>
      <c r="C32" s="68"/>
      <c r="D32" s="69"/>
      <c r="E32" s="69"/>
      <c r="F32" s="70" t="s">
        <v>342</v>
      </c>
      <c r="G32" s="93"/>
      <c r="H32" s="93"/>
      <c r="I32" s="93"/>
      <c r="J32" s="93"/>
      <c r="K32" s="93"/>
      <c r="L32" s="93">
        <f>L30</f>
        <v>0</v>
      </c>
      <c r="M32" s="93">
        <f t="shared" ref="M32:Z32" si="4">L32+M30</f>
        <v>0</v>
      </c>
      <c r="N32" s="93">
        <f t="shared" si="4"/>
        <v>0</v>
      </c>
      <c r="O32" s="93">
        <f t="shared" si="4"/>
        <v>0</v>
      </c>
      <c r="P32" s="93">
        <f t="shared" si="4"/>
        <v>0</v>
      </c>
      <c r="Q32" s="93">
        <f t="shared" si="4"/>
        <v>0</v>
      </c>
      <c r="R32" s="93">
        <f t="shared" si="4"/>
        <v>0</v>
      </c>
      <c r="S32" s="93">
        <f t="shared" si="4"/>
        <v>0</v>
      </c>
      <c r="T32" s="93">
        <f t="shared" si="4"/>
        <v>0</v>
      </c>
      <c r="U32" s="93">
        <f t="shared" si="4"/>
        <v>0</v>
      </c>
      <c r="V32" s="93">
        <f t="shared" si="4"/>
        <v>0</v>
      </c>
      <c r="W32" s="93">
        <f t="shared" si="4"/>
        <v>0</v>
      </c>
      <c r="X32" s="93">
        <f t="shared" si="4"/>
        <v>0</v>
      </c>
      <c r="Y32" s="93">
        <f t="shared" si="4"/>
        <v>0</v>
      </c>
      <c r="Z32" s="93">
        <f t="shared" si="4"/>
        <v>0</v>
      </c>
    </row>
    <row r="33" spans="2:28" ht="13.5" customHeight="1">
      <c r="B33" s="67"/>
      <c r="C33" s="68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2:28" ht="13.5" customHeight="1">
      <c r="B34" s="51"/>
      <c r="C34" s="52"/>
    </row>
    <row r="35" spans="2:28" ht="13.5" customHeight="1">
      <c r="B35" s="51"/>
      <c r="C35" s="52"/>
    </row>
    <row r="36" spans="2:28" ht="12.75" customHeight="1">
      <c r="B36" s="51"/>
      <c r="C36" s="52"/>
      <c r="J36" s="113" t="s">
        <v>343</v>
      </c>
      <c r="K36" s="113"/>
      <c r="L36" s="95">
        <v>1</v>
      </c>
      <c r="M36" s="95">
        <v>2</v>
      </c>
      <c r="N36" s="95">
        <v>3</v>
      </c>
      <c r="O36" s="95">
        <v>4</v>
      </c>
      <c r="P36" s="95">
        <v>5</v>
      </c>
      <c r="Q36" s="95">
        <v>6</v>
      </c>
      <c r="R36" s="95">
        <v>7</v>
      </c>
      <c r="S36" s="95">
        <v>8</v>
      </c>
      <c r="T36" s="95">
        <v>9</v>
      </c>
      <c r="U36" s="95">
        <v>10</v>
      </c>
      <c r="V36" s="95">
        <v>11</v>
      </c>
      <c r="W36" s="95">
        <v>12</v>
      </c>
      <c r="X36" s="95">
        <v>13</v>
      </c>
      <c r="Y36" s="95">
        <v>14</v>
      </c>
      <c r="Z36" s="95">
        <v>15</v>
      </c>
      <c r="AA36" s="111" t="s">
        <v>344</v>
      </c>
      <c r="AB36" s="111"/>
    </row>
    <row r="37" spans="2:28" ht="12.75" customHeight="1">
      <c r="B37" s="51"/>
      <c r="C37" s="52"/>
      <c r="J37" s="112" t="s">
        <v>9</v>
      </c>
      <c r="K37" s="112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52">
        <f>SUM(L37:Z37)</f>
        <v>0</v>
      </c>
    </row>
    <row r="38" spans="2:28" ht="12.75" customHeight="1">
      <c r="B38" s="51"/>
      <c r="C38" s="52"/>
      <c r="J38" s="112" t="s">
        <v>7</v>
      </c>
      <c r="K38" s="112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52">
        <f>SUM(L38:Z38)</f>
        <v>0</v>
      </c>
    </row>
    <row r="39" spans="2:28" ht="12.75" customHeight="1">
      <c r="B39" s="51"/>
      <c r="C39" s="52"/>
      <c r="J39" s="112" t="s">
        <v>13</v>
      </c>
      <c r="K39" s="112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52">
        <f>SUM(L39:Z39)</f>
        <v>0</v>
      </c>
    </row>
    <row r="40" spans="2:28" ht="12.75" customHeight="1">
      <c r="B40" s="51"/>
      <c r="C40" s="52"/>
      <c r="J40" s="112" t="s">
        <v>345</v>
      </c>
      <c r="K40" s="112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52">
        <f>SUM(L40:Z40)</f>
        <v>0</v>
      </c>
    </row>
    <row r="41" spans="2:28" ht="12.75" customHeight="1">
      <c r="B41" s="51"/>
      <c r="C41" s="52"/>
      <c r="J41" s="112" t="s">
        <v>14</v>
      </c>
      <c r="K41" s="112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52">
        <f>SUM(L41:Z41)</f>
        <v>0</v>
      </c>
    </row>
    <row r="42" spans="2:28" ht="12.75" customHeight="1">
      <c r="B42" s="51"/>
      <c r="C42" s="52"/>
      <c r="AA42" s="72">
        <f>SUM(AA37:AA41)</f>
        <v>0</v>
      </c>
    </row>
    <row r="43" spans="2:28" ht="12.75" customHeight="1">
      <c r="B43" s="51"/>
      <c r="C43" s="52"/>
      <c r="J43" s="2" t="s">
        <v>346</v>
      </c>
    </row>
    <row r="44" spans="2:28" ht="12.75" customHeight="1">
      <c r="B44" s="51"/>
      <c r="C44" s="52"/>
    </row>
    <row r="45" spans="2:28" ht="13.5" customHeight="1">
      <c r="B45" s="51"/>
      <c r="C45" s="52"/>
    </row>
    <row r="46" spans="2:28" ht="13.5" customHeight="1">
      <c r="B46" s="51"/>
      <c r="C46" s="52"/>
    </row>
    <row r="47" spans="2:28" ht="13.5" customHeight="1">
      <c r="B47" s="51"/>
      <c r="C47" s="52"/>
    </row>
    <row r="48" spans="2:28" ht="13.5" customHeight="1">
      <c r="B48" s="51"/>
      <c r="C48" s="52"/>
    </row>
    <row r="49" spans="2:3" ht="13.5" customHeight="1">
      <c r="B49" s="51"/>
      <c r="C49" s="52"/>
    </row>
    <row r="50" spans="2:3" ht="13.5" customHeight="1">
      <c r="B50" s="51"/>
      <c r="C50" s="52"/>
    </row>
    <row r="51" spans="2:3" ht="13.5" customHeight="1">
      <c r="B51" s="51"/>
      <c r="C51" s="52"/>
    </row>
    <row r="52" spans="2:3" ht="13.5" customHeight="1">
      <c r="B52" s="51"/>
      <c r="C52" s="52"/>
    </row>
    <row r="53" spans="2:3" ht="13.5" customHeight="1">
      <c r="B53" s="51"/>
      <c r="C53" s="52"/>
    </row>
    <row r="54" spans="2:3" ht="13.5" customHeight="1">
      <c r="B54" s="51"/>
      <c r="C54" s="52"/>
    </row>
    <row r="55" spans="2:3" ht="13.5" customHeight="1">
      <c r="B55" s="51"/>
      <c r="C55" s="52"/>
    </row>
    <row r="56" spans="2:3" ht="13.5" customHeight="1">
      <c r="B56" s="51"/>
      <c r="C56" s="52"/>
    </row>
    <row r="57" spans="2:3" ht="13.5" customHeight="1">
      <c r="B57" s="51"/>
      <c r="C57" s="52"/>
    </row>
    <row r="58" spans="2:3" ht="13.5" customHeight="1">
      <c r="B58" s="51"/>
      <c r="C58" s="52"/>
    </row>
    <row r="59" spans="2:3" ht="13.5" customHeight="1">
      <c r="B59" s="51"/>
      <c r="C59" s="52"/>
    </row>
    <row r="60" spans="2:3" ht="13.5" customHeight="1">
      <c r="B60" s="51"/>
      <c r="C60" s="52"/>
    </row>
    <row r="61" spans="2:3" ht="13.5" customHeight="1">
      <c r="B61" s="51"/>
      <c r="C61" s="52"/>
    </row>
    <row r="62" spans="2:3" ht="13.5" customHeight="1">
      <c r="B62" s="51"/>
      <c r="C62" s="52"/>
    </row>
    <row r="63" spans="2:3" ht="13.5" customHeight="1">
      <c r="B63" s="51"/>
      <c r="C63" s="52"/>
    </row>
    <row r="64" spans="2:3" ht="13.5" customHeight="1">
      <c r="B64" s="51"/>
      <c r="C64" s="52"/>
    </row>
    <row r="65" spans="2:3" ht="13.5" customHeight="1">
      <c r="B65" s="51"/>
      <c r="C65" s="52"/>
    </row>
    <row r="66" spans="2:3" ht="13.5" customHeight="1">
      <c r="B66" s="51"/>
      <c r="C66" s="52"/>
    </row>
    <row r="67" spans="2:3" ht="13.5" customHeight="1">
      <c r="B67" s="51"/>
      <c r="C67" s="52"/>
    </row>
    <row r="68" spans="2:3" ht="13.5" customHeight="1">
      <c r="B68" s="51"/>
      <c r="C68" s="52"/>
    </row>
    <row r="69" spans="2:3" ht="13.5" customHeight="1">
      <c r="B69" s="51"/>
      <c r="C69" s="52"/>
    </row>
    <row r="70" spans="2:3" ht="13.5" customHeight="1">
      <c r="B70" s="51"/>
      <c r="C70" s="52"/>
    </row>
    <row r="71" spans="2:3" ht="13.5" customHeight="1">
      <c r="B71" s="51"/>
      <c r="C71" s="52"/>
    </row>
    <row r="72" spans="2:3" ht="13.5" customHeight="1">
      <c r="B72" s="51"/>
      <c r="C72" s="52"/>
    </row>
    <row r="73" spans="2:3" ht="13.5" customHeight="1">
      <c r="B73" s="51"/>
      <c r="C73" s="52"/>
    </row>
    <row r="74" spans="2:3" ht="13.5" customHeight="1">
      <c r="B74" s="51"/>
      <c r="C74" s="52"/>
    </row>
    <row r="75" spans="2:3" ht="13.5" customHeight="1">
      <c r="B75" s="51"/>
      <c r="C75" s="52"/>
    </row>
    <row r="76" spans="2:3" ht="13.5" customHeight="1">
      <c r="B76" s="51"/>
      <c r="C76" s="52"/>
    </row>
    <row r="77" spans="2:3" ht="13.5" customHeight="1">
      <c r="B77" s="51"/>
      <c r="C77" s="52"/>
    </row>
    <row r="78" spans="2:3" ht="13.5" customHeight="1">
      <c r="B78" s="51"/>
      <c r="C78" s="52"/>
    </row>
    <row r="79" spans="2:3" ht="13.5" customHeight="1">
      <c r="B79" s="51"/>
      <c r="C79" s="52"/>
    </row>
    <row r="80" spans="2:3" ht="13.5" customHeight="1">
      <c r="B80" s="51"/>
      <c r="C80" s="52"/>
    </row>
    <row r="81" spans="2:3" ht="13.5" customHeight="1">
      <c r="B81" s="51"/>
      <c r="C81" s="52"/>
    </row>
    <row r="82" spans="2:3" ht="13.5" customHeight="1">
      <c r="B82" s="51"/>
      <c r="C82" s="52"/>
    </row>
    <row r="83" spans="2:3" ht="13.5" customHeight="1">
      <c r="B83" s="51"/>
      <c r="C83" s="52"/>
    </row>
    <row r="84" spans="2:3" ht="13.5" customHeight="1">
      <c r="B84" s="51"/>
      <c r="C84" s="52"/>
    </row>
    <row r="85" spans="2:3" ht="13.5" customHeight="1">
      <c r="B85" s="51"/>
      <c r="C85" s="52"/>
    </row>
    <row r="86" spans="2:3" ht="13.5" customHeight="1">
      <c r="B86" s="51"/>
      <c r="C86" s="52"/>
    </row>
    <row r="87" spans="2:3" ht="13.5" customHeight="1">
      <c r="B87" s="51"/>
      <c r="C87" s="52"/>
    </row>
    <row r="88" spans="2:3" ht="13.5" customHeight="1">
      <c r="B88" s="51"/>
      <c r="C88" s="52"/>
    </row>
    <row r="89" spans="2:3" ht="13.5" customHeight="1">
      <c r="B89" s="51"/>
      <c r="C89" s="52"/>
    </row>
    <row r="90" spans="2:3" ht="13.5" customHeight="1">
      <c r="B90" s="51"/>
      <c r="C90" s="52"/>
    </row>
    <row r="91" spans="2:3" ht="13.5" customHeight="1">
      <c r="B91" s="51"/>
      <c r="C91" s="52"/>
    </row>
    <row r="92" spans="2:3" ht="13.5" customHeight="1">
      <c r="B92" s="51"/>
      <c r="C92" s="52"/>
    </row>
    <row r="93" spans="2:3" ht="13.5" customHeight="1">
      <c r="B93" s="51"/>
      <c r="C93" s="52"/>
    </row>
    <row r="94" spans="2:3" ht="13.5" customHeight="1">
      <c r="B94" s="51"/>
      <c r="C94" s="52"/>
    </row>
    <row r="95" spans="2:3" ht="13.5" customHeight="1">
      <c r="B95" s="51"/>
      <c r="C95" s="52"/>
    </row>
    <row r="96" spans="2:3" ht="13.5" customHeight="1">
      <c r="B96" s="51"/>
      <c r="C96" s="52"/>
    </row>
    <row r="97" spans="2:3" ht="13.5" customHeight="1">
      <c r="B97" s="51"/>
      <c r="C97" s="52"/>
    </row>
    <row r="98" spans="2:3" ht="13.5" customHeight="1">
      <c r="B98" s="51"/>
      <c r="C98" s="52"/>
    </row>
    <row r="99" spans="2:3" ht="13.5" customHeight="1">
      <c r="B99" s="51"/>
      <c r="C99" s="52"/>
    </row>
    <row r="100" spans="2:3" ht="13.5" customHeight="1">
      <c r="B100" s="51"/>
      <c r="C100" s="52"/>
    </row>
    <row r="101" spans="2:3" ht="13.5" customHeight="1">
      <c r="B101" s="51"/>
      <c r="C101" s="52"/>
    </row>
    <row r="102" spans="2:3" ht="13.5" customHeight="1">
      <c r="B102" s="51"/>
      <c r="C102" s="52"/>
    </row>
    <row r="103" spans="2:3" ht="13.5" customHeight="1">
      <c r="B103" s="51"/>
      <c r="C103" s="52"/>
    </row>
    <row r="104" spans="2:3" ht="13.5" customHeight="1">
      <c r="B104" s="51"/>
      <c r="C104" s="52"/>
    </row>
    <row r="105" spans="2:3" ht="13.5" customHeight="1">
      <c r="B105" s="51"/>
      <c r="C105" s="52"/>
    </row>
    <row r="106" spans="2:3" ht="13.5" customHeight="1">
      <c r="B106" s="51"/>
      <c r="C106" s="52"/>
    </row>
    <row r="107" spans="2:3" ht="13.5" customHeight="1">
      <c r="B107" s="51"/>
      <c r="C107" s="52"/>
    </row>
    <row r="108" spans="2:3" ht="13.5" customHeight="1">
      <c r="B108" s="51"/>
      <c r="C108" s="52"/>
    </row>
    <row r="109" spans="2:3" ht="13.5" customHeight="1">
      <c r="B109" s="51"/>
      <c r="C109" s="52"/>
    </row>
    <row r="110" spans="2:3" ht="13.5" customHeight="1">
      <c r="B110" s="51"/>
      <c r="C110" s="52"/>
    </row>
    <row r="111" spans="2:3" ht="13.5" customHeight="1">
      <c r="B111" s="51"/>
      <c r="C111" s="52"/>
    </row>
    <row r="112" spans="2:3" ht="13.5" customHeight="1">
      <c r="B112" s="51"/>
      <c r="C112" s="52"/>
    </row>
    <row r="113" spans="2:3" ht="13.5" customHeight="1">
      <c r="B113" s="51"/>
      <c r="C113" s="52"/>
    </row>
    <row r="114" spans="2:3" ht="13.5" customHeight="1">
      <c r="B114" s="51"/>
      <c r="C114" s="52"/>
    </row>
    <row r="115" spans="2:3" ht="13.5" customHeight="1">
      <c r="B115" s="51"/>
      <c r="C115" s="52"/>
    </row>
    <row r="116" spans="2:3" ht="13.5" customHeight="1">
      <c r="B116" s="51"/>
      <c r="C116" s="52"/>
    </row>
    <row r="117" spans="2:3" ht="13.5" customHeight="1">
      <c r="B117" s="51"/>
      <c r="C117" s="52"/>
    </row>
    <row r="118" spans="2:3" ht="13.5" customHeight="1">
      <c r="B118" s="51"/>
      <c r="C118" s="52"/>
    </row>
    <row r="119" spans="2:3" ht="13.5" customHeight="1">
      <c r="B119" s="51"/>
      <c r="C119" s="52"/>
    </row>
    <row r="120" spans="2:3" ht="13.5" customHeight="1">
      <c r="B120" s="51"/>
      <c r="C120" s="52"/>
    </row>
    <row r="121" spans="2:3" ht="13.5" customHeight="1">
      <c r="B121" s="51"/>
      <c r="C121" s="52"/>
    </row>
    <row r="122" spans="2:3" ht="13.5" customHeight="1">
      <c r="B122" s="51"/>
      <c r="C122" s="52"/>
    </row>
    <row r="123" spans="2:3" ht="13.5" customHeight="1">
      <c r="B123" s="51"/>
      <c r="C123" s="52"/>
    </row>
    <row r="124" spans="2:3" ht="13.5" customHeight="1">
      <c r="B124" s="51"/>
      <c r="C124" s="52"/>
    </row>
    <row r="125" spans="2:3" ht="13.5" customHeight="1">
      <c r="B125" s="51"/>
      <c r="C125" s="52"/>
    </row>
    <row r="126" spans="2:3" ht="13.5" customHeight="1">
      <c r="B126" s="51"/>
      <c r="C126" s="52"/>
    </row>
    <row r="127" spans="2:3" ht="13.5" customHeight="1">
      <c r="B127" s="51"/>
      <c r="C127" s="52"/>
    </row>
    <row r="128" spans="2:3" ht="13.5" customHeight="1">
      <c r="B128" s="51"/>
      <c r="C128" s="52"/>
    </row>
    <row r="129" spans="2:3" ht="13.5" customHeight="1">
      <c r="B129" s="51"/>
      <c r="C129" s="52"/>
    </row>
    <row r="130" spans="2:3" ht="13.5" customHeight="1">
      <c r="B130" s="51"/>
      <c r="C130" s="52"/>
    </row>
    <row r="131" spans="2:3" ht="13.5" customHeight="1">
      <c r="B131" s="51"/>
      <c r="C131" s="52"/>
    </row>
    <row r="132" spans="2:3" ht="13.5" customHeight="1">
      <c r="B132" s="51"/>
      <c r="C132" s="52"/>
    </row>
    <row r="133" spans="2:3" ht="13.5" customHeight="1">
      <c r="B133" s="51"/>
      <c r="C133" s="52"/>
    </row>
    <row r="134" spans="2:3" ht="13.5" customHeight="1">
      <c r="B134" s="51"/>
      <c r="C134" s="52"/>
    </row>
    <row r="135" spans="2:3" ht="13.5" customHeight="1">
      <c r="B135" s="51"/>
      <c r="C135" s="52"/>
    </row>
    <row r="136" spans="2:3" ht="13.5" customHeight="1">
      <c r="B136" s="51"/>
      <c r="C136" s="52"/>
    </row>
    <row r="137" spans="2:3" ht="13.5" customHeight="1">
      <c r="B137" s="51"/>
      <c r="C137" s="52"/>
    </row>
    <row r="138" spans="2:3" ht="13.5" customHeight="1">
      <c r="B138" s="51"/>
      <c r="C138" s="52"/>
    </row>
    <row r="139" spans="2:3" ht="13.5" customHeight="1">
      <c r="B139" s="51"/>
      <c r="C139" s="52"/>
    </row>
    <row r="140" spans="2:3" ht="13.5" customHeight="1">
      <c r="B140" s="51"/>
      <c r="C140" s="52"/>
    </row>
    <row r="141" spans="2:3" ht="13.5" customHeight="1">
      <c r="B141" s="51"/>
      <c r="C141" s="52"/>
    </row>
    <row r="142" spans="2:3" ht="13.5" customHeight="1">
      <c r="B142" s="51"/>
      <c r="C142" s="52"/>
    </row>
    <row r="143" spans="2:3" ht="13.5" customHeight="1">
      <c r="B143" s="51"/>
      <c r="C143" s="52"/>
    </row>
    <row r="144" spans="2:3" ht="13.5" customHeight="1">
      <c r="B144" s="51"/>
      <c r="C144" s="52"/>
    </row>
    <row r="145" spans="2:3" ht="13.5" customHeight="1">
      <c r="B145" s="51"/>
      <c r="C145" s="52"/>
    </row>
    <row r="146" spans="2:3" ht="13.5" customHeight="1">
      <c r="B146" s="51"/>
      <c r="C146" s="52"/>
    </row>
    <row r="147" spans="2:3" ht="13.5" customHeight="1">
      <c r="B147" s="51"/>
      <c r="C147" s="52"/>
    </row>
    <row r="148" spans="2:3" ht="13.5" customHeight="1">
      <c r="B148" s="51"/>
      <c r="C148" s="52"/>
    </row>
    <row r="149" spans="2:3" ht="13.5" customHeight="1">
      <c r="B149" s="51"/>
      <c r="C149" s="52"/>
    </row>
    <row r="150" spans="2:3" ht="13.5" customHeight="1">
      <c r="B150" s="51"/>
      <c r="C150" s="52"/>
    </row>
    <row r="151" spans="2:3" ht="13.5" customHeight="1">
      <c r="B151" s="51"/>
      <c r="C151" s="52"/>
    </row>
    <row r="152" spans="2:3" ht="13.5" customHeight="1">
      <c r="B152" s="51"/>
      <c r="C152" s="52"/>
    </row>
    <row r="153" spans="2:3" ht="13.5" customHeight="1">
      <c r="B153" s="51"/>
      <c r="C153" s="52"/>
    </row>
    <row r="154" spans="2:3" ht="13.5" customHeight="1">
      <c r="B154" s="51"/>
      <c r="C154" s="52"/>
    </row>
    <row r="155" spans="2:3" ht="13.5" customHeight="1">
      <c r="B155" s="51"/>
      <c r="C155" s="52"/>
    </row>
    <row r="156" spans="2:3" ht="13.5" customHeight="1">
      <c r="B156" s="51"/>
      <c r="C156" s="52"/>
    </row>
    <row r="157" spans="2:3" ht="13.5" customHeight="1">
      <c r="B157" s="51"/>
      <c r="C157" s="52"/>
    </row>
    <row r="158" spans="2:3" ht="13.5" customHeight="1">
      <c r="B158" s="51"/>
      <c r="C158" s="52"/>
    </row>
    <row r="159" spans="2:3" ht="13.5" customHeight="1">
      <c r="B159" s="51"/>
      <c r="C159" s="52"/>
    </row>
    <row r="160" spans="2:3" ht="13.5" customHeight="1">
      <c r="B160" s="51"/>
      <c r="C160" s="52"/>
    </row>
    <row r="161" spans="2:3" ht="13.5" customHeight="1">
      <c r="B161" s="51"/>
      <c r="C161" s="52"/>
    </row>
    <row r="162" spans="2:3" ht="13.5" customHeight="1">
      <c r="B162" s="51"/>
      <c r="C162" s="52"/>
    </row>
    <row r="163" spans="2:3" ht="13.5" customHeight="1">
      <c r="B163" s="51"/>
      <c r="C163" s="52"/>
    </row>
    <row r="164" spans="2:3" ht="13.5" customHeight="1">
      <c r="B164" s="51"/>
      <c r="C164" s="52"/>
    </row>
    <row r="165" spans="2:3" ht="13.5" customHeight="1">
      <c r="B165" s="51"/>
      <c r="C165" s="52"/>
    </row>
    <row r="166" spans="2:3" ht="13.5" customHeight="1">
      <c r="B166" s="51"/>
      <c r="C166" s="52"/>
    </row>
    <row r="167" spans="2:3" ht="13.5" customHeight="1">
      <c r="B167" s="51"/>
      <c r="C167" s="52"/>
    </row>
    <row r="168" spans="2:3" ht="13.5" customHeight="1">
      <c r="B168" s="51"/>
      <c r="C168" s="52"/>
    </row>
    <row r="169" spans="2:3" ht="13.5" customHeight="1">
      <c r="B169" s="51"/>
      <c r="C169" s="52"/>
    </row>
    <row r="170" spans="2:3" ht="13.5" customHeight="1">
      <c r="B170" s="51"/>
      <c r="C170" s="52"/>
    </row>
    <row r="171" spans="2:3" ht="13.5" customHeight="1">
      <c r="B171" s="51"/>
      <c r="C171" s="52"/>
    </row>
    <row r="172" spans="2:3" ht="13.5" customHeight="1">
      <c r="B172" s="51"/>
      <c r="C172" s="52"/>
    </row>
    <row r="173" spans="2:3" ht="13.5" customHeight="1">
      <c r="B173" s="51"/>
      <c r="C173" s="52"/>
    </row>
    <row r="174" spans="2:3" ht="13.5" customHeight="1">
      <c r="B174" s="51"/>
      <c r="C174" s="52"/>
    </row>
    <row r="175" spans="2:3" ht="13.5" customHeight="1">
      <c r="B175" s="51"/>
      <c r="C175" s="52"/>
    </row>
    <row r="176" spans="2:3" ht="13.5" customHeight="1">
      <c r="B176" s="51"/>
      <c r="C176" s="52"/>
    </row>
    <row r="177" spans="2:3" ht="13.5" customHeight="1">
      <c r="B177" s="51"/>
      <c r="C177" s="52"/>
    </row>
    <row r="178" spans="2:3" ht="13.5" customHeight="1">
      <c r="B178" s="51"/>
      <c r="C178" s="52"/>
    </row>
    <row r="179" spans="2:3" ht="13.5" customHeight="1">
      <c r="B179" s="51"/>
      <c r="C179" s="52"/>
    </row>
    <row r="180" spans="2:3" ht="13.5" customHeight="1">
      <c r="B180" s="51"/>
      <c r="C180" s="52"/>
    </row>
    <row r="181" spans="2:3" ht="13.5" customHeight="1">
      <c r="B181" s="51"/>
      <c r="C181" s="52"/>
    </row>
    <row r="182" spans="2:3" ht="13.5" customHeight="1">
      <c r="B182" s="51"/>
      <c r="C182" s="52"/>
    </row>
    <row r="183" spans="2:3" ht="13.5" customHeight="1">
      <c r="B183" s="51"/>
      <c r="C183" s="52"/>
    </row>
    <row r="184" spans="2:3" ht="13.5" customHeight="1">
      <c r="B184" s="51"/>
      <c r="C184" s="52"/>
    </row>
    <row r="185" spans="2:3" ht="13.5" customHeight="1">
      <c r="B185" s="51"/>
      <c r="C185" s="52"/>
    </row>
    <row r="186" spans="2:3" ht="13.5" customHeight="1">
      <c r="B186" s="51"/>
      <c r="C186" s="52"/>
    </row>
    <row r="187" spans="2:3" ht="13.5" customHeight="1">
      <c r="B187" s="51"/>
      <c r="C187" s="52"/>
    </row>
    <row r="188" spans="2:3" ht="13.5" customHeight="1">
      <c r="B188" s="51"/>
      <c r="C188" s="52"/>
    </row>
    <row r="189" spans="2:3" ht="13.5" customHeight="1">
      <c r="B189" s="51"/>
      <c r="C189" s="52"/>
    </row>
    <row r="190" spans="2:3" ht="13.5" customHeight="1">
      <c r="B190" s="51"/>
      <c r="C190" s="52"/>
    </row>
    <row r="191" spans="2:3" ht="13.5" customHeight="1">
      <c r="B191" s="51"/>
      <c r="C191" s="52"/>
    </row>
    <row r="192" spans="2:3" ht="13.5" customHeight="1">
      <c r="B192" s="51"/>
      <c r="C192" s="52"/>
    </row>
    <row r="193" spans="2:3" ht="13.5" customHeight="1">
      <c r="B193" s="51"/>
      <c r="C193" s="52"/>
    </row>
    <row r="194" spans="2:3" ht="13.5" customHeight="1">
      <c r="B194" s="51"/>
      <c r="C194" s="52"/>
    </row>
    <row r="195" spans="2:3" ht="13.5" customHeight="1">
      <c r="B195" s="51"/>
      <c r="C195" s="52"/>
    </row>
    <row r="196" spans="2:3" ht="13.5" customHeight="1">
      <c r="B196" s="51"/>
      <c r="C196" s="52"/>
    </row>
    <row r="197" spans="2:3" ht="13.5" customHeight="1">
      <c r="B197" s="51"/>
      <c r="C197" s="52"/>
    </row>
    <row r="198" spans="2:3" ht="13.5" customHeight="1">
      <c r="B198" s="51"/>
      <c r="C198" s="52"/>
    </row>
    <row r="199" spans="2:3" ht="13.5" customHeight="1">
      <c r="B199" s="51"/>
      <c r="C199" s="52"/>
    </row>
    <row r="200" spans="2:3" ht="13.5" customHeight="1">
      <c r="B200" s="51"/>
      <c r="C200" s="52"/>
    </row>
    <row r="201" spans="2:3" ht="13.5" customHeight="1">
      <c r="B201" s="51"/>
      <c r="C201" s="52"/>
    </row>
    <row r="202" spans="2:3" ht="13.5" customHeight="1">
      <c r="B202" s="51"/>
      <c r="C202" s="52"/>
    </row>
    <row r="203" spans="2:3" ht="13.5" customHeight="1">
      <c r="B203" s="51"/>
      <c r="C203" s="52"/>
    </row>
    <row r="204" spans="2:3" ht="13.5" customHeight="1">
      <c r="B204" s="51"/>
      <c r="C204" s="52"/>
    </row>
    <row r="205" spans="2:3" ht="13.5" customHeight="1">
      <c r="B205" s="51"/>
      <c r="C205" s="52"/>
    </row>
    <row r="206" spans="2:3" ht="13.5" customHeight="1">
      <c r="B206" s="51"/>
      <c r="C206" s="52"/>
    </row>
    <row r="207" spans="2:3" ht="13.5" customHeight="1">
      <c r="B207" s="51"/>
      <c r="C207" s="52"/>
    </row>
    <row r="208" spans="2:3" ht="13.5" customHeight="1">
      <c r="B208" s="51"/>
      <c r="C208" s="52"/>
    </row>
    <row r="209" spans="2:3" ht="13.5" customHeight="1">
      <c r="B209" s="51"/>
      <c r="C209" s="52"/>
    </row>
    <row r="210" spans="2:3" ht="13.5" customHeight="1">
      <c r="B210" s="51"/>
      <c r="C210" s="52"/>
    </row>
    <row r="211" spans="2:3" ht="13.5" customHeight="1">
      <c r="B211" s="51"/>
      <c r="C211" s="52"/>
    </row>
    <row r="212" spans="2:3" ht="13.5" customHeight="1">
      <c r="B212" s="51"/>
      <c r="C212" s="52"/>
    </row>
    <row r="213" spans="2:3" ht="13.5" customHeight="1">
      <c r="B213" s="51"/>
      <c r="C213" s="52"/>
    </row>
    <row r="214" spans="2:3" ht="13.5" customHeight="1">
      <c r="B214" s="51"/>
      <c r="C214" s="52"/>
    </row>
    <row r="215" spans="2:3" ht="13.5" customHeight="1">
      <c r="B215" s="51"/>
      <c r="C215" s="52"/>
    </row>
    <row r="216" spans="2:3" ht="13.5" customHeight="1">
      <c r="B216" s="51"/>
      <c r="C216" s="52"/>
    </row>
    <row r="217" spans="2:3" ht="13.5" customHeight="1">
      <c r="B217" s="51"/>
      <c r="C217" s="52"/>
    </row>
    <row r="218" spans="2:3" ht="13.5" customHeight="1">
      <c r="B218" s="51"/>
      <c r="C218" s="52"/>
    </row>
    <row r="219" spans="2:3" ht="13.5" customHeight="1">
      <c r="B219" s="51"/>
      <c r="C219" s="52"/>
    </row>
    <row r="220" spans="2:3" ht="13.5" customHeight="1">
      <c r="B220" s="51"/>
      <c r="C220" s="52"/>
    </row>
    <row r="221" spans="2:3" ht="13.5" customHeight="1">
      <c r="B221" s="51"/>
      <c r="C221" s="52"/>
    </row>
    <row r="222" spans="2:3" ht="13.5" customHeight="1">
      <c r="B222" s="51"/>
      <c r="C222" s="52"/>
    </row>
    <row r="223" spans="2:3" ht="13.5" customHeight="1">
      <c r="B223" s="51"/>
      <c r="C223" s="52"/>
    </row>
    <row r="224" spans="2:3" ht="13.5" customHeight="1">
      <c r="B224" s="51"/>
      <c r="C224" s="52"/>
    </row>
    <row r="225" spans="2:3" ht="13.5" customHeight="1">
      <c r="B225" s="51"/>
      <c r="C225" s="52"/>
    </row>
    <row r="226" spans="2:3" ht="13.5" customHeight="1">
      <c r="B226" s="51"/>
      <c r="C226" s="52"/>
    </row>
    <row r="227" spans="2:3" ht="13.5" customHeight="1">
      <c r="B227" s="51"/>
      <c r="C227" s="52"/>
    </row>
    <row r="228" spans="2:3" ht="13.5" customHeight="1">
      <c r="B228" s="51"/>
      <c r="C228" s="52"/>
    </row>
    <row r="229" spans="2:3" ht="13.5" customHeight="1">
      <c r="B229" s="51"/>
      <c r="C229" s="52"/>
    </row>
    <row r="230" spans="2:3" ht="13.5" customHeight="1">
      <c r="B230" s="51"/>
      <c r="C230" s="52"/>
    </row>
    <row r="231" spans="2:3" ht="13.5" customHeight="1">
      <c r="B231" s="51"/>
      <c r="C231" s="52"/>
    </row>
    <row r="232" spans="2:3" ht="13.5" customHeight="1">
      <c r="B232" s="51"/>
      <c r="C232" s="52"/>
    </row>
    <row r="233" spans="2:3" ht="13.5" customHeight="1">
      <c r="B233" s="51"/>
      <c r="C233" s="52"/>
    </row>
    <row r="234" spans="2:3" ht="13.5" customHeight="1">
      <c r="B234" s="51"/>
      <c r="C234" s="52"/>
    </row>
    <row r="235" spans="2:3" ht="13.5" customHeight="1">
      <c r="B235" s="51"/>
      <c r="C235" s="52"/>
    </row>
    <row r="236" spans="2:3" ht="13.5" customHeight="1">
      <c r="B236" s="51"/>
      <c r="C236" s="52"/>
    </row>
    <row r="237" spans="2:3" ht="13.5" customHeight="1">
      <c r="B237" s="51"/>
      <c r="C237" s="52"/>
    </row>
    <row r="238" spans="2:3" ht="13.5" customHeight="1">
      <c r="B238" s="51"/>
      <c r="C238" s="52"/>
    </row>
    <row r="239" spans="2:3" ht="13.5" customHeight="1">
      <c r="B239" s="51"/>
      <c r="C239" s="52"/>
    </row>
    <row r="240" spans="2:3" ht="13.5" customHeight="1">
      <c r="B240" s="51"/>
      <c r="C240" s="52"/>
    </row>
    <row r="241" spans="2:3" ht="13.5" customHeight="1">
      <c r="B241" s="51"/>
      <c r="C241" s="52"/>
    </row>
    <row r="242" spans="2:3" ht="13.5" customHeight="1">
      <c r="B242" s="51"/>
      <c r="C242" s="52"/>
    </row>
    <row r="243" spans="2:3" ht="13.5" customHeight="1">
      <c r="B243" s="51"/>
      <c r="C243" s="52"/>
    </row>
    <row r="244" spans="2:3" ht="13.5" customHeight="1">
      <c r="B244" s="51"/>
      <c r="C244" s="52"/>
    </row>
    <row r="245" spans="2:3" ht="13.5" customHeight="1">
      <c r="B245" s="51"/>
      <c r="C245" s="52"/>
    </row>
    <row r="246" spans="2:3" ht="13.5" customHeight="1">
      <c r="B246" s="51"/>
      <c r="C246" s="52"/>
    </row>
    <row r="247" spans="2:3" ht="13.5" customHeight="1">
      <c r="B247" s="51"/>
      <c r="C247" s="52"/>
    </row>
    <row r="248" spans="2:3" ht="13.5" customHeight="1">
      <c r="B248" s="51"/>
      <c r="C248" s="52"/>
    </row>
    <row r="249" spans="2:3" ht="13.5" customHeight="1">
      <c r="B249" s="51"/>
      <c r="C249" s="52"/>
    </row>
    <row r="250" spans="2:3" ht="13.5" customHeight="1">
      <c r="B250" s="51"/>
      <c r="C250" s="52"/>
    </row>
    <row r="251" spans="2:3" ht="13.5" customHeight="1">
      <c r="B251" s="51"/>
      <c r="C251" s="52"/>
    </row>
    <row r="252" spans="2:3" ht="13.5" customHeight="1">
      <c r="B252" s="51"/>
      <c r="C252" s="52"/>
    </row>
    <row r="253" spans="2:3" ht="13.5" customHeight="1">
      <c r="B253" s="51"/>
      <c r="C253" s="52"/>
    </row>
    <row r="254" spans="2:3" ht="13.5" customHeight="1">
      <c r="B254" s="51"/>
      <c r="C254" s="52"/>
    </row>
    <row r="255" spans="2:3" ht="13.5" customHeight="1">
      <c r="B255" s="51"/>
      <c r="C255" s="52"/>
    </row>
    <row r="256" spans="2:3" ht="13.5" customHeight="1">
      <c r="B256" s="51"/>
      <c r="C256" s="52"/>
    </row>
    <row r="257" spans="2:3" ht="13.5" customHeight="1">
      <c r="B257" s="51"/>
      <c r="C257" s="52"/>
    </row>
    <row r="258" spans="2:3" ht="13.5" customHeight="1">
      <c r="B258" s="51"/>
      <c r="C258" s="52"/>
    </row>
    <row r="259" spans="2:3" ht="13.5" customHeight="1">
      <c r="B259" s="51"/>
      <c r="C259" s="52"/>
    </row>
    <row r="260" spans="2:3" ht="13.5" customHeight="1">
      <c r="B260" s="51"/>
      <c r="C260" s="52"/>
    </row>
    <row r="261" spans="2:3" ht="13.5" customHeight="1">
      <c r="B261" s="51"/>
      <c r="C261" s="52"/>
    </row>
    <row r="262" spans="2:3" ht="13.5" customHeight="1">
      <c r="B262" s="51"/>
      <c r="C262" s="52"/>
    </row>
    <row r="263" spans="2:3" ht="13.5" customHeight="1">
      <c r="B263" s="51"/>
      <c r="C263" s="52"/>
    </row>
    <row r="264" spans="2:3" ht="13.5" customHeight="1">
      <c r="B264" s="51"/>
      <c r="C264" s="52"/>
    </row>
    <row r="265" spans="2:3" ht="13.5" customHeight="1">
      <c r="B265" s="51"/>
      <c r="C265" s="52"/>
    </row>
    <row r="266" spans="2:3" ht="13.5" customHeight="1">
      <c r="B266" s="51"/>
      <c r="C266" s="52"/>
    </row>
    <row r="267" spans="2:3" ht="13.5" customHeight="1">
      <c r="B267" s="51"/>
      <c r="C267" s="52"/>
    </row>
    <row r="268" spans="2:3" ht="13.5" customHeight="1">
      <c r="B268" s="51"/>
      <c r="C268" s="52"/>
    </row>
    <row r="269" spans="2:3" ht="13.5" customHeight="1">
      <c r="B269" s="51"/>
      <c r="C269" s="52"/>
    </row>
    <row r="270" spans="2:3" ht="13.5" customHeight="1">
      <c r="B270" s="51"/>
      <c r="C270" s="52"/>
    </row>
    <row r="271" spans="2:3" ht="13.5" customHeight="1">
      <c r="B271" s="51"/>
      <c r="C271" s="52"/>
    </row>
    <row r="272" spans="2:3" ht="13.5" customHeight="1">
      <c r="B272" s="51"/>
      <c r="C272" s="52"/>
    </row>
    <row r="273" spans="2:3" ht="13.5" customHeight="1">
      <c r="B273" s="51"/>
      <c r="C273" s="52"/>
    </row>
    <row r="274" spans="2:3" ht="13.5" customHeight="1">
      <c r="B274" s="51"/>
      <c r="C274" s="52"/>
    </row>
    <row r="275" spans="2:3" ht="13.5" customHeight="1">
      <c r="B275" s="51"/>
      <c r="C275" s="52"/>
    </row>
    <row r="276" spans="2:3" ht="13.5" customHeight="1">
      <c r="B276" s="51"/>
      <c r="C276" s="52"/>
    </row>
    <row r="277" spans="2:3" ht="13.5" customHeight="1">
      <c r="B277" s="51"/>
      <c r="C277" s="52"/>
    </row>
    <row r="278" spans="2:3" ht="13.5" customHeight="1">
      <c r="B278" s="51"/>
      <c r="C278" s="52"/>
    </row>
    <row r="279" spans="2:3" ht="13.5" customHeight="1">
      <c r="B279" s="51"/>
      <c r="C279" s="52"/>
    </row>
    <row r="280" spans="2:3" ht="13.5" customHeight="1">
      <c r="B280" s="51"/>
      <c r="C280" s="52"/>
    </row>
    <row r="281" spans="2:3" ht="13.5" customHeight="1">
      <c r="B281" s="51"/>
      <c r="C281" s="52"/>
    </row>
    <row r="282" spans="2:3" ht="13.5" customHeight="1">
      <c r="B282" s="51"/>
      <c r="C282" s="52"/>
    </row>
    <row r="283" spans="2:3" ht="13.5" customHeight="1">
      <c r="B283" s="51"/>
      <c r="C283" s="52"/>
    </row>
    <row r="284" spans="2:3" ht="13.5" customHeight="1">
      <c r="B284" s="51"/>
      <c r="C284" s="52"/>
    </row>
    <row r="285" spans="2:3" ht="13.5" customHeight="1">
      <c r="B285" s="51"/>
      <c r="C285" s="52"/>
    </row>
    <row r="286" spans="2:3" ht="13.5" customHeight="1">
      <c r="B286" s="51"/>
      <c r="C286" s="52"/>
    </row>
    <row r="287" spans="2:3" ht="13.5" customHeight="1">
      <c r="B287" s="51"/>
      <c r="C287" s="52"/>
    </row>
    <row r="288" spans="2:3" ht="13.5" customHeight="1">
      <c r="B288" s="51"/>
      <c r="C288" s="52"/>
    </row>
    <row r="289" spans="2:3" ht="13.5" customHeight="1">
      <c r="B289" s="51"/>
      <c r="C289" s="52"/>
    </row>
    <row r="290" spans="2:3" ht="13.5" customHeight="1">
      <c r="B290" s="51"/>
      <c r="C290" s="52"/>
    </row>
    <row r="291" spans="2:3" ht="13.5" customHeight="1">
      <c r="B291" s="51"/>
      <c r="C291" s="52"/>
    </row>
    <row r="292" spans="2:3" ht="13.5" customHeight="1">
      <c r="B292" s="51"/>
      <c r="C292" s="52"/>
    </row>
    <row r="293" spans="2:3" ht="13.5" customHeight="1">
      <c r="B293" s="51"/>
      <c r="C293" s="52"/>
    </row>
    <row r="294" spans="2:3" ht="13.5" customHeight="1">
      <c r="B294" s="51"/>
      <c r="C294" s="52"/>
    </row>
    <row r="295" spans="2:3" ht="13.5" customHeight="1">
      <c r="B295" s="51"/>
      <c r="C295" s="52"/>
    </row>
    <row r="296" spans="2:3" ht="13.5" customHeight="1">
      <c r="B296" s="51"/>
      <c r="C296" s="52"/>
    </row>
    <row r="297" spans="2:3" ht="13.5" customHeight="1">
      <c r="B297" s="51"/>
      <c r="C297" s="52"/>
    </row>
    <row r="298" spans="2:3" ht="13.5" customHeight="1">
      <c r="B298" s="51"/>
      <c r="C298" s="52"/>
    </row>
    <row r="299" spans="2:3" ht="13.5" customHeight="1">
      <c r="B299" s="51"/>
      <c r="C299" s="52"/>
    </row>
    <row r="300" spans="2:3" ht="13.5" customHeight="1">
      <c r="B300" s="51"/>
      <c r="C300" s="52"/>
    </row>
    <row r="301" spans="2:3" ht="13.5" customHeight="1">
      <c r="B301" s="51"/>
      <c r="C301" s="52"/>
    </row>
    <row r="302" spans="2:3" ht="13.5" customHeight="1">
      <c r="B302" s="51"/>
      <c r="C302" s="52"/>
    </row>
    <row r="303" spans="2:3" ht="13.5" customHeight="1">
      <c r="B303" s="51"/>
      <c r="C303" s="52"/>
    </row>
    <row r="304" spans="2:3" ht="13.5" customHeight="1">
      <c r="B304" s="51"/>
      <c r="C304" s="52"/>
    </row>
    <row r="305" spans="2:3" ht="13.5" customHeight="1">
      <c r="B305" s="51"/>
      <c r="C305" s="52"/>
    </row>
    <row r="306" spans="2:3" ht="13.5" customHeight="1">
      <c r="B306" s="51"/>
      <c r="C306" s="52"/>
    </row>
    <row r="307" spans="2:3" ht="13.5" customHeight="1">
      <c r="B307" s="51"/>
      <c r="C307" s="52"/>
    </row>
    <row r="308" spans="2:3" ht="13.5" customHeight="1">
      <c r="B308" s="51"/>
      <c r="C308" s="52"/>
    </row>
    <row r="309" spans="2:3" ht="13.5" customHeight="1">
      <c r="B309" s="51"/>
      <c r="C309" s="52"/>
    </row>
    <row r="310" spans="2:3" ht="13.5" customHeight="1">
      <c r="B310" s="51"/>
      <c r="C310" s="52"/>
    </row>
    <row r="311" spans="2:3" ht="13.5" customHeight="1">
      <c r="B311" s="51"/>
      <c r="C311" s="52"/>
    </row>
    <row r="312" spans="2:3" ht="13.5" customHeight="1">
      <c r="B312" s="51"/>
      <c r="C312" s="52"/>
    </row>
    <row r="313" spans="2:3" ht="13.5" customHeight="1">
      <c r="B313" s="51"/>
      <c r="C313" s="52"/>
    </row>
    <row r="314" spans="2:3" ht="13.5" customHeight="1">
      <c r="B314" s="51"/>
      <c r="C314" s="52"/>
    </row>
    <row r="315" spans="2:3" ht="13.5" customHeight="1">
      <c r="B315" s="51"/>
      <c r="C315" s="52"/>
    </row>
    <row r="316" spans="2:3" ht="13.5" customHeight="1">
      <c r="B316" s="51"/>
      <c r="C316" s="52"/>
    </row>
    <row r="317" spans="2:3" ht="13.5" customHeight="1">
      <c r="B317" s="51"/>
      <c r="C317" s="52"/>
    </row>
    <row r="318" spans="2:3" ht="13.5" customHeight="1">
      <c r="B318" s="51"/>
      <c r="C318" s="52"/>
    </row>
    <row r="319" spans="2:3" ht="13.5" customHeight="1">
      <c r="B319" s="51"/>
      <c r="C319" s="52"/>
    </row>
    <row r="320" spans="2:3" ht="13.5" customHeight="1">
      <c r="B320" s="51"/>
      <c r="C320" s="52"/>
    </row>
    <row r="321" spans="2:3" ht="13.5" customHeight="1">
      <c r="B321" s="51"/>
      <c r="C321" s="52"/>
    </row>
    <row r="322" spans="2:3" ht="13.5" customHeight="1">
      <c r="B322" s="51"/>
      <c r="C322" s="52"/>
    </row>
    <row r="323" spans="2:3" ht="13.5" customHeight="1">
      <c r="B323" s="51"/>
      <c r="C323" s="52"/>
    </row>
    <row r="324" spans="2:3" ht="13.5" customHeight="1">
      <c r="B324" s="51"/>
      <c r="C324" s="52"/>
    </row>
    <row r="325" spans="2:3" ht="13.5" customHeight="1">
      <c r="B325" s="51"/>
      <c r="C325" s="52"/>
    </row>
    <row r="326" spans="2:3" ht="13.5" customHeight="1">
      <c r="B326" s="51"/>
      <c r="C326" s="52"/>
    </row>
    <row r="327" spans="2:3" ht="13.5" customHeight="1">
      <c r="B327" s="51"/>
      <c r="C327" s="52"/>
    </row>
    <row r="328" spans="2:3" ht="13.5" customHeight="1">
      <c r="B328" s="51"/>
      <c r="C328" s="52"/>
    </row>
    <row r="329" spans="2:3" ht="13.5" customHeight="1">
      <c r="B329" s="51"/>
      <c r="C329" s="52"/>
    </row>
    <row r="330" spans="2:3" ht="13.5" customHeight="1">
      <c r="B330" s="51"/>
      <c r="C330" s="52"/>
    </row>
    <row r="331" spans="2:3" ht="13.5" customHeight="1">
      <c r="B331" s="51"/>
      <c r="C331" s="52"/>
    </row>
    <row r="332" spans="2:3" ht="13.5" customHeight="1">
      <c r="B332" s="51"/>
      <c r="C332" s="52"/>
    </row>
    <row r="333" spans="2:3" ht="13.5" customHeight="1">
      <c r="B333" s="51"/>
      <c r="C333" s="52"/>
    </row>
    <row r="334" spans="2:3" ht="13.5" customHeight="1">
      <c r="B334" s="51"/>
      <c r="C334" s="52"/>
    </row>
    <row r="335" spans="2:3" ht="13.5" customHeight="1">
      <c r="B335" s="51"/>
      <c r="C335" s="52"/>
    </row>
    <row r="336" spans="2:3" ht="13.5" customHeight="1">
      <c r="B336" s="51"/>
      <c r="C336" s="52"/>
    </row>
    <row r="337" spans="2:3" ht="13.5" customHeight="1">
      <c r="B337" s="51"/>
      <c r="C337" s="52"/>
    </row>
    <row r="338" spans="2:3" ht="13.5" customHeight="1">
      <c r="B338" s="51"/>
      <c r="C338" s="52"/>
    </row>
    <row r="339" spans="2:3" ht="13.5" customHeight="1">
      <c r="B339" s="51"/>
      <c r="C339" s="52"/>
    </row>
    <row r="340" spans="2:3" ht="13.5" customHeight="1">
      <c r="B340" s="51"/>
      <c r="C340" s="52"/>
    </row>
    <row r="341" spans="2:3" ht="13.5" customHeight="1">
      <c r="B341" s="51"/>
      <c r="C341" s="52"/>
    </row>
    <row r="342" spans="2:3" ht="13.5" customHeight="1">
      <c r="B342" s="51"/>
      <c r="C342" s="52"/>
    </row>
    <row r="343" spans="2:3" ht="13.5" customHeight="1">
      <c r="B343" s="51"/>
      <c r="C343" s="52"/>
    </row>
    <row r="344" spans="2:3" ht="13.5" customHeight="1">
      <c r="B344" s="51"/>
      <c r="C344" s="52"/>
    </row>
    <row r="345" spans="2:3" ht="13.5" customHeight="1">
      <c r="B345" s="51"/>
      <c r="C345" s="52"/>
    </row>
    <row r="346" spans="2:3" ht="13.5" customHeight="1">
      <c r="B346" s="51"/>
      <c r="C346" s="52"/>
    </row>
    <row r="347" spans="2:3" ht="13.5" customHeight="1">
      <c r="B347" s="51"/>
      <c r="C347" s="52"/>
    </row>
    <row r="348" spans="2:3" ht="13.5" customHeight="1">
      <c r="B348" s="51"/>
      <c r="C348" s="52"/>
    </row>
    <row r="349" spans="2:3" ht="13.5" customHeight="1">
      <c r="B349" s="51"/>
      <c r="C349" s="52"/>
    </row>
    <row r="350" spans="2:3" ht="13.5" customHeight="1">
      <c r="B350" s="51"/>
      <c r="C350" s="52"/>
    </row>
    <row r="351" spans="2:3" ht="13.5" customHeight="1">
      <c r="B351" s="51"/>
      <c r="C351" s="52"/>
    </row>
    <row r="352" spans="2:3" ht="13.5" customHeight="1">
      <c r="B352" s="51"/>
      <c r="C352" s="52"/>
    </row>
    <row r="353" spans="2:3" ht="13.5" customHeight="1">
      <c r="B353" s="51"/>
      <c r="C353" s="52"/>
    </row>
    <row r="354" spans="2:3" ht="13.5" customHeight="1">
      <c r="B354" s="51"/>
      <c r="C354" s="52"/>
    </row>
    <row r="355" spans="2:3" ht="13.5" customHeight="1">
      <c r="B355" s="51"/>
      <c r="C355" s="52"/>
    </row>
    <row r="356" spans="2:3" ht="13.5" customHeight="1">
      <c r="B356" s="51"/>
      <c r="C356" s="52"/>
    </row>
    <row r="357" spans="2:3" ht="13.5" customHeight="1">
      <c r="B357" s="51"/>
      <c r="C357" s="52"/>
    </row>
    <row r="358" spans="2:3" ht="13.5" customHeight="1">
      <c r="B358" s="51"/>
      <c r="C358" s="52"/>
    </row>
    <row r="359" spans="2:3" ht="13.5" customHeight="1">
      <c r="B359" s="51"/>
      <c r="C359" s="52"/>
    </row>
    <row r="360" spans="2:3" ht="13.5" customHeight="1">
      <c r="B360" s="51"/>
      <c r="C360" s="52"/>
    </row>
    <row r="361" spans="2:3" ht="13.5" customHeight="1">
      <c r="B361" s="51"/>
      <c r="C361" s="52"/>
    </row>
    <row r="362" spans="2:3" ht="13.5" customHeight="1">
      <c r="B362" s="51"/>
      <c r="C362" s="52"/>
    </row>
    <row r="363" spans="2:3" ht="13.5" customHeight="1">
      <c r="B363" s="51"/>
      <c r="C363" s="52"/>
    </row>
    <row r="364" spans="2:3" ht="13.5" customHeight="1">
      <c r="B364" s="51"/>
      <c r="C364" s="52"/>
    </row>
    <row r="365" spans="2:3" ht="13.5" customHeight="1">
      <c r="B365" s="51"/>
      <c r="C365" s="52"/>
    </row>
    <row r="366" spans="2:3" ht="13.5" customHeight="1">
      <c r="B366" s="51"/>
      <c r="C366" s="52"/>
    </row>
    <row r="367" spans="2:3" ht="13.5" customHeight="1">
      <c r="B367" s="51"/>
      <c r="C367" s="52"/>
    </row>
    <row r="368" spans="2:3" ht="13.5" customHeight="1">
      <c r="B368" s="51"/>
      <c r="C368" s="52"/>
    </row>
    <row r="369" spans="2:3" ht="13.5" customHeight="1">
      <c r="B369" s="51"/>
      <c r="C369" s="52"/>
    </row>
    <row r="370" spans="2:3" ht="13.5" customHeight="1">
      <c r="B370" s="51"/>
      <c r="C370" s="52"/>
    </row>
    <row r="371" spans="2:3" ht="13.5" customHeight="1">
      <c r="B371" s="51"/>
      <c r="C371" s="52"/>
    </row>
    <row r="372" spans="2:3" ht="13.5" customHeight="1">
      <c r="B372" s="51"/>
      <c r="C372" s="52"/>
    </row>
    <row r="373" spans="2:3" ht="13.5" customHeight="1">
      <c r="B373" s="51"/>
      <c r="C373" s="52"/>
    </row>
    <row r="374" spans="2:3" ht="13.5" customHeight="1">
      <c r="B374" s="51"/>
      <c r="C374" s="52"/>
    </row>
    <row r="375" spans="2:3" ht="13.5" customHeight="1">
      <c r="B375" s="51"/>
      <c r="C375" s="52"/>
    </row>
    <row r="376" spans="2:3" ht="13.5" customHeight="1">
      <c r="B376" s="51"/>
      <c r="C376" s="52"/>
    </row>
    <row r="377" spans="2:3" ht="13.5" customHeight="1">
      <c r="B377" s="51"/>
      <c r="C377" s="52"/>
    </row>
    <row r="378" spans="2:3" ht="13.5" customHeight="1">
      <c r="B378" s="51"/>
      <c r="C378" s="52"/>
    </row>
    <row r="379" spans="2:3" ht="13.5" customHeight="1">
      <c r="B379" s="51"/>
      <c r="C379" s="52"/>
    </row>
    <row r="380" spans="2:3" ht="13.5" customHeight="1">
      <c r="B380" s="51"/>
      <c r="C380" s="52"/>
    </row>
    <row r="381" spans="2:3" ht="13.5" customHeight="1">
      <c r="B381" s="51"/>
      <c r="C381" s="52"/>
    </row>
    <row r="382" spans="2:3" ht="13.5" customHeight="1">
      <c r="B382" s="51"/>
      <c r="C382" s="52"/>
    </row>
    <row r="383" spans="2:3" ht="13.5" customHeight="1">
      <c r="B383" s="51"/>
      <c r="C383" s="52"/>
    </row>
    <row r="384" spans="2:3" ht="13.5" customHeight="1">
      <c r="B384" s="51"/>
      <c r="C384" s="52"/>
    </row>
    <row r="385" spans="2:3" ht="13.5" customHeight="1">
      <c r="B385" s="51"/>
      <c r="C385" s="52"/>
    </row>
    <row r="386" spans="2:3" ht="13.5" customHeight="1">
      <c r="B386" s="51"/>
      <c r="C386" s="52"/>
    </row>
    <row r="387" spans="2:3" ht="13.5" customHeight="1">
      <c r="B387" s="51"/>
      <c r="C387" s="52"/>
    </row>
    <row r="388" spans="2:3" ht="13.5" customHeight="1">
      <c r="B388" s="51"/>
      <c r="C388" s="52"/>
    </row>
    <row r="389" spans="2:3" ht="13.5" customHeight="1">
      <c r="B389" s="51"/>
      <c r="C389" s="52"/>
    </row>
    <row r="390" spans="2:3" ht="13.5" customHeight="1">
      <c r="B390" s="51"/>
      <c r="C390" s="52"/>
    </row>
    <row r="391" spans="2:3" ht="13.5" customHeight="1">
      <c r="B391" s="51"/>
      <c r="C391" s="52"/>
    </row>
    <row r="392" spans="2:3" ht="13.5" customHeight="1">
      <c r="B392" s="51"/>
      <c r="C392" s="52"/>
    </row>
    <row r="393" spans="2:3" ht="13.5" customHeight="1">
      <c r="B393" s="51"/>
      <c r="C393" s="52"/>
    </row>
    <row r="394" spans="2:3" ht="13.5" customHeight="1">
      <c r="B394" s="51"/>
      <c r="C394" s="52"/>
    </row>
    <row r="395" spans="2:3" ht="13.5" customHeight="1">
      <c r="B395" s="51"/>
      <c r="C395" s="52"/>
    </row>
    <row r="396" spans="2:3" ht="13.5" customHeight="1">
      <c r="B396" s="51"/>
      <c r="C396" s="52"/>
    </row>
    <row r="397" spans="2:3" ht="13.5" customHeight="1">
      <c r="B397" s="51"/>
      <c r="C397" s="52"/>
    </row>
    <row r="398" spans="2:3" ht="13.5" customHeight="1">
      <c r="B398" s="51"/>
      <c r="C398" s="52"/>
    </row>
    <row r="399" spans="2:3" ht="13.5" customHeight="1">
      <c r="B399" s="51"/>
      <c r="C399" s="52"/>
    </row>
    <row r="400" spans="2:3" ht="13.5" customHeight="1">
      <c r="B400" s="51"/>
      <c r="C400" s="52"/>
    </row>
    <row r="401" spans="2:3" ht="13.5" customHeight="1">
      <c r="B401" s="51"/>
      <c r="C401" s="52"/>
    </row>
    <row r="402" spans="2:3" ht="13.5" customHeight="1">
      <c r="B402" s="51"/>
      <c r="C402" s="52"/>
    </row>
    <row r="403" spans="2:3" ht="13.5" customHeight="1">
      <c r="B403" s="51"/>
      <c r="C403" s="52"/>
    </row>
    <row r="404" spans="2:3" ht="13.5" customHeight="1">
      <c r="B404" s="51"/>
      <c r="C404" s="52"/>
    </row>
    <row r="405" spans="2:3" ht="13.5" customHeight="1">
      <c r="B405" s="51"/>
      <c r="C405" s="52"/>
    </row>
    <row r="406" spans="2:3" ht="13.5" customHeight="1">
      <c r="B406" s="51"/>
      <c r="C406" s="52"/>
    </row>
    <row r="407" spans="2:3" ht="13.5" customHeight="1">
      <c r="B407" s="51"/>
      <c r="C407" s="52"/>
    </row>
    <row r="408" spans="2:3" ht="13.5" customHeight="1">
      <c r="B408" s="51"/>
      <c r="C408" s="52"/>
    </row>
    <row r="409" spans="2:3" ht="13.5" customHeight="1">
      <c r="B409" s="51"/>
      <c r="C409" s="52"/>
    </row>
    <row r="410" spans="2:3" ht="13.5" customHeight="1">
      <c r="B410" s="51"/>
      <c r="C410" s="52"/>
    </row>
    <row r="411" spans="2:3" ht="13.5" customHeight="1">
      <c r="B411" s="51"/>
      <c r="C411" s="52"/>
    </row>
    <row r="412" spans="2:3" ht="13.5" customHeight="1">
      <c r="B412" s="51"/>
      <c r="C412" s="52"/>
    </row>
    <row r="413" spans="2:3" ht="13.5" customHeight="1">
      <c r="B413" s="51"/>
      <c r="C413" s="52"/>
    </row>
    <row r="414" spans="2:3" ht="13.5" customHeight="1">
      <c r="B414" s="51"/>
      <c r="C414" s="52"/>
    </row>
    <row r="415" spans="2:3" ht="13.5" customHeight="1">
      <c r="B415" s="51"/>
      <c r="C415" s="52"/>
    </row>
    <row r="416" spans="2:3" ht="13.5" customHeight="1">
      <c r="B416" s="51"/>
      <c r="C416" s="52"/>
    </row>
    <row r="417" spans="2:3" ht="13.5" customHeight="1">
      <c r="B417" s="51"/>
      <c r="C417" s="52"/>
    </row>
    <row r="418" spans="2:3" ht="13.5" customHeight="1">
      <c r="B418" s="51"/>
      <c r="C418" s="52"/>
    </row>
    <row r="419" spans="2:3" ht="13.5" customHeight="1">
      <c r="B419" s="51"/>
      <c r="C419" s="52"/>
    </row>
    <row r="420" spans="2:3" ht="13.5" customHeight="1">
      <c r="B420" s="51"/>
      <c r="C420" s="52"/>
    </row>
    <row r="421" spans="2:3" ht="13.5" customHeight="1">
      <c r="B421" s="51"/>
      <c r="C421" s="52"/>
    </row>
    <row r="422" spans="2:3" ht="13.5" customHeight="1">
      <c r="B422" s="51"/>
      <c r="C422" s="52"/>
    </row>
    <row r="423" spans="2:3" ht="13.5" customHeight="1">
      <c r="B423" s="51"/>
      <c r="C423" s="52"/>
    </row>
    <row r="424" spans="2:3" ht="13.5" customHeight="1">
      <c r="B424" s="51"/>
      <c r="C424" s="52"/>
    </row>
    <row r="425" spans="2:3" ht="13.5" customHeight="1">
      <c r="B425" s="51"/>
      <c r="C425" s="52"/>
    </row>
    <row r="426" spans="2:3" ht="13.5" customHeight="1">
      <c r="B426" s="51"/>
      <c r="C426" s="52"/>
    </row>
    <row r="427" spans="2:3" ht="13.5" customHeight="1">
      <c r="B427" s="51"/>
      <c r="C427" s="52"/>
    </row>
    <row r="428" spans="2:3" ht="13.5" customHeight="1">
      <c r="B428" s="51"/>
      <c r="C428" s="52"/>
    </row>
    <row r="429" spans="2:3" ht="13.5" customHeight="1">
      <c r="B429" s="51"/>
      <c r="C429" s="52"/>
    </row>
    <row r="430" spans="2:3" ht="13.5" customHeight="1">
      <c r="B430" s="51"/>
      <c r="C430" s="52"/>
    </row>
    <row r="431" spans="2:3" ht="13.5" customHeight="1">
      <c r="B431" s="51"/>
      <c r="C431" s="52"/>
    </row>
    <row r="432" spans="2:3" ht="13.5" customHeight="1">
      <c r="B432" s="51"/>
      <c r="C432" s="52"/>
    </row>
    <row r="433" spans="2:3" ht="13.5" customHeight="1">
      <c r="B433" s="51"/>
      <c r="C433" s="52"/>
    </row>
    <row r="434" spans="2:3" ht="13.5" customHeight="1">
      <c r="B434" s="51"/>
      <c r="C434" s="52"/>
    </row>
    <row r="435" spans="2:3" ht="13.5" customHeight="1">
      <c r="B435" s="51"/>
      <c r="C435" s="52"/>
    </row>
    <row r="436" spans="2:3" ht="13.5" customHeight="1">
      <c r="B436" s="51"/>
      <c r="C436" s="52"/>
    </row>
    <row r="437" spans="2:3" ht="13.5" customHeight="1">
      <c r="B437" s="51"/>
      <c r="C437" s="52"/>
    </row>
    <row r="438" spans="2:3" ht="13.5" customHeight="1">
      <c r="B438" s="51"/>
      <c r="C438" s="52"/>
    </row>
    <row r="439" spans="2:3" ht="13.5" customHeight="1">
      <c r="B439" s="51"/>
      <c r="C439" s="52"/>
    </row>
    <row r="440" spans="2:3" ht="13.5" customHeight="1">
      <c r="B440" s="51"/>
      <c r="C440" s="52"/>
    </row>
    <row r="441" spans="2:3" ht="13.5" customHeight="1">
      <c r="B441" s="51"/>
      <c r="C441" s="52"/>
    </row>
    <row r="442" spans="2:3" ht="13.5" customHeight="1">
      <c r="B442" s="51"/>
      <c r="C442" s="52"/>
    </row>
    <row r="443" spans="2:3" ht="13.5" customHeight="1">
      <c r="B443" s="51"/>
      <c r="C443" s="52"/>
    </row>
    <row r="444" spans="2:3" ht="13.5" customHeight="1">
      <c r="B444" s="51"/>
      <c r="C444" s="52"/>
    </row>
    <row r="445" spans="2:3" ht="13.5" customHeight="1">
      <c r="B445" s="51"/>
      <c r="C445" s="52"/>
    </row>
    <row r="446" spans="2:3" ht="13.5" customHeight="1">
      <c r="B446" s="51"/>
      <c r="C446" s="52"/>
    </row>
    <row r="447" spans="2:3" ht="13.5" customHeight="1">
      <c r="B447" s="51"/>
      <c r="C447" s="52"/>
    </row>
    <row r="448" spans="2:3" ht="13.5" customHeight="1">
      <c r="B448" s="51"/>
      <c r="C448" s="52"/>
    </row>
    <row r="449" spans="2:3" ht="13.5" customHeight="1">
      <c r="B449" s="51"/>
      <c r="C449" s="52"/>
    </row>
    <row r="450" spans="2:3" ht="13.5" customHeight="1">
      <c r="B450" s="51"/>
      <c r="C450" s="52"/>
    </row>
    <row r="451" spans="2:3" ht="13.5" customHeight="1">
      <c r="B451" s="51"/>
      <c r="C451" s="52"/>
    </row>
    <row r="452" spans="2:3" ht="13.5" customHeight="1">
      <c r="B452" s="51"/>
      <c r="C452" s="52"/>
    </row>
    <row r="453" spans="2:3" ht="13.5" customHeight="1">
      <c r="B453" s="51"/>
      <c r="C453" s="52"/>
    </row>
    <row r="454" spans="2:3" ht="13.5" customHeight="1">
      <c r="B454" s="51"/>
      <c r="C454" s="52"/>
    </row>
    <row r="455" spans="2:3" ht="13.5" customHeight="1">
      <c r="B455" s="51"/>
      <c r="C455" s="52"/>
    </row>
    <row r="456" spans="2:3" ht="13.5" customHeight="1">
      <c r="B456" s="51"/>
      <c r="C456" s="52"/>
    </row>
    <row r="457" spans="2:3" ht="13.5" customHeight="1">
      <c r="B457" s="51"/>
      <c r="C457" s="52"/>
    </row>
    <row r="458" spans="2:3" ht="13.5" customHeight="1">
      <c r="B458" s="51"/>
      <c r="C458" s="52"/>
    </row>
    <row r="459" spans="2:3" ht="13.5" customHeight="1">
      <c r="B459" s="51"/>
      <c r="C459" s="52"/>
    </row>
    <row r="460" spans="2:3" ht="13.5" customHeight="1">
      <c r="B460" s="51"/>
      <c r="C460" s="52"/>
    </row>
    <row r="461" spans="2:3" ht="13.5" customHeight="1">
      <c r="B461" s="51"/>
      <c r="C461" s="52"/>
    </row>
    <row r="462" spans="2:3" ht="13.5" customHeight="1">
      <c r="B462" s="51"/>
      <c r="C462" s="52"/>
    </row>
    <row r="463" spans="2:3" ht="13.5" customHeight="1">
      <c r="B463" s="51"/>
      <c r="C463" s="52"/>
    </row>
    <row r="464" spans="2:3" ht="13.5" customHeight="1">
      <c r="B464" s="51"/>
      <c r="C464" s="52"/>
    </row>
    <row r="465" spans="2:3" ht="13.5" customHeight="1">
      <c r="B465" s="51"/>
      <c r="C465" s="52"/>
    </row>
    <row r="466" spans="2:3" ht="13.5" customHeight="1">
      <c r="B466" s="51"/>
      <c r="C466" s="52"/>
    </row>
    <row r="467" spans="2:3" ht="13.5" customHeight="1">
      <c r="B467" s="51"/>
      <c r="C467" s="52"/>
    </row>
    <row r="468" spans="2:3" ht="13.5" customHeight="1">
      <c r="B468" s="51"/>
      <c r="C468" s="52"/>
    </row>
    <row r="469" spans="2:3" ht="13.5" customHeight="1">
      <c r="B469" s="51"/>
      <c r="C469" s="52"/>
    </row>
    <row r="470" spans="2:3" ht="13.5" customHeight="1">
      <c r="B470" s="51"/>
      <c r="C470" s="52"/>
    </row>
    <row r="471" spans="2:3" ht="13.5" customHeight="1">
      <c r="B471" s="51"/>
      <c r="C471" s="52"/>
    </row>
    <row r="472" spans="2:3" ht="13.5" customHeight="1">
      <c r="B472" s="51"/>
      <c r="C472" s="52"/>
    </row>
    <row r="473" spans="2:3" ht="13.5" customHeight="1">
      <c r="B473" s="51"/>
      <c r="C473" s="52"/>
    </row>
    <row r="474" spans="2:3" ht="13.5" customHeight="1">
      <c r="B474" s="51"/>
      <c r="C474" s="52"/>
    </row>
    <row r="475" spans="2:3" ht="13.5" customHeight="1">
      <c r="B475" s="51"/>
      <c r="C475" s="52"/>
    </row>
    <row r="476" spans="2:3" ht="13.5" customHeight="1">
      <c r="B476" s="51"/>
      <c r="C476" s="52"/>
    </row>
    <row r="477" spans="2:3" ht="13.5" customHeight="1">
      <c r="B477" s="51"/>
      <c r="C477" s="52"/>
    </row>
    <row r="478" spans="2:3" ht="13.5" customHeight="1">
      <c r="B478" s="51"/>
      <c r="C478" s="52"/>
    </row>
    <row r="479" spans="2:3" ht="13.5" customHeight="1">
      <c r="B479" s="51"/>
      <c r="C479" s="52"/>
    </row>
    <row r="480" spans="2:3" ht="13.5" customHeight="1">
      <c r="B480" s="51"/>
      <c r="C480" s="52"/>
    </row>
    <row r="481" spans="2:3" ht="13.5" customHeight="1">
      <c r="B481" s="51"/>
      <c r="C481" s="52"/>
    </row>
    <row r="482" spans="2:3" ht="13.5" customHeight="1">
      <c r="B482" s="51"/>
      <c r="C482" s="52"/>
    </row>
    <row r="483" spans="2:3" ht="13.5" customHeight="1">
      <c r="B483" s="51"/>
      <c r="C483" s="52"/>
    </row>
    <row r="484" spans="2:3" ht="13.5" customHeight="1">
      <c r="B484" s="51"/>
      <c r="C484" s="52"/>
    </row>
    <row r="485" spans="2:3" ht="13.5" customHeight="1">
      <c r="B485" s="51"/>
      <c r="C485" s="52"/>
    </row>
    <row r="486" spans="2:3" ht="13.5" customHeight="1">
      <c r="B486" s="51"/>
      <c r="C486" s="52"/>
    </row>
    <row r="487" spans="2:3" ht="13.5" customHeight="1">
      <c r="B487" s="51"/>
      <c r="C487" s="52"/>
    </row>
    <row r="488" spans="2:3" ht="13.5" customHeight="1">
      <c r="B488" s="51"/>
      <c r="C488" s="52"/>
    </row>
    <row r="489" spans="2:3" ht="13.5" customHeight="1">
      <c r="B489" s="51"/>
      <c r="C489" s="52"/>
    </row>
    <row r="490" spans="2:3" ht="13.5" customHeight="1">
      <c r="B490" s="51"/>
      <c r="C490" s="52"/>
    </row>
    <row r="491" spans="2:3" ht="13.5" customHeight="1">
      <c r="B491" s="51"/>
      <c r="C491" s="52"/>
    </row>
    <row r="492" spans="2:3" ht="13.5" customHeight="1">
      <c r="B492" s="51"/>
      <c r="C492" s="52"/>
    </row>
    <row r="493" spans="2:3" ht="13.5" customHeight="1">
      <c r="B493" s="51"/>
      <c r="C493" s="52"/>
    </row>
    <row r="494" spans="2:3" ht="13.5" customHeight="1">
      <c r="B494" s="51"/>
      <c r="C494" s="52"/>
    </row>
    <row r="495" spans="2:3" ht="13.5" customHeight="1">
      <c r="B495" s="51"/>
      <c r="C495" s="52"/>
    </row>
    <row r="496" spans="2:3" ht="13.5" customHeight="1">
      <c r="B496" s="51"/>
      <c r="C496" s="52"/>
    </row>
    <row r="497" spans="2:3" ht="13.5" customHeight="1">
      <c r="B497" s="51"/>
      <c r="C497" s="52"/>
    </row>
    <row r="498" spans="2:3" ht="13.5" customHeight="1">
      <c r="B498" s="51"/>
      <c r="C498" s="52"/>
    </row>
    <row r="499" spans="2:3" ht="13.5" customHeight="1">
      <c r="B499" s="51"/>
      <c r="C499" s="52"/>
    </row>
    <row r="500" spans="2:3" ht="13.5" customHeight="1">
      <c r="B500" s="51"/>
      <c r="C500" s="52"/>
    </row>
    <row r="501" spans="2:3" ht="13.5" customHeight="1">
      <c r="B501" s="51"/>
      <c r="C501" s="52"/>
    </row>
    <row r="502" spans="2:3" ht="13.5" customHeight="1">
      <c r="B502" s="51"/>
      <c r="C502" s="52"/>
    </row>
    <row r="503" spans="2:3" ht="13.5" customHeight="1">
      <c r="B503" s="51"/>
      <c r="C503" s="52"/>
    </row>
    <row r="504" spans="2:3" ht="13.5" customHeight="1">
      <c r="B504" s="51"/>
      <c r="C504" s="52"/>
    </row>
    <row r="505" spans="2:3" ht="13.5" customHeight="1">
      <c r="B505" s="51"/>
      <c r="C505" s="52"/>
    </row>
    <row r="506" spans="2:3" ht="13.5" customHeight="1">
      <c r="B506" s="51"/>
      <c r="C506" s="52"/>
    </row>
    <row r="507" spans="2:3" ht="13.5" customHeight="1">
      <c r="B507" s="51"/>
      <c r="C507" s="52"/>
    </row>
    <row r="508" spans="2:3" ht="13.5" customHeight="1">
      <c r="B508" s="51"/>
      <c r="C508" s="52"/>
    </row>
    <row r="509" spans="2:3" ht="13.5" customHeight="1">
      <c r="B509" s="51"/>
      <c r="C509" s="52"/>
    </row>
    <row r="510" spans="2:3" ht="13.5" customHeight="1">
      <c r="B510" s="51"/>
      <c r="C510" s="52"/>
    </row>
    <row r="511" spans="2:3" ht="13.5" customHeight="1">
      <c r="B511" s="51"/>
      <c r="C511" s="52"/>
    </row>
    <row r="512" spans="2:3" ht="13.5" customHeight="1">
      <c r="B512" s="51"/>
      <c r="C512" s="52"/>
    </row>
    <row r="513" spans="2:3" ht="13.5" customHeight="1">
      <c r="B513" s="51"/>
      <c r="C513" s="52"/>
    </row>
    <row r="514" spans="2:3" ht="13.5" customHeight="1">
      <c r="B514" s="51"/>
      <c r="C514" s="52"/>
    </row>
    <row r="515" spans="2:3" ht="13.5" customHeight="1">
      <c r="B515" s="51"/>
      <c r="C515" s="52"/>
    </row>
    <row r="516" spans="2:3" ht="13.5" customHeight="1">
      <c r="B516" s="51"/>
      <c r="C516" s="52"/>
    </row>
    <row r="517" spans="2:3" ht="13.5" customHeight="1">
      <c r="B517" s="51"/>
      <c r="C517" s="52"/>
    </row>
    <row r="518" spans="2:3" ht="13.5" customHeight="1">
      <c r="B518" s="51"/>
      <c r="C518" s="52"/>
    </row>
    <row r="519" spans="2:3" ht="13.5" customHeight="1">
      <c r="B519" s="51"/>
      <c r="C519" s="52"/>
    </row>
    <row r="520" spans="2:3" ht="13.5" customHeight="1">
      <c r="B520" s="51"/>
      <c r="C520" s="52"/>
    </row>
    <row r="521" spans="2:3" ht="13.5" customHeight="1">
      <c r="B521" s="51"/>
      <c r="C521" s="52"/>
    </row>
    <row r="522" spans="2:3" ht="13.5" customHeight="1">
      <c r="B522" s="51"/>
      <c r="C522" s="52"/>
    </row>
    <row r="523" spans="2:3" ht="13.5" customHeight="1">
      <c r="B523" s="51"/>
      <c r="C523" s="52"/>
    </row>
    <row r="524" spans="2:3" ht="13.5" customHeight="1">
      <c r="B524" s="51"/>
      <c r="C524" s="52"/>
    </row>
    <row r="525" spans="2:3" ht="13.5" customHeight="1">
      <c r="B525" s="51"/>
      <c r="C525" s="52"/>
    </row>
    <row r="526" spans="2:3" ht="13.5" customHeight="1">
      <c r="B526" s="51"/>
      <c r="C526" s="52"/>
    </row>
    <row r="527" spans="2:3" ht="13.5" customHeight="1">
      <c r="B527" s="51"/>
      <c r="C527" s="52"/>
    </row>
    <row r="528" spans="2:3" ht="13.5" customHeight="1">
      <c r="B528" s="51"/>
      <c r="C528" s="52"/>
    </row>
    <row r="529" spans="2:3" ht="13.5" customHeight="1">
      <c r="B529" s="51"/>
      <c r="C529" s="52"/>
    </row>
    <row r="530" spans="2:3" ht="13.5" customHeight="1">
      <c r="B530" s="51"/>
      <c r="C530" s="52"/>
    </row>
    <row r="531" spans="2:3" ht="13.5" customHeight="1">
      <c r="B531" s="51"/>
      <c r="C531" s="52"/>
    </row>
    <row r="532" spans="2:3" ht="13.5" customHeight="1">
      <c r="B532" s="51"/>
      <c r="C532" s="52"/>
    </row>
    <row r="533" spans="2:3" ht="13.5" customHeight="1">
      <c r="B533" s="51"/>
      <c r="C533" s="52"/>
    </row>
    <row r="534" spans="2:3" ht="13.5" customHeight="1">
      <c r="B534" s="51"/>
      <c r="C534" s="52"/>
    </row>
    <row r="535" spans="2:3" ht="13.5" customHeight="1">
      <c r="B535" s="51"/>
      <c r="C535" s="52"/>
    </row>
    <row r="536" spans="2:3" ht="13.5" customHeight="1">
      <c r="B536" s="51"/>
      <c r="C536" s="52"/>
    </row>
    <row r="537" spans="2:3" ht="13.5" customHeight="1">
      <c r="B537" s="51"/>
      <c r="C537" s="52"/>
    </row>
    <row r="538" spans="2:3" ht="13.5" customHeight="1">
      <c r="B538" s="51"/>
      <c r="C538" s="52"/>
    </row>
    <row r="539" spans="2:3" ht="13.5" customHeight="1">
      <c r="B539" s="51"/>
      <c r="C539" s="52"/>
    </row>
    <row r="540" spans="2:3" ht="13.5" customHeight="1">
      <c r="B540" s="51"/>
      <c r="C540" s="52"/>
    </row>
    <row r="541" spans="2:3" ht="13.5" customHeight="1">
      <c r="B541" s="51"/>
      <c r="C541" s="52"/>
    </row>
    <row r="542" spans="2:3" ht="13.5" customHeight="1">
      <c r="B542" s="51"/>
      <c r="C542" s="52"/>
    </row>
    <row r="543" spans="2:3" ht="13.5" customHeight="1">
      <c r="B543" s="51"/>
      <c r="C543" s="52"/>
    </row>
    <row r="544" spans="2:3" ht="13.5" customHeight="1">
      <c r="B544" s="51"/>
      <c r="C544" s="52"/>
    </row>
    <row r="545" spans="2:3" ht="13.5" customHeight="1">
      <c r="B545" s="51"/>
      <c r="C545" s="52"/>
    </row>
    <row r="546" spans="2:3" ht="13.5" customHeight="1">
      <c r="B546" s="51"/>
      <c r="C546" s="52"/>
    </row>
    <row r="547" spans="2:3" ht="13.5" customHeight="1">
      <c r="B547" s="51"/>
      <c r="C547" s="52"/>
    </row>
    <row r="548" spans="2:3" ht="13.5" customHeight="1">
      <c r="B548" s="51"/>
      <c r="C548" s="52"/>
    </row>
    <row r="549" spans="2:3" ht="13.5" customHeight="1">
      <c r="B549" s="51"/>
      <c r="C549" s="52"/>
    </row>
    <row r="550" spans="2:3" ht="13.5" customHeight="1">
      <c r="B550" s="51"/>
      <c r="C550" s="52"/>
    </row>
    <row r="551" spans="2:3" ht="13.5" customHeight="1">
      <c r="B551" s="51"/>
      <c r="C551" s="52"/>
    </row>
    <row r="552" spans="2:3" ht="13.5" customHeight="1">
      <c r="B552" s="51"/>
      <c r="C552" s="52"/>
    </row>
    <row r="553" spans="2:3" ht="13.5" customHeight="1">
      <c r="B553" s="51"/>
      <c r="C553" s="52"/>
    </row>
    <row r="554" spans="2:3" ht="13.5" customHeight="1">
      <c r="B554" s="51"/>
      <c r="C554" s="52"/>
    </row>
    <row r="555" spans="2:3" ht="13.5" customHeight="1">
      <c r="B555" s="51"/>
      <c r="C555" s="52"/>
    </row>
    <row r="556" spans="2:3" ht="13.5" customHeight="1">
      <c r="B556" s="51"/>
      <c r="C556" s="52"/>
    </row>
    <row r="557" spans="2:3" ht="13.5" customHeight="1">
      <c r="B557" s="51"/>
      <c r="C557" s="52"/>
    </row>
    <row r="558" spans="2:3" ht="13.5" customHeight="1">
      <c r="B558" s="51"/>
      <c r="C558" s="52"/>
    </row>
    <row r="559" spans="2:3" ht="13.5" customHeight="1">
      <c r="B559" s="51"/>
      <c r="C559" s="52"/>
    </row>
    <row r="560" spans="2:3" ht="13.5" customHeight="1">
      <c r="B560" s="51"/>
      <c r="C560" s="52"/>
    </row>
    <row r="561" spans="2:3" ht="13.5" customHeight="1">
      <c r="B561" s="51"/>
      <c r="C561" s="52"/>
    </row>
    <row r="562" spans="2:3" ht="13.5" customHeight="1">
      <c r="B562" s="51"/>
      <c r="C562" s="52"/>
    </row>
    <row r="563" spans="2:3" ht="13.5" customHeight="1">
      <c r="B563" s="51"/>
      <c r="C563" s="52"/>
    </row>
    <row r="564" spans="2:3" ht="13.5" customHeight="1">
      <c r="B564" s="51"/>
      <c r="C564" s="52"/>
    </row>
    <row r="565" spans="2:3" ht="13.5" customHeight="1">
      <c r="B565" s="51"/>
      <c r="C565" s="52"/>
    </row>
    <row r="566" spans="2:3" ht="13.5" customHeight="1">
      <c r="B566" s="51"/>
      <c r="C566" s="52"/>
    </row>
    <row r="567" spans="2:3" ht="13.5" customHeight="1">
      <c r="B567" s="51"/>
      <c r="C567" s="52"/>
    </row>
    <row r="568" spans="2:3" ht="13.5" customHeight="1">
      <c r="B568" s="51"/>
      <c r="C568" s="52"/>
    </row>
    <row r="569" spans="2:3" ht="13.5" customHeight="1">
      <c r="B569" s="51"/>
      <c r="C569" s="52"/>
    </row>
    <row r="570" spans="2:3" ht="13.5" customHeight="1">
      <c r="B570" s="51"/>
      <c r="C570" s="52"/>
    </row>
    <row r="571" spans="2:3" ht="13.5" customHeight="1">
      <c r="B571" s="51"/>
      <c r="C571" s="52"/>
    </row>
    <row r="572" spans="2:3" ht="13.5" customHeight="1">
      <c r="B572" s="51"/>
      <c r="C572" s="52"/>
    </row>
    <row r="573" spans="2:3" ht="13.5" customHeight="1">
      <c r="B573" s="51"/>
      <c r="C573" s="52"/>
    </row>
    <row r="574" spans="2:3" ht="13.5" customHeight="1">
      <c r="B574" s="51"/>
      <c r="C574" s="52"/>
    </row>
    <row r="575" spans="2:3" ht="13.5" customHeight="1">
      <c r="B575" s="51"/>
      <c r="C575" s="52"/>
    </row>
    <row r="576" spans="2:3" ht="13.5" customHeight="1">
      <c r="B576" s="51"/>
      <c r="C576" s="52"/>
    </row>
    <row r="577" spans="2:3" ht="13.5" customHeight="1">
      <c r="B577" s="51"/>
      <c r="C577" s="52"/>
    </row>
    <row r="578" spans="2:3" ht="13.5" customHeight="1">
      <c r="B578" s="51"/>
      <c r="C578" s="52"/>
    </row>
    <row r="579" spans="2:3" ht="13.5" customHeight="1">
      <c r="B579" s="51"/>
      <c r="C579" s="52"/>
    </row>
    <row r="580" spans="2:3" ht="13.5" customHeight="1">
      <c r="B580" s="51"/>
      <c r="C580" s="52"/>
    </row>
    <row r="581" spans="2:3" ht="13.5" customHeight="1">
      <c r="B581" s="51"/>
      <c r="C581" s="52"/>
    </row>
    <row r="582" spans="2:3" ht="13.5" customHeight="1">
      <c r="B582" s="51"/>
      <c r="C582" s="52"/>
    </row>
    <row r="583" spans="2:3" ht="13.5" customHeight="1">
      <c r="B583" s="51"/>
      <c r="C583" s="52"/>
    </row>
    <row r="584" spans="2:3" ht="13.5" customHeight="1">
      <c r="B584" s="51"/>
      <c r="C584" s="52"/>
    </row>
    <row r="585" spans="2:3" ht="13.5" customHeight="1">
      <c r="B585" s="51"/>
      <c r="C585" s="52"/>
    </row>
    <row r="586" spans="2:3" ht="13.5" customHeight="1">
      <c r="B586" s="51"/>
      <c r="C586" s="52"/>
    </row>
    <row r="587" spans="2:3" ht="13.5" customHeight="1">
      <c r="B587" s="51"/>
      <c r="C587" s="52"/>
    </row>
    <row r="588" spans="2:3" ht="13.5" customHeight="1">
      <c r="B588" s="51"/>
      <c r="C588" s="52"/>
    </row>
    <row r="589" spans="2:3" ht="13.5" customHeight="1">
      <c r="B589" s="51"/>
      <c r="C589" s="52"/>
    </row>
    <row r="590" spans="2:3" ht="13.5" customHeight="1">
      <c r="B590" s="51"/>
      <c r="C590" s="52"/>
    </row>
    <row r="591" spans="2:3" ht="13.5" customHeight="1">
      <c r="B591" s="51"/>
      <c r="C591" s="52"/>
    </row>
    <row r="592" spans="2:3" ht="13.5" customHeight="1">
      <c r="B592" s="51"/>
      <c r="C592" s="52"/>
    </row>
    <row r="593" spans="2:3" ht="13.5" customHeight="1">
      <c r="B593" s="51"/>
      <c r="C593" s="52"/>
    </row>
    <row r="594" spans="2:3" ht="13.5" customHeight="1">
      <c r="B594" s="51"/>
      <c r="C594" s="52"/>
    </row>
    <row r="595" spans="2:3" ht="13.5" customHeight="1">
      <c r="B595" s="51"/>
      <c r="C595" s="52"/>
    </row>
    <row r="596" spans="2:3" ht="13.5" customHeight="1">
      <c r="B596" s="51"/>
      <c r="C596" s="52"/>
    </row>
    <row r="597" spans="2:3" ht="13.5" customHeight="1">
      <c r="B597" s="51"/>
      <c r="C597" s="52"/>
    </row>
    <row r="598" spans="2:3" ht="13.5" customHeight="1">
      <c r="B598" s="51"/>
      <c r="C598" s="52"/>
    </row>
    <row r="599" spans="2:3" ht="13.5" customHeight="1">
      <c r="B599" s="51"/>
      <c r="C599" s="52"/>
    </row>
    <row r="600" spans="2:3" ht="13.5" customHeight="1">
      <c r="B600" s="51"/>
      <c r="C600" s="52"/>
    </row>
    <row r="601" spans="2:3" ht="13.5" customHeight="1">
      <c r="B601" s="51"/>
      <c r="C601" s="52"/>
    </row>
    <row r="602" spans="2:3" ht="13.5" customHeight="1">
      <c r="B602" s="51"/>
      <c r="C602" s="52"/>
    </row>
    <row r="603" spans="2:3" ht="13.5" customHeight="1">
      <c r="B603" s="51"/>
      <c r="C603" s="52"/>
    </row>
    <row r="604" spans="2:3" ht="13.5" customHeight="1">
      <c r="B604" s="51"/>
      <c r="C604" s="52"/>
    </row>
    <row r="605" spans="2:3" ht="13.5" customHeight="1">
      <c r="B605" s="51"/>
      <c r="C605" s="52"/>
    </row>
    <row r="606" spans="2:3" ht="13.5" customHeight="1">
      <c r="B606" s="51"/>
      <c r="C606" s="52"/>
    </row>
    <row r="607" spans="2:3" ht="13.5" customHeight="1">
      <c r="B607" s="51"/>
      <c r="C607" s="52"/>
    </row>
    <row r="608" spans="2:3" ht="13.5" customHeight="1">
      <c r="B608" s="51"/>
      <c r="C608" s="52"/>
    </row>
    <row r="609" spans="2:3" ht="13.5" customHeight="1">
      <c r="B609" s="51"/>
      <c r="C609" s="52"/>
    </row>
    <row r="610" spans="2:3" ht="13.5" customHeight="1">
      <c r="B610" s="51"/>
      <c r="C610" s="52"/>
    </row>
    <row r="611" spans="2:3" ht="13.5" customHeight="1">
      <c r="B611" s="51"/>
      <c r="C611" s="52"/>
    </row>
    <row r="612" spans="2:3" ht="13.5" customHeight="1">
      <c r="B612" s="51"/>
      <c r="C612" s="52"/>
    </row>
    <row r="613" spans="2:3" ht="13.5" customHeight="1">
      <c r="B613" s="51"/>
      <c r="C613" s="52"/>
    </row>
    <row r="614" spans="2:3" ht="13.5" customHeight="1">
      <c r="B614" s="51"/>
      <c r="C614" s="52"/>
    </row>
    <row r="615" spans="2:3" ht="13.5" customHeight="1">
      <c r="B615" s="51"/>
      <c r="C615" s="52"/>
    </row>
    <row r="616" spans="2:3" ht="13.5" customHeight="1">
      <c r="B616" s="51"/>
      <c r="C616" s="52"/>
    </row>
    <row r="617" spans="2:3" ht="13.5" customHeight="1">
      <c r="B617" s="51"/>
      <c r="C617" s="52"/>
    </row>
    <row r="618" spans="2:3" ht="13.5" customHeight="1">
      <c r="B618" s="51"/>
      <c r="C618" s="52"/>
    </row>
    <row r="619" spans="2:3" ht="13.5" customHeight="1">
      <c r="B619" s="51"/>
      <c r="C619" s="52"/>
    </row>
    <row r="620" spans="2:3" ht="13.5" customHeight="1">
      <c r="B620" s="51"/>
      <c r="C620" s="52"/>
    </row>
    <row r="621" spans="2:3" ht="13.5" customHeight="1">
      <c r="B621" s="51"/>
      <c r="C621" s="52"/>
    </row>
    <row r="622" spans="2:3" ht="13.5" customHeight="1">
      <c r="B622" s="51"/>
      <c r="C622" s="52"/>
    </row>
    <row r="623" spans="2:3" ht="13.5" customHeight="1">
      <c r="B623" s="51"/>
      <c r="C623" s="52"/>
    </row>
    <row r="624" spans="2:3" ht="13.5" customHeight="1">
      <c r="B624" s="51"/>
      <c r="C624" s="52"/>
    </row>
    <row r="625" spans="2:3" ht="13.5" customHeight="1">
      <c r="B625" s="51"/>
      <c r="C625" s="52"/>
    </row>
    <row r="626" spans="2:3" ht="13.5" customHeight="1">
      <c r="B626" s="51"/>
      <c r="C626" s="52"/>
    </row>
    <row r="627" spans="2:3" ht="13.5" customHeight="1">
      <c r="B627" s="51"/>
      <c r="C627" s="52"/>
    </row>
    <row r="628" spans="2:3" ht="13.5" customHeight="1">
      <c r="B628" s="51"/>
      <c r="C628" s="52"/>
    </row>
    <row r="629" spans="2:3" ht="13.5" customHeight="1">
      <c r="B629" s="51"/>
      <c r="C629" s="52"/>
    </row>
    <row r="630" spans="2:3" ht="13.5" customHeight="1">
      <c r="B630" s="51"/>
      <c r="C630" s="52"/>
    </row>
    <row r="631" spans="2:3" ht="13.5" customHeight="1">
      <c r="B631" s="51"/>
      <c r="C631" s="52"/>
    </row>
    <row r="632" spans="2:3" ht="13.5" customHeight="1">
      <c r="B632" s="51"/>
      <c r="C632" s="52"/>
    </row>
    <row r="633" spans="2:3" ht="13.5" customHeight="1">
      <c r="B633" s="51"/>
      <c r="C633" s="52"/>
    </row>
    <row r="634" spans="2:3" ht="13.5" customHeight="1">
      <c r="B634" s="51"/>
      <c r="C634" s="52"/>
    </row>
    <row r="635" spans="2:3" ht="13.5" customHeight="1">
      <c r="B635" s="51"/>
      <c r="C635" s="52"/>
    </row>
    <row r="636" spans="2:3" ht="13.5" customHeight="1">
      <c r="B636" s="51"/>
      <c r="C636" s="52"/>
    </row>
    <row r="637" spans="2:3" ht="13.5" customHeight="1">
      <c r="B637" s="51"/>
      <c r="C637" s="52"/>
    </row>
    <row r="638" spans="2:3" ht="13.5" customHeight="1">
      <c r="B638" s="51"/>
      <c r="C638" s="52"/>
    </row>
    <row r="639" spans="2:3" ht="13.5" customHeight="1">
      <c r="B639" s="51"/>
      <c r="C639" s="52"/>
    </row>
    <row r="640" spans="2:3" ht="13.5" customHeight="1">
      <c r="B640" s="51"/>
      <c r="C640" s="52"/>
    </row>
    <row r="641" spans="2:3" ht="13.5" customHeight="1">
      <c r="B641" s="51"/>
      <c r="C641" s="52"/>
    </row>
    <row r="642" spans="2:3" ht="13.5" customHeight="1">
      <c r="B642" s="51"/>
      <c r="C642" s="52"/>
    </row>
    <row r="643" spans="2:3" ht="13.5" customHeight="1">
      <c r="B643" s="51"/>
      <c r="C643" s="52"/>
    </row>
    <row r="644" spans="2:3" ht="13.5" customHeight="1">
      <c r="B644" s="51"/>
      <c r="C644" s="52"/>
    </row>
    <row r="645" spans="2:3" ht="13.5" customHeight="1">
      <c r="B645" s="51"/>
      <c r="C645" s="52"/>
    </row>
    <row r="646" spans="2:3" ht="13.5" customHeight="1">
      <c r="B646" s="51"/>
      <c r="C646" s="52"/>
    </row>
    <row r="647" spans="2:3" ht="13.5" customHeight="1">
      <c r="B647" s="51"/>
      <c r="C647" s="52"/>
    </row>
    <row r="648" spans="2:3" ht="13.5" customHeight="1">
      <c r="B648" s="51"/>
      <c r="C648" s="52"/>
    </row>
    <row r="649" spans="2:3" ht="13.5" customHeight="1">
      <c r="B649" s="51"/>
      <c r="C649" s="52"/>
    </row>
    <row r="650" spans="2:3" ht="13.5" customHeight="1">
      <c r="B650" s="51"/>
      <c r="C650" s="52"/>
    </row>
    <row r="651" spans="2:3" ht="13.5" customHeight="1">
      <c r="B651" s="51"/>
      <c r="C651" s="52"/>
    </row>
    <row r="652" spans="2:3" ht="13.5" customHeight="1">
      <c r="B652" s="51"/>
      <c r="C652" s="52"/>
    </row>
    <row r="653" spans="2:3" ht="13.5" customHeight="1">
      <c r="B653" s="51"/>
      <c r="C653" s="52"/>
    </row>
    <row r="654" spans="2:3" ht="13.5" customHeight="1">
      <c r="B654" s="51"/>
      <c r="C654" s="52"/>
    </row>
    <row r="655" spans="2:3" ht="13.5" customHeight="1">
      <c r="B655" s="51"/>
      <c r="C655" s="52"/>
    </row>
    <row r="656" spans="2:3" ht="13.5" customHeight="1">
      <c r="B656" s="51"/>
      <c r="C656" s="52"/>
    </row>
    <row r="657" spans="2:3" ht="13.5" customHeight="1">
      <c r="B657" s="51"/>
      <c r="C657" s="52"/>
    </row>
    <row r="658" spans="2:3" ht="13.5" customHeight="1">
      <c r="B658" s="51"/>
      <c r="C658" s="52"/>
    </row>
    <row r="659" spans="2:3" ht="13.5" customHeight="1">
      <c r="B659" s="51"/>
      <c r="C659" s="52"/>
    </row>
    <row r="660" spans="2:3" ht="13.5" customHeight="1">
      <c r="B660" s="51"/>
      <c r="C660" s="52"/>
    </row>
    <row r="661" spans="2:3" ht="13.5" customHeight="1">
      <c r="B661" s="51"/>
      <c r="C661" s="52"/>
    </row>
    <row r="662" spans="2:3" ht="13.5" customHeight="1">
      <c r="B662" s="51"/>
      <c r="C662" s="52"/>
    </row>
    <row r="663" spans="2:3" ht="13.5" customHeight="1">
      <c r="B663" s="51"/>
      <c r="C663" s="52"/>
    </row>
    <row r="664" spans="2:3" ht="13.5" customHeight="1">
      <c r="B664" s="51"/>
      <c r="C664" s="52"/>
    </row>
    <row r="665" spans="2:3" ht="13.5" customHeight="1">
      <c r="B665" s="51"/>
      <c r="C665" s="52"/>
    </row>
    <row r="666" spans="2:3" ht="13.5" customHeight="1">
      <c r="B666" s="51"/>
      <c r="C666" s="52"/>
    </row>
    <row r="667" spans="2:3" ht="13.5" customHeight="1">
      <c r="B667" s="51"/>
      <c r="C667" s="52"/>
    </row>
    <row r="668" spans="2:3" ht="13.5" customHeight="1">
      <c r="B668" s="51"/>
      <c r="C668" s="52"/>
    </row>
    <row r="669" spans="2:3" ht="13.5" customHeight="1">
      <c r="B669" s="51"/>
      <c r="C669" s="52"/>
    </row>
    <row r="670" spans="2:3" ht="13.5" customHeight="1">
      <c r="B670" s="51"/>
      <c r="C670" s="52"/>
    </row>
    <row r="671" spans="2:3" ht="13.5" customHeight="1">
      <c r="B671" s="51"/>
      <c r="C671" s="52"/>
    </row>
    <row r="672" spans="2:3" ht="13.5" customHeight="1">
      <c r="B672" s="51"/>
      <c r="C672" s="52"/>
    </row>
    <row r="673" spans="2:3" ht="13.5" customHeight="1">
      <c r="B673" s="51"/>
      <c r="C673" s="52"/>
    </row>
    <row r="674" spans="2:3" ht="13.5" customHeight="1">
      <c r="B674" s="51"/>
      <c r="C674" s="52"/>
    </row>
    <row r="675" spans="2:3" ht="13.5" customHeight="1">
      <c r="B675" s="51"/>
      <c r="C675" s="52"/>
    </row>
    <row r="676" spans="2:3" ht="13.5" customHeight="1">
      <c r="B676" s="51"/>
      <c r="C676" s="52"/>
    </row>
    <row r="677" spans="2:3" ht="13.5" customHeight="1">
      <c r="B677" s="51"/>
      <c r="C677" s="52"/>
    </row>
    <row r="678" spans="2:3" ht="13.5" customHeight="1">
      <c r="B678" s="51"/>
      <c r="C678" s="52"/>
    </row>
    <row r="679" spans="2:3" ht="13.5" customHeight="1">
      <c r="B679" s="51"/>
      <c r="C679" s="52"/>
    </row>
    <row r="680" spans="2:3" ht="13.5" customHeight="1">
      <c r="B680" s="51"/>
      <c r="C680" s="52"/>
    </row>
    <row r="681" spans="2:3" ht="13.5" customHeight="1">
      <c r="B681" s="51"/>
      <c r="C681" s="52"/>
    </row>
    <row r="682" spans="2:3" ht="13.5" customHeight="1">
      <c r="B682" s="51"/>
      <c r="C682" s="52"/>
    </row>
    <row r="683" spans="2:3" ht="13.5" customHeight="1">
      <c r="B683" s="51"/>
      <c r="C683" s="52"/>
    </row>
    <row r="684" spans="2:3" ht="13.5" customHeight="1">
      <c r="B684" s="51"/>
      <c r="C684" s="52"/>
    </row>
    <row r="685" spans="2:3" ht="13.5" customHeight="1">
      <c r="B685" s="51"/>
      <c r="C685" s="52"/>
    </row>
    <row r="686" spans="2:3" ht="13.5" customHeight="1">
      <c r="B686" s="51"/>
      <c r="C686" s="52"/>
    </row>
    <row r="687" spans="2:3" ht="13.5" customHeight="1">
      <c r="B687" s="51"/>
      <c r="C687" s="52"/>
    </row>
    <row r="688" spans="2:3" ht="13.5" customHeight="1">
      <c r="B688" s="51"/>
      <c r="C688" s="52"/>
    </row>
    <row r="689" spans="2:3" ht="13.5" customHeight="1">
      <c r="B689" s="51"/>
      <c r="C689" s="52"/>
    </row>
    <row r="690" spans="2:3" ht="13.5" customHeight="1">
      <c r="B690" s="51"/>
      <c r="C690" s="52"/>
    </row>
    <row r="691" spans="2:3" ht="13.5" customHeight="1">
      <c r="B691" s="51"/>
      <c r="C691" s="52"/>
    </row>
    <row r="692" spans="2:3" ht="13.5" customHeight="1">
      <c r="B692" s="51"/>
      <c r="C692" s="52"/>
    </row>
    <row r="693" spans="2:3" ht="13.5" customHeight="1">
      <c r="B693" s="51"/>
      <c r="C693" s="52"/>
    </row>
    <row r="694" spans="2:3" ht="13.5" customHeight="1">
      <c r="B694" s="51"/>
      <c r="C694" s="52"/>
    </row>
    <row r="695" spans="2:3" ht="13.5" customHeight="1">
      <c r="B695" s="51"/>
      <c r="C695" s="52"/>
    </row>
    <row r="696" spans="2:3" ht="13.5" customHeight="1">
      <c r="B696" s="51"/>
      <c r="C696" s="52"/>
    </row>
    <row r="697" spans="2:3" ht="13.5" customHeight="1">
      <c r="B697" s="51"/>
      <c r="C697" s="52"/>
    </row>
    <row r="698" spans="2:3" ht="13.5" customHeight="1">
      <c r="B698" s="51"/>
      <c r="C698" s="52"/>
    </row>
    <row r="699" spans="2:3" ht="13.5" customHeight="1">
      <c r="B699" s="51"/>
      <c r="C699" s="52"/>
    </row>
    <row r="700" spans="2:3" ht="13.5" customHeight="1">
      <c r="B700" s="51"/>
      <c r="C700" s="52"/>
    </row>
    <row r="701" spans="2:3" ht="13.5" customHeight="1">
      <c r="B701" s="51"/>
      <c r="C701" s="52"/>
    </row>
    <row r="702" spans="2:3" ht="13.5" customHeight="1">
      <c r="B702" s="51"/>
      <c r="C702" s="52"/>
    </row>
    <row r="703" spans="2:3" ht="13.5" customHeight="1">
      <c r="B703" s="51"/>
      <c r="C703" s="52"/>
    </row>
    <row r="704" spans="2:3" ht="13.5" customHeight="1">
      <c r="B704" s="51"/>
      <c r="C704" s="52"/>
    </row>
    <row r="705" spans="2:3" ht="13.5" customHeight="1">
      <c r="B705" s="51"/>
      <c r="C705" s="52"/>
    </row>
    <row r="706" spans="2:3" ht="13.5" customHeight="1">
      <c r="B706" s="51"/>
      <c r="C706" s="52"/>
    </row>
    <row r="707" spans="2:3" ht="13.5" customHeight="1">
      <c r="B707" s="51"/>
      <c r="C707" s="52"/>
    </row>
    <row r="708" spans="2:3" ht="13.5" customHeight="1">
      <c r="B708" s="51"/>
      <c r="C708" s="52"/>
    </row>
    <row r="709" spans="2:3" ht="13.5" customHeight="1">
      <c r="B709" s="51"/>
      <c r="C709" s="52"/>
    </row>
    <row r="710" spans="2:3" ht="13.5" customHeight="1">
      <c r="B710" s="51"/>
      <c r="C710" s="52"/>
    </row>
    <row r="711" spans="2:3" ht="13.5" customHeight="1">
      <c r="B711" s="51"/>
      <c r="C711" s="52"/>
    </row>
    <row r="712" spans="2:3" ht="13.5" customHeight="1">
      <c r="B712" s="51"/>
      <c r="C712" s="52"/>
    </row>
    <row r="713" spans="2:3" ht="13.5" customHeight="1">
      <c r="B713" s="51"/>
      <c r="C713" s="52"/>
    </row>
    <row r="714" spans="2:3" ht="13.5" customHeight="1">
      <c r="B714" s="51"/>
      <c r="C714" s="52"/>
    </row>
    <row r="715" spans="2:3" ht="13.5" customHeight="1">
      <c r="B715" s="51"/>
      <c r="C715" s="52"/>
    </row>
    <row r="716" spans="2:3" ht="13.5" customHeight="1">
      <c r="B716" s="51"/>
      <c r="C716" s="52"/>
    </row>
    <row r="717" spans="2:3" ht="13.5" customHeight="1">
      <c r="B717" s="51"/>
      <c r="C717" s="52"/>
    </row>
    <row r="718" spans="2:3" ht="13.5" customHeight="1">
      <c r="B718" s="51"/>
      <c r="C718" s="52"/>
    </row>
    <row r="719" spans="2:3" ht="13.5" customHeight="1">
      <c r="B719" s="51"/>
      <c r="C719" s="52"/>
    </row>
    <row r="720" spans="2:3" ht="13.5" customHeight="1">
      <c r="B720" s="51"/>
      <c r="C720" s="52"/>
    </row>
    <row r="721" spans="2:3" ht="13.5" customHeight="1">
      <c r="B721" s="51"/>
      <c r="C721" s="52"/>
    </row>
    <row r="722" spans="2:3" ht="13.5" customHeight="1">
      <c r="B722" s="51"/>
      <c r="C722" s="52"/>
    </row>
    <row r="723" spans="2:3" ht="13.5" customHeight="1">
      <c r="B723" s="51"/>
      <c r="C723" s="52"/>
    </row>
    <row r="724" spans="2:3" ht="13.5" customHeight="1">
      <c r="B724" s="51"/>
      <c r="C724" s="52"/>
    </row>
    <row r="725" spans="2:3" ht="13.5" customHeight="1">
      <c r="B725" s="51"/>
      <c r="C725" s="52"/>
    </row>
    <row r="726" spans="2:3" ht="13.5" customHeight="1">
      <c r="B726" s="51"/>
      <c r="C726" s="52"/>
    </row>
    <row r="727" spans="2:3" ht="13.5" customHeight="1">
      <c r="B727" s="51"/>
      <c r="C727" s="52"/>
    </row>
    <row r="728" spans="2:3" ht="13.5" customHeight="1">
      <c r="B728" s="51"/>
      <c r="C728" s="52"/>
    </row>
    <row r="729" spans="2:3" ht="13.5" customHeight="1">
      <c r="B729" s="51"/>
      <c r="C729" s="52"/>
    </row>
    <row r="730" spans="2:3" ht="13.5" customHeight="1">
      <c r="B730" s="51"/>
      <c r="C730" s="52"/>
    </row>
    <row r="731" spans="2:3" ht="13.5" customHeight="1">
      <c r="B731" s="51"/>
      <c r="C731" s="52"/>
    </row>
    <row r="732" spans="2:3" ht="13.5" customHeight="1">
      <c r="B732" s="51"/>
      <c r="C732" s="52"/>
    </row>
    <row r="733" spans="2:3" ht="13.5" customHeight="1">
      <c r="B733" s="51"/>
      <c r="C733" s="52"/>
    </row>
    <row r="734" spans="2:3" ht="13.5" customHeight="1">
      <c r="B734" s="51"/>
      <c r="C734" s="52"/>
    </row>
    <row r="735" spans="2:3" ht="13.5" customHeight="1">
      <c r="B735" s="51"/>
      <c r="C735" s="52"/>
    </row>
    <row r="736" spans="2:3" ht="13.5" customHeight="1">
      <c r="B736" s="51"/>
      <c r="C736" s="52"/>
    </row>
    <row r="737" spans="2:3" ht="13.5" customHeight="1">
      <c r="B737" s="51"/>
      <c r="C737" s="52"/>
    </row>
    <row r="738" spans="2:3" ht="13.5" customHeight="1">
      <c r="B738" s="51"/>
      <c r="C738" s="52"/>
    </row>
    <row r="739" spans="2:3" ht="13.5" customHeight="1">
      <c r="B739" s="51"/>
      <c r="C739" s="52"/>
    </row>
    <row r="740" spans="2:3" ht="13.5" customHeight="1">
      <c r="B740" s="51"/>
      <c r="C740" s="52"/>
    </row>
    <row r="741" spans="2:3" ht="13.5" customHeight="1">
      <c r="B741" s="51"/>
      <c r="C741" s="52"/>
    </row>
    <row r="742" spans="2:3" ht="13.5" customHeight="1">
      <c r="B742" s="51"/>
      <c r="C742" s="52"/>
    </row>
    <row r="743" spans="2:3" ht="13.5" customHeight="1">
      <c r="B743" s="51"/>
      <c r="C743" s="52"/>
    </row>
    <row r="744" spans="2:3" ht="13.5" customHeight="1">
      <c r="B744" s="51"/>
      <c r="C744" s="52"/>
    </row>
    <row r="745" spans="2:3" ht="13.5" customHeight="1">
      <c r="B745" s="51"/>
      <c r="C745" s="52"/>
    </row>
    <row r="746" spans="2:3" ht="13.5" customHeight="1">
      <c r="B746" s="51"/>
      <c r="C746" s="52"/>
    </row>
    <row r="747" spans="2:3" ht="13.5" customHeight="1">
      <c r="B747" s="51"/>
      <c r="C747" s="52"/>
    </row>
    <row r="748" spans="2:3" ht="13.5" customHeight="1">
      <c r="B748" s="51"/>
      <c r="C748" s="52"/>
    </row>
    <row r="749" spans="2:3" ht="13.5" customHeight="1">
      <c r="B749" s="51"/>
      <c r="C749" s="52"/>
    </row>
    <row r="750" spans="2:3" ht="13.5" customHeight="1">
      <c r="B750" s="51"/>
      <c r="C750" s="52"/>
    </row>
    <row r="751" spans="2:3" ht="13.5" customHeight="1">
      <c r="B751" s="51"/>
      <c r="C751" s="52"/>
    </row>
    <row r="752" spans="2:3" ht="13.5" customHeight="1">
      <c r="B752" s="51"/>
      <c r="C752" s="52"/>
    </row>
    <row r="753" spans="2:3" ht="13.5" customHeight="1">
      <c r="B753" s="51"/>
      <c r="C753" s="52"/>
    </row>
    <row r="754" spans="2:3" ht="13.5" customHeight="1">
      <c r="B754" s="51"/>
      <c r="C754" s="52"/>
    </row>
    <row r="755" spans="2:3" ht="13.5" customHeight="1">
      <c r="B755" s="51"/>
      <c r="C755" s="52"/>
    </row>
    <row r="756" spans="2:3" ht="13.5" customHeight="1">
      <c r="B756" s="51"/>
      <c r="C756" s="52"/>
    </row>
    <row r="757" spans="2:3" ht="13.5" customHeight="1">
      <c r="B757" s="51"/>
      <c r="C757" s="52"/>
    </row>
    <row r="758" spans="2:3" ht="13.5" customHeight="1">
      <c r="B758" s="51"/>
      <c r="C758" s="52"/>
    </row>
    <row r="759" spans="2:3" ht="13.5" customHeight="1">
      <c r="B759" s="51"/>
      <c r="C759" s="52"/>
    </row>
    <row r="760" spans="2:3" ht="13.5" customHeight="1">
      <c r="B760" s="51"/>
      <c r="C760" s="52"/>
    </row>
    <row r="761" spans="2:3" ht="13.5" customHeight="1">
      <c r="B761" s="51"/>
      <c r="C761" s="52"/>
    </row>
    <row r="762" spans="2:3" ht="13.5" customHeight="1">
      <c r="B762" s="51"/>
      <c r="C762" s="52"/>
    </row>
    <row r="763" spans="2:3" ht="13.5" customHeight="1">
      <c r="B763" s="51"/>
      <c r="C763" s="52"/>
    </row>
    <row r="764" spans="2:3" ht="13.5" customHeight="1">
      <c r="B764" s="51"/>
      <c r="C764" s="52"/>
    </row>
    <row r="765" spans="2:3" ht="13.5" customHeight="1">
      <c r="B765" s="51"/>
      <c r="C765" s="52"/>
    </row>
    <row r="766" spans="2:3" ht="13.5" customHeight="1">
      <c r="B766" s="51"/>
      <c r="C766" s="52"/>
    </row>
    <row r="767" spans="2:3" ht="13.5" customHeight="1">
      <c r="B767" s="51"/>
      <c r="C767" s="52"/>
    </row>
    <row r="768" spans="2:3" ht="13.5" customHeight="1">
      <c r="B768" s="51"/>
      <c r="C768" s="52"/>
    </row>
    <row r="769" spans="2:3" ht="13.5" customHeight="1">
      <c r="B769" s="51"/>
      <c r="C769" s="52"/>
    </row>
    <row r="770" spans="2:3" ht="13.5" customHeight="1">
      <c r="B770" s="51"/>
      <c r="C770" s="52"/>
    </row>
    <row r="771" spans="2:3" ht="13.5" customHeight="1">
      <c r="B771" s="51"/>
      <c r="C771" s="52"/>
    </row>
    <row r="772" spans="2:3" ht="13.5" customHeight="1">
      <c r="B772" s="51"/>
      <c r="C772" s="52"/>
    </row>
    <row r="773" spans="2:3" ht="13.5" customHeight="1">
      <c r="B773" s="51"/>
      <c r="C773" s="52"/>
    </row>
    <row r="774" spans="2:3" ht="13.5" customHeight="1">
      <c r="B774" s="51"/>
      <c r="C774" s="52"/>
    </row>
    <row r="775" spans="2:3" ht="13.5" customHeight="1">
      <c r="B775" s="51"/>
      <c r="C775" s="52"/>
    </row>
    <row r="776" spans="2:3" ht="13.5" customHeight="1">
      <c r="B776" s="51"/>
      <c r="C776" s="52"/>
    </row>
    <row r="777" spans="2:3" ht="13.5" customHeight="1">
      <c r="B777" s="51"/>
      <c r="C777" s="52"/>
    </row>
    <row r="778" spans="2:3" ht="13.5" customHeight="1">
      <c r="B778" s="51"/>
      <c r="C778" s="52"/>
    </row>
    <row r="779" spans="2:3" ht="13.5" customHeight="1">
      <c r="B779" s="51"/>
      <c r="C779" s="52"/>
    </row>
    <row r="780" spans="2:3" ht="13.5" customHeight="1">
      <c r="B780" s="51"/>
      <c r="C780" s="52"/>
    </row>
    <row r="781" spans="2:3" ht="13.5" customHeight="1">
      <c r="B781" s="51"/>
      <c r="C781" s="52"/>
    </row>
    <row r="782" spans="2:3" ht="13.5" customHeight="1">
      <c r="B782" s="51"/>
      <c r="C782" s="52"/>
    </row>
    <row r="783" spans="2:3" ht="13.5" customHeight="1">
      <c r="B783" s="51"/>
      <c r="C783" s="52"/>
    </row>
    <row r="784" spans="2:3" ht="13.5" customHeight="1">
      <c r="B784" s="51"/>
      <c r="C784" s="52"/>
    </row>
    <row r="785" spans="2:3" ht="13.5" customHeight="1">
      <c r="B785" s="51"/>
      <c r="C785" s="52"/>
    </row>
    <row r="786" spans="2:3" ht="13.5" customHeight="1">
      <c r="B786" s="51"/>
      <c r="C786" s="52"/>
    </row>
    <row r="787" spans="2:3" ht="13.5" customHeight="1">
      <c r="B787" s="51"/>
      <c r="C787" s="52"/>
    </row>
    <row r="788" spans="2:3" ht="13.5" customHeight="1">
      <c r="B788" s="51"/>
      <c r="C788" s="52"/>
    </row>
    <row r="789" spans="2:3" ht="13.5" customHeight="1">
      <c r="B789" s="51"/>
      <c r="C789" s="52"/>
    </row>
    <row r="790" spans="2:3" ht="13.5" customHeight="1">
      <c r="B790" s="51"/>
      <c r="C790" s="52"/>
    </row>
    <row r="791" spans="2:3" ht="13.5" customHeight="1">
      <c r="B791" s="51"/>
      <c r="C791" s="52"/>
    </row>
    <row r="792" spans="2:3" ht="13.5" customHeight="1">
      <c r="B792" s="51"/>
      <c r="C792" s="52"/>
    </row>
    <row r="793" spans="2:3" ht="13.5" customHeight="1">
      <c r="B793" s="51"/>
      <c r="C793" s="52"/>
    </row>
    <row r="794" spans="2:3" ht="13.5" customHeight="1">
      <c r="B794" s="51"/>
      <c r="C794" s="52"/>
    </row>
    <row r="795" spans="2:3" ht="13.5" customHeight="1">
      <c r="B795" s="51"/>
      <c r="C795" s="52"/>
    </row>
    <row r="796" spans="2:3" ht="13.5" customHeight="1">
      <c r="B796" s="51"/>
      <c r="C796" s="52"/>
    </row>
    <row r="797" spans="2:3" ht="13.5" customHeight="1">
      <c r="B797" s="51"/>
      <c r="C797" s="52"/>
    </row>
    <row r="798" spans="2:3" ht="13.5" customHeight="1">
      <c r="B798" s="51"/>
      <c r="C798" s="52"/>
    </row>
    <row r="799" spans="2:3" ht="13.5" customHeight="1">
      <c r="B799" s="51"/>
      <c r="C799" s="52"/>
    </row>
    <row r="800" spans="2:3" ht="13.5" customHeight="1">
      <c r="B800" s="51"/>
      <c r="C800" s="52"/>
    </row>
    <row r="801" spans="2:3" ht="13.5" customHeight="1">
      <c r="B801" s="51"/>
      <c r="C801" s="52"/>
    </row>
    <row r="802" spans="2:3" ht="13.5" customHeight="1">
      <c r="B802" s="51"/>
      <c r="C802" s="52"/>
    </row>
    <row r="803" spans="2:3" ht="13.5" customHeight="1">
      <c r="B803" s="51"/>
      <c r="C803" s="52"/>
    </row>
    <row r="804" spans="2:3" ht="13.5" customHeight="1">
      <c r="B804" s="51"/>
      <c r="C804" s="52"/>
    </row>
    <row r="805" spans="2:3" ht="13.5" customHeight="1">
      <c r="B805" s="51"/>
      <c r="C805" s="52"/>
    </row>
    <row r="806" spans="2:3" ht="13.5" customHeight="1">
      <c r="B806" s="51"/>
      <c r="C806" s="52"/>
    </row>
    <row r="807" spans="2:3" ht="13.5" customHeight="1">
      <c r="B807" s="51"/>
      <c r="C807" s="52"/>
    </row>
    <row r="808" spans="2:3" ht="13.5" customHeight="1">
      <c r="B808" s="51"/>
      <c r="C808" s="52"/>
    </row>
    <row r="809" spans="2:3" ht="13.5" customHeight="1">
      <c r="B809" s="51"/>
      <c r="C809" s="52"/>
    </row>
    <row r="810" spans="2:3" ht="13.5" customHeight="1">
      <c r="B810" s="51"/>
      <c r="C810" s="52"/>
    </row>
    <row r="811" spans="2:3" ht="13.5" customHeight="1">
      <c r="B811" s="51"/>
      <c r="C811" s="52"/>
    </row>
    <row r="812" spans="2:3" ht="13.5" customHeight="1">
      <c r="B812" s="51"/>
      <c r="C812" s="52"/>
    </row>
    <row r="813" spans="2:3" ht="13.5" customHeight="1">
      <c r="B813" s="51"/>
      <c r="C813" s="52"/>
    </row>
    <row r="814" spans="2:3" ht="13.5" customHeight="1">
      <c r="B814" s="51"/>
      <c r="C814" s="52"/>
    </row>
    <row r="815" spans="2:3" ht="13.5" customHeight="1">
      <c r="B815" s="51"/>
      <c r="C815" s="52"/>
    </row>
    <row r="816" spans="2:3" ht="13.5" customHeight="1">
      <c r="B816" s="51"/>
      <c r="C816" s="52"/>
    </row>
    <row r="817" spans="2:3" ht="13.5" customHeight="1">
      <c r="B817" s="51"/>
      <c r="C817" s="52"/>
    </row>
    <row r="818" spans="2:3" ht="13.5" customHeight="1">
      <c r="B818" s="51"/>
      <c r="C818" s="52"/>
    </row>
    <row r="819" spans="2:3" ht="13.5" customHeight="1">
      <c r="B819" s="51"/>
      <c r="C819" s="52"/>
    </row>
    <row r="820" spans="2:3" ht="13.5" customHeight="1">
      <c r="B820" s="51"/>
      <c r="C820" s="52"/>
    </row>
    <row r="821" spans="2:3" ht="13.5" customHeight="1">
      <c r="B821" s="51"/>
      <c r="C821" s="52"/>
    </row>
    <row r="822" spans="2:3" ht="13.5" customHeight="1">
      <c r="B822" s="51"/>
      <c r="C822" s="52"/>
    </row>
    <row r="823" spans="2:3" ht="13.5" customHeight="1">
      <c r="B823" s="51"/>
      <c r="C823" s="52"/>
    </row>
    <row r="824" spans="2:3" ht="13.5" customHeight="1">
      <c r="B824" s="51"/>
      <c r="C824" s="52"/>
    </row>
    <row r="825" spans="2:3" ht="13.5" customHeight="1">
      <c r="B825" s="51"/>
      <c r="C825" s="52"/>
    </row>
    <row r="826" spans="2:3" ht="13.5" customHeight="1">
      <c r="B826" s="51"/>
      <c r="C826" s="52"/>
    </row>
    <row r="827" spans="2:3" ht="13.5" customHeight="1">
      <c r="B827" s="51"/>
      <c r="C827" s="52"/>
    </row>
    <row r="828" spans="2:3" ht="13.5" customHeight="1">
      <c r="B828" s="51"/>
      <c r="C828" s="52"/>
    </row>
    <row r="829" spans="2:3" ht="13.5" customHeight="1">
      <c r="B829" s="51"/>
      <c r="C829" s="52"/>
    </row>
    <row r="830" spans="2:3" ht="13.5" customHeight="1">
      <c r="B830" s="51"/>
      <c r="C830" s="52"/>
    </row>
    <row r="831" spans="2:3" ht="13.5" customHeight="1">
      <c r="B831" s="51"/>
      <c r="C831" s="52"/>
    </row>
    <row r="832" spans="2:3" ht="13.5" customHeight="1">
      <c r="B832" s="51"/>
      <c r="C832" s="52"/>
    </row>
    <row r="833" spans="2:3" ht="13.5" customHeight="1">
      <c r="B833" s="51"/>
      <c r="C833" s="52"/>
    </row>
    <row r="834" spans="2:3" ht="13.5" customHeight="1">
      <c r="B834" s="51"/>
      <c r="C834" s="52"/>
    </row>
    <row r="835" spans="2:3" ht="13.5" customHeight="1">
      <c r="B835" s="51"/>
      <c r="C835" s="52"/>
    </row>
    <row r="836" spans="2:3" ht="13.5" customHeight="1">
      <c r="B836" s="51"/>
      <c r="C836" s="52"/>
    </row>
    <row r="837" spans="2:3" ht="13.5" customHeight="1">
      <c r="B837" s="51"/>
      <c r="C837" s="52"/>
    </row>
    <row r="838" spans="2:3" ht="13.5" customHeight="1">
      <c r="B838" s="51"/>
      <c r="C838" s="52"/>
    </row>
    <row r="839" spans="2:3" ht="13.5" customHeight="1">
      <c r="B839" s="51"/>
      <c r="C839" s="52"/>
    </row>
    <row r="840" spans="2:3" ht="13.5" customHeight="1">
      <c r="B840" s="51"/>
      <c r="C840" s="52"/>
    </row>
    <row r="841" spans="2:3" ht="13.5" customHeight="1">
      <c r="B841" s="51"/>
      <c r="C841" s="52"/>
    </row>
    <row r="842" spans="2:3" ht="13.5" customHeight="1">
      <c r="B842" s="51"/>
      <c r="C842" s="52"/>
    </row>
    <row r="843" spans="2:3" ht="13.5" customHeight="1">
      <c r="B843" s="51"/>
      <c r="C843" s="52"/>
    </row>
    <row r="844" spans="2:3" ht="13.5" customHeight="1">
      <c r="B844" s="51"/>
      <c r="C844" s="52"/>
    </row>
    <row r="845" spans="2:3" ht="13.5" customHeight="1">
      <c r="B845" s="51"/>
      <c r="C845" s="52"/>
    </row>
    <row r="846" spans="2:3" ht="13.5" customHeight="1">
      <c r="B846" s="51"/>
      <c r="C846" s="52"/>
    </row>
    <row r="847" spans="2:3" ht="13.5" customHeight="1">
      <c r="B847" s="51"/>
      <c r="C847" s="52"/>
    </row>
    <row r="848" spans="2:3" ht="13.5" customHeight="1">
      <c r="B848" s="51"/>
      <c r="C848" s="52"/>
    </row>
    <row r="849" spans="2:3" ht="13.5" customHeight="1">
      <c r="B849" s="51"/>
      <c r="C849" s="52"/>
    </row>
    <row r="850" spans="2:3" ht="13.5" customHeight="1">
      <c r="B850" s="51"/>
      <c r="C850" s="52"/>
    </row>
    <row r="851" spans="2:3" ht="13.5" customHeight="1">
      <c r="B851" s="51"/>
      <c r="C851" s="52"/>
    </row>
    <row r="852" spans="2:3" ht="13.5" customHeight="1">
      <c r="B852" s="51"/>
      <c r="C852" s="52"/>
    </row>
    <row r="853" spans="2:3" ht="13.5" customHeight="1">
      <c r="B853" s="51"/>
      <c r="C853" s="52"/>
    </row>
    <row r="854" spans="2:3" ht="13.5" customHeight="1">
      <c r="B854" s="51"/>
      <c r="C854" s="52"/>
    </row>
    <row r="855" spans="2:3" ht="13.5" customHeight="1">
      <c r="B855" s="51"/>
      <c r="C855" s="52"/>
    </row>
    <row r="856" spans="2:3" ht="13.5" customHeight="1">
      <c r="B856" s="51"/>
      <c r="C856" s="52"/>
    </row>
    <row r="857" spans="2:3" ht="13.5" customHeight="1">
      <c r="B857" s="51"/>
      <c r="C857" s="52"/>
    </row>
    <row r="858" spans="2:3" ht="13.5" customHeight="1">
      <c r="B858" s="51"/>
      <c r="C858" s="52"/>
    </row>
    <row r="859" spans="2:3" ht="13.5" customHeight="1">
      <c r="B859" s="51"/>
      <c r="C859" s="52"/>
    </row>
    <row r="860" spans="2:3" ht="13.5" customHeight="1">
      <c r="B860" s="51"/>
      <c r="C860" s="52"/>
    </row>
    <row r="861" spans="2:3" ht="13.5" customHeight="1">
      <c r="B861" s="51"/>
      <c r="C861" s="52"/>
    </row>
    <row r="862" spans="2:3" ht="13.5" customHeight="1">
      <c r="B862" s="51"/>
      <c r="C862" s="52"/>
    </row>
    <row r="863" spans="2:3" ht="13.5" customHeight="1">
      <c r="B863" s="51"/>
      <c r="C863" s="52"/>
    </row>
    <row r="864" spans="2:3" ht="13.5" customHeight="1">
      <c r="B864" s="51"/>
      <c r="C864" s="52"/>
    </row>
    <row r="865" spans="2:3" ht="13.5" customHeight="1">
      <c r="B865" s="51"/>
      <c r="C865" s="52"/>
    </row>
    <row r="866" spans="2:3" ht="13.5" customHeight="1">
      <c r="B866" s="51"/>
      <c r="C866" s="52"/>
    </row>
    <row r="867" spans="2:3" ht="13.5" customHeight="1">
      <c r="B867" s="51"/>
      <c r="C867" s="52"/>
    </row>
    <row r="868" spans="2:3" ht="13.5" customHeight="1">
      <c r="B868" s="51"/>
      <c r="C868" s="52"/>
    </row>
    <row r="869" spans="2:3" ht="13.5" customHeight="1">
      <c r="B869" s="51"/>
      <c r="C869" s="52"/>
    </row>
    <row r="870" spans="2:3" ht="13.5" customHeight="1">
      <c r="B870" s="51"/>
      <c r="C870" s="52"/>
    </row>
    <row r="871" spans="2:3" ht="13.5" customHeight="1">
      <c r="B871" s="51"/>
      <c r="C871" s="52"/>
    </row>
    <row r="872" spans="2:3" ht="13.5" customHeight="1">
      <c r="B872" s="51"/>
      <c r="C872" s="52"/>
    </row>
    <row r="873" spans="2:3" ht="13.5" customHeight="1">
      <c r="B873" s="51"/>
      <c r="C873" s="52"/>
    </row>
    <row r="874" spans="2:3" ht="13.5" customHeight="1">
      <c r="B874" s="51"/>
      <c r="C874" s="52"/>
    </row>
    <row r="875" spans="2:3" ht="13.5" customHeight="1">
      <c r="B875" s="51"/>
      <c r="C875" s="52"/>
    </row>
    <row r="876" spans="2:3" ht="13.5" customHeight="1">
      <c r="B876" s="51"/>
      <c r="C876" s="52"/>
    </row>
    <row r="877" spans="2:3" ht="13.5" customHeight="1">
      <c r="B877" s="51"/>
      <c r="C877" s="52"/>
    </row>
    <row r="878" spans="2:3" ht="13.5" customHeight="1">
      <c r="B878" s="51"/>
      <c r="C878" s="52"/>
    </row>
    <row r="879" spans="2:3" ht="13.5" customHeight="1">
      <c r="B879" s="51"/>
      <c r="C879" s="52"/>
    </row>
    <row r="880" spans="2:3" ht="13.5" customHeight="1">
      <c r="B880" s="51"/>
      <c r="C880" s="52"/>
    </row>
    <row r="881" spans="2:3" ht="13.5" customHeight="1">
      <c r="B881" s="51"/>
      <c r="C881" s="52"/>
    </row>
    <row r="882" spans="2:3" ht="13.5" customHeight="1">
      <c r="B882" s="51"/>
      <c r="C882" s="52"/>
    </row>
    <row r="883" spans="2:3" ht="13.5" customHeight="1">
      <c r="B883" s="51"/>
      <c r="C883" s="52"/>
    </row>
    <row r="884" spans="2:3" ht="13.5" customHeight="1">
      <c r="B884" s="51"/>
      <c r="C884" s="52"/>
    </row>
    <row r="885" spans="2:3" ht="13.5" customHeight="1">
      <c r="B885" s="51"/>
      <c r="C885" s="52"/>
    </row>
    <row r="886" spans="2:3" ht="13.5" customHeight="1">
      <c r="B886" s="51"/>
      <c r="C886" s="52"/>
    </row>
    <row r="887" spans="2:3" ht="13.5" customHeight="1">
      <c r="B887" s="51"/>
      <c r="C887" s="52"/>
    </row>
    <row r="888" spans="2:3" ht="13.5" customHeight="1">
      <c r="B888" s="51"/>
      <c r="C888" s="52"/>
    </row>
    <row r="889" spans="2:3" ht="13.5" customHeight="1">
      <c r="B889" s="51"/>
      <c r="C889" s="52"/>
    </row>
    <row r="890" spans="2:3" ht="13.5" customHeight="1">
      <c r="B890" s="51"/>
      <c r="C890" s="52"/>
    </row>
    <row r="891" spans="2:3" ht="13.5" customHeight="1">
      <c r="B891" s="51"/>
      <c r="C891" s="52"/>
    </row>
    <row r="892" spans="2:3" ht="13.5" customHeight="1">
      <c r="B892" s="51"/>
      <c r="C892" s="52"/>
    </row>
    <row r="893" spans="2:3" ht="13.5" customHeight="1">
      <c r="B893" s="51"/>
      <c r="C893" s="52"/>
    </row>
    <row r="894" spans="2:3" ht="13.5" customHeight="1">
      <c r="B894" s="51"/>
      <c r="C894" s="52"/>
    </row>
    <row r="895" spans="2:3" ht="13.5" customHeight="1">
      <c r="B895" s="51"/>
      <c r="C895" s="52"/>
    </row>
    <row r="896" spans="2:3" ht="13.5" customHeight="1">
      <c r="B896" s="51"/>
      <c r="C896" s="52"/>
    </row>
    <row r="897" spans="2:3" ht="13.5" customHeight="1">
      <c r="B897" s="51"/>
      <c r="C897" s="52"/>
    </row>
    <row r="898" spans="2:3" ht="13.5" customHeight="1">
      <c r="B898" s="51"/>
      <c r="C898" s="52"/>
    </row>
    <row r="899" spans="2:3" ht="13.5" customHeight="1">
      <c r="B899" s="51"/>
      <c r="C899" s="52"/>
    </row>
    <row r="900" spans="2:3" ht="13.5" customHeight="1">
      <c r="B900" s="51"/>
      <c r="C900" s="52"/>
    </row>
    <row r="901" spans="2:3" ht="13.5" customHeight="1">
      <c r="B901" s="51"/>
      <c r="C901" s="52"/>
    </row>
    <row r="902" spans="2:3" ht="13.5" customHeight="1">
      <c r="B902" s="51"/>
      <c r="C902" s="52"/>
    </row>
    <row r="903" spans="2:3" ht="13.5" customHeight="1">
      <c r="B903" s="51"/>
      <c r="C903" s="52"/>
    </row>
    <row r="904" spans="2:3" ht="13.5" customHeight="1">
      <c r="B904" s="51"/>
      <c r="C904" s="52"/>
    </row>
    <row r="905" spans="2:3" ht="13.5" customHeight="1">
      <c r="B905" s="51"/>
      <c r="C905" s="52"/>
    </row>
    <row r="906" spans="2:3" ht="13.5" customHeight="1">
      <c r="B906" s="51"/>
      <c r="C906" s="52"/>
    </row>
    <row r="907" spans="2:3" ht="13.5" customHeight="1">
      <c r="B907" s="51"/>
      <c r="C907" s="52"/>
    </row>
    <row r="908" spans="2:3" ht="13.5" customHeight="1">
      <c r="B908" s="51"/>
      <c r="C908" s="52"/>
    </row>
    <row r="909" spans="2:3" ht="13.5" customHeight="1">
      <c r="B909" s="51"/>
      <c r="C909" s="52"/>
    </row>
    <row r="910" spans="2:3" ht="13.5" customHeight="1">
      <c r="B910" s="51"/>
      <c r="C910" s="52"/>
    </row>
    <row r="911" spans="2:3" ht="13.5" customHeight="1">
      <c r="B911" s="51"/>
      <c r="C911" s="52"/>
    </row>
    <row r="912" spans="2:3" ht="13.5" customHeight="1">
      <c r="B912" s="51"/>
      <c r="C912" s="52"/>
    </row>
    <row r="913" spans="2:3" ht="13.5" customHeight="1">
      <c r="B913" s="51"/>
      <c r="C913" s="52"/>
    </row>
    <row r="914" spans="2:3" ht="13.5" customHeight="1">
      <c r="B914" s="51"/>
      <c r="C914" s="52"/>
    </row>
    <row r="915" spans="2:3" ht="13.5" customHeight="1">
      <c r="B915" s="51"/>
      <c r="C915" s="52"/>
    </row>
    <row r="916" spans="2:3" ht="13.5" customHeight="1">
      <c r="B916" s="51"/>
      <c r="C916" s="52"/>
    </row>
    <row r="917" spans="2:3" ht="13.5" customHeight="1">
      <c r="B917" s="51"/>
      <c r="C917" s="52"/>
    </row>
    <row r="918" spans="2:3" ht="13.5" customHeight="1">
      <c r="B918" s="51"/>
      <c r="C918" s="52"/>
    </row>
    <row r="919" spans="2:3" ht="13.5" customHeight="1">
      <c r="B919" s="51"/>
      <c r="C919" s="52"/>
    </row>
    <row r="920" spans="2:3" ht="13.5" customHeight="1">
      <c r="B920" s="51"/>
      <c r="C920" s="52"/>
    </row>
    <row r="921" spans="2:3" ht="13.5" customHeight="1">
      <c r="B921" s="51"/>
      <c r="C921" s="52"/>
    </row>
    <row r="922" spans="2:3" ht="13.5" customHeight="1">
      <c r="B922" s="51"/>
      <c r="C922" s="52"/>
    </row>
    <row r="923" spans="2:3" ht="13.5" customHeight="1">
      <c r="B923" s="51"/>
      <c r="C923" s="52"/>
    </row>
    <row r="924" spans="2:3" ht="13.5" customHeight="1">
      <c r="B924" s="51"/>
      <c r="C924" s="52"/>
    </row>
    <row r="925" spans="2:3" ht="13.5" customHeight="1">
      <c r="B925" s="51"/>
      <c r="C925" s="52"/>
    </row>
    <row r="926" spans="2:3" ht="13.5" customHeight="1">
      <c r="B926" s="51"/>
      <c r="C926" s="52"/>
    </row>
    <row r="927" spans="2:3" ht="13.5" customHeight="1">
      <c r="B927" s="51"/>
      <c r="C927" s="52"/>
    </row>
    <row r="928" spans="2:3" ht="13.5" customHeight="1">
      <c r="B928" s="51"/>
      <c r="C928" s="52"/>
    </row>
    <row r="929" spans="2:3" ht="13.5" customHeight="1">
      <c r="B929" s="51"/>
      <c r="C929" s="52"/>
    </row>
    <row r="930" spans="2:3" ht="13.5" customHeight="1">
      <c r="B930" s="51"/>
      <c r="C930" s="52"/>
    </row>
    <row r="931" spans="2:3" ht="13.5" customHeight="1">
      <c r="B931" s="51"/>
      <c r="C931" s="52"/>
    </row>
    <row r="932" spans="2:3" ht="13.5" customHeight="1">
      <c r="B932" s="51"/>
      <c r="C932" s="52"/>
    </row>
    <row r="933" spans="2:3" ht="13.5" customHeight="1">
      <c r="B933" s="51"/>
      <c r="C933" s="52"/>
    </row>
    <row r="934" spans="2:3" ht="13.5" customHeight="1">
      <c r="B934" s="51"/>
      <c r="C934" s="52"/>
    </row>
    <row r="935" spans="2:3" ht="13.5" customHeight="1">
      <c r="B935" s="51"/>
      <c r="C935" s="52"/>
    </row>
    <row r="936" spans="2:3" ht="13.5" customHeight="1">
      <c r="B936" s="51"/>
      <c r="C936" s="52"/>
    </row>
    <row r="937" spans="2:3" ht="13.5" customHeight="1">
      <c r="B937" s="51"/>
      <c r="C937" s="52"/>
    </row>
    <row r="938" spans="2:3" ht="13.5" customHeight="1">
      <c r="B938" s="51"/>
      <c r="C938" s="52"/>
    </row>
    <row r="939" spans="2:3" ht="13.5" customHeight="1">
      <c r="B939" s="51"/>
      <c r="C939" s="52"/>
    </row>
    <row r="940" spans="2:3" ht="13.5" customHeight="1">
      <c r="B940" s="51"/>
      <c r="C940" s="52"/>
    </row>
    <row r="941" spans="2:3" ht="13.5" customHeight="1">
      <c r="B941" s="51"/>
      <c r="C941" s="52"/>
    </row>
    <row r="942" spans="2:3" ht="13.5" customHeight="1">
      <c r="B942" s="51"/>
      <c r="C942" s="52"/>
    </row>
    <row r="943" spans="2:3" ht="13.5" customHeight="1">
      <c r="B943" s="51"/>
      <c r="C943" s="52"/>
    </row>
    <row r="944" spans="2:3" ht="13.5" customHeight="1">
      <c r="B944" s="51"/>
      <c r="C944" s="52"/>
    </row>
    <row r="945" spans="2:3" ht="13.5" customHeight="1">
      <c r="B945" s="51"/>
      <c r="C945" s="52"/>
    </row>
    <row r="946" spans="2:3" ht="13.5" customHeight="1">
      <c r="B946" s="51"/>
      <c r="C946" s="52"/>
    </row>
    <row r="947" spans="2:3" ht="13.5" customHeight="1">
      <c r="B947" s="51"/>
      <c r="C947" s="52"/>
    </row>
    <row r="948" spans="2:3" ht="13.5" customHeight="1">
      <c r="B948" s="51"/>
      <c r="C948" s="52"/>
    </row>
    <row r="949" spans="2:3" ht="13.5" customHeight="1">
      <c r="B949" s="51"/>
      <c r="C949" s="52"/>
    </row>
    <row r="950" spans="2:3" ht="13.5" customHeight="1">
      <c r="B950" s="51"/>
      <c r="C950" s="52"/>
    </row>
    <row r="951" spans="2:3" ht="13.5" customHeight="1">
      <c r="B951" s="51"/>
      <c r="C951" s="52"/>
    </row>
    <row r="952" spans="2:3" ht="13.5" customHeight="1">
      <c r="B952" s="51"/>
      <c r="C952" s="52"/>
    </row>
    <row r="953" spans="2:3" ht="13.5" customHeight="1">
      <c r="B953" s="51"/>
      <c r="C953" s="52"/>
    </row>
    <row r="954" spans="2:3" ht="13.5" customHeight="1">
      <c r="B954" s="51"/>
      <c r="C954" s="52"/>
    </row>
    <row r="955" spans="2:3" ht="13.5" customHeight="1">
      <c r="B955" s="51"/>
      <c r="C955" s="52"/>
    </row>
    <row r="956" spans="2:3" ht="13.5" customHeight="1">
      <c r="B956" s="51"/>
      <c r="C956" s="52"/>
    </row>
    <row r="957" spans="2:3" ht="13.5" customHeight="1">
      <c r="B957" s="51"/>
      <c r="C957" s="52"/>
    </row>
    <row r="958" spans="2:3" ht="13.5" customHeight="1">
      <c r="B958" s="51"/>
      <c r="C958" s="52"/>
    </row>
    <row r="959" spans="2:3" ht="13.5" customHeight="1">
      <c r="B959" s="51"/>
      <c r="C959" s="52"/>
    </row>
    <row r="960" spans="2:3" ht="13.5" customHeight="1">
      <c r="B960" s="51"/>
      <c r="C960" s="52"/>
    </row>
    <row r="961" spans="2:3" ht="13.5" customHeight="1">
      <c r="B961" s="51"/>
      <c r="C961" s="52"/>
    </row>
    <row r="962" spans="2:3" ht="13.5" customHeight="1">
      <c r="B962" s="51"/>
      <c r="C962" s="52"/>
    </row>
    <row r="963" spans="2:3" ht="13.5" customHeight="1">
      <c r="B963" s="51"/>
      <c r="C963" s="52"/>
    </row>
    <row r="964" spans="2:3" ht="13.5" customHeight="1">
      <c r="B964" s="51"/>
      <c r="C964" s="52"/>
    </row>
    <row r="965" spans="2:3" ht="13.5" customHeight="1">
      <c r="B965" s="51"/>
      <c r="C965" s="52"/>
    </row>
    <row r="966" spans="2:3" ht="13.5" customHeight="1">
      <c r="B966" s="51"/>
      <c r="C966" s="52"/>
    </row>
    <row r="967" spans="2:3" ht="13.5" customHeight="1">
      <c r="B967" s="51"/>
      <c r="C967" s="52"/>
    </row>
    <row r="968" spans="2:3" ht="13.5" customHeight="1">
      <c r="B968" s="51"/>
      <c r="C968" s="52"/>
    </row>
    <row r="969" spans="2:3" ht="13.5" customHeight="1">
      <c r="B969" s="51"/>
      <c r="C969" s="52"/>
    </row>
    <row r="970" spans="2:3" ht="13.5" customHeight="1">
      <c r="B970" s="51"/>
      <c r="C970" s="52"/>
    </row>
    <row r="971" spans="2:3" ht="13.5" customHeight="1">
      <c r="B971" s="51"/>
      <c r="C971" s="52"/>
    </row>
    <row r="972" spans="2:3" ht="13.5" customHeight="1">
      <c r="B972" s="51"/>
      <c r="C972" s="52"/>
    </row>
    <row r="973" spans="2:3" ht="13.5" customHeight="1">
      <c r="B973" s="51"/>
      <c r="C973" s="52"/>
    </row>
    <row r="974" spans="2:3" ht="13.5" customHeight="1">
      <c r="B974" s="51"/>
      <c r="C974" s="52"/>
    </row>
    <row r="975" spans="2:3" ht="13.5" customHeight="1">
      <c r="B975" s="51"/>
      <c r="C975" s="52"/>
    </row>
    <row r="976" spans="2:3" ht="13.5" customHeight="1">
      <c r="B976" s="51"/>
      <c r="C976" s="52"/>
    </row>
    <row r="977" spans="2:3" ht="13.5" customHeight="1">
      <c r="B977" s="51"/>
      <c r="C977" s="52"/>
    </row>
    <row r="978" spans="2:3" ht="13.5" customHeight="1">
      <c r="B978" s="51"/>
      <c r="C978" s="52"/>
    </row>
    <row r="979" spans="2:3" ht="13.5" customHeight="1">
      <c r="B979" s="51"/>
      <c r="C979" s="52"/>
    </row>
    <row r="980" spans="2:3" ht="13.5" customHeight="1">
      <c r="B980" s="51"/>
      <c r="C980" s="52"/>
    </row>
    <row r="981" spans="2:3" ht="13.5" customHeight="1">
      <c r="B981" s="51"/>
      <c r="C981" s="52"/>
    </row>
    <row r="982" spans="2:3" ht="13.5" customHeight="1">
      <c r="B982" s="51"/>
      <c r="C982" s="52"/>
    </row>
    <row r="983" spans="2:3" ht="13.5" customHeight="1">
      <c r="B983" s="51"/>
      <c r="C983" s="52"/>
    </row>
    <row r="984" spans="2:3" ht="13.5" customHeight="1">
      <c r="B984" s="51"/>
      <c r="C984" s="52"/>
    </row>
    <row r="985" spans="2:3" ht="13.5" customHeight="1">
      <c r="B985" s="51"/>
      <c r="C985" s="52"/>
    </row>
    <row r="986" spans="2:3" ht="13.5" customHeight="1">
      <c r="B986" s="51"/>
      <c r="C986" s="52"/>
    </row>
    <row r="987" spans="2:3" ht="13.5" customHeight="1">
      <c r="B987" s="51"/>
      <c r="C987" s="52"/>
    </row>
    <row r="988" spans="2:3" ht="13.5" customHeight="1">
      <c r="B988" s="51"/>
      <c r="C988" s="52"/>
    </row>
    <row r="989" spans="2:3" ht="13.5" customHeight="1">
      <c r="B989" s="51"/>
      <c r="C989" s="52"/>
    </row>
    <row r="990" spans="2:3" ht="13.5" customHeight="1">
      <c r="B990" s="51"/>
      <c r="C990" s="52"/>
    </row>
    <row r="991" spans="2:3" ht="13.5" customHeight="1">
      <c r="B991" s="51"/>
      <c r="C991" s="52"/>
    </row>
    <row r="992" spans="2:3" ht="13.5" customHeight="1">
      <c r="B992" s="51"/>
      <c r="C992" s="52"/>
    </row>
  </sheetData>
  <mergeCells count="16">
    <mergeCell ref="J38:K38"/>
    <mergeCell ref="J39:K39"/>
    <mergeCell ref="J40:K40"/>
    <mergeCell ref="J41:K41"/>
    <mergeCell ref="B5:C5"/>
    <mergeCell ref="F5:F6"/>
    <mergeCell ref="J36:K36"/>
    <mergeCell ref="E4:E6"/>
    <mergeCell ref="G4:G6"/>
    <mergeCell ref="AA36:AB36"/>
    <mergeCell ref="J37:K37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1000"/>
  <sheetViews>
    <sheetView showGridLines="0" zoomScaleNormal="100" workbookViewId="0">
      <selection activeCell="Q36" sqref="Q36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3.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3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3.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3.5" customHeight="1">
      <c r="B5" s="75" t="s">
        <v>347</v>
      </c>
      <c r="C5" s="1"/>
      <c r="D5" s="1"/>
      <c r="E5" s="1"/>
      <c r="F5" s="1"/>
      <c r="G5" s="1"/>
      <c r="H5" s="1"/>
      <c r="I5" s="1"/>
      <c r="J5" s="1"/>
      <c r="K5" s="1"/>
    </row>
    <row r="6" spans="2:11" ht="13.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13.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3.5" customHeight="1">
      <c r="B8" s="76" t="s">
        <v>348</v>
      </c>
      <c r="C8" s="1"/>
      <c r="D8" s="1"/>
      <c r="E8" s="1"/>
      <c r="F8" s="1"/>
      <c r="G8" s="1"/>
      <c r="H8" s="1"/>
      <c r="I8" s="1"/>
      <c r="J8" s="1"/>
      <c r="K8" s="76" t="s">
        <v>349</v>
      </c>
    </row>
    <row r="9" spans="2:11" ht="13.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3.5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ht="13.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3.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ht="13.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3.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13.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AADB"/>
  </sheetPr>
  <dimension ref="B1:AB994"/>
  <sheetViews>
    <sheetView showGridLines="0" zoomScaleNormal="100" workbookViewId="0">
      <selection activeCell="D23" sqref="D23"/>
    </sheetView>
  </sheetViews>
  <sheetFormatPr defaultColWidth="14.42578125" defaultRowHeight="13.15"/>
  <cols>
    <col min="1" max="1" width="5.42578125" style="2" customWidth="1"/>
    <col min="2" max="3" width="11.42578125" style="2" customWidth="1"/>
    <col min="4" max="4" width="60" style="2" customWidth="1"/>
    <col min="5" max="5" width="15" style="2" customWidth="1"/>
    <col min="6" max="6" width="13.28515625" style="2" customWidth="1"/>
    <col min="7" max="7" width="12.5703125" style="2" customWidth="1"/>
    <col min="8" max="11" width="11.5703125" style="2" customWidth="1"/>
    <col min="12" max="26" width="3.7109375" style="2" customWidth="1"/>
    <col min="27" max="16384" width="14.42578125" style="2"/>
  </cols>
  <sheetData>
    <row r="1" spans="2:26" ht="13.5" customHeight="1">
      <c r="B1" s="51"/>
      <c r="C1" s="52"/>
    </row>
    <row r="2" spans="2:26" ht="13.5" customHeight="1">
      <c r="B2" s="51"/>
      <c r="C2" s="52"/>
      <c r="H2" s="102" t="s">
        <v>262</v>
      </c>
    </row>
    <row r="3" spans="2:26" ht="13.5" customHeight="1">
      <c r="B3" s="51"/>
      <c r="C3" s="52"/>
      <c r="H3" s="102"/>
      <c r="K3" s="99" t="s">
        <v>263</v>
      </c>
      <c r="L3" s="98" t="s">
        <v>264</v>
      </c>
      <c r="M3" s="98"/>
      <c r="N3" s="98"/>
      <c r="O3" s="98"/>
      <c r="P3" s="98"/>
      <c r="Q3" s="98"/>
      <c r="R3" s="98"/>
      <c r="S3" s="98"/>
      <c r="T3" s="98"/>
      <c r="U3" s="98"/>
    </row>
    <row r="4" spans="2:26" ht="12.75" customHeight="1">
      <c r="B4" s="51"/>
      <c r="C4" s="52"/>
      <c r="E4" s="101" t="s">
        <v>265</v>
      </c>
      <c r="G4" s="100" t="s">
        <v>266</v>
      </c>
      <c r="H4" s="102"/>
      <c r="I4" s="99" t="s">
        <v>267</v>
      </c>
      <c r="J4" s="102" t="s">
        <v>268</v>
      </c>
      <c r="K4" s="99"/>
      <c r="L4" s="99"/>
      <c r="M4" s="98"/>
      <c r="N4" s="98"/>
      <c r="O4" s="98"/>
      <c r="P4" s="98"/>
      <c r="Q4" s="98"/>
      <c r="R4" s="98"/>
      <c r="S4" s="98"/>
      <c r="T4" s="98"/>
      <c r="U4" s="98"/>
    </row>
    <row r="5" spans="2:26" ht="18" customHeight="1">
      <c r="B5" s="104" t="s">
        <v>269</v>
      </c>
      <c r="C5" s="104"/>
      <c r="E5" s="101"/>
      <c r="F5" s="105" t="s">
        <v>270</v>
      </c>
      <c r="G5" s="100"/>
      <c r="H5" s="100"/>
      <c r="I5" s="100"/>
      <c r="J5" s="100"/>
      <c r="K5" s="100"/>
      <c r="L5" s="100"/>
      <c r="M5" s="98"/>
      <c r="N5" s="98"/>
      <c r="O5" s="98"/>
      <c r="P5" s="98"/>
      <c r="Q5" s="98"/>
      <c r="R5" s="98"/>
      <c r="S5" s="98"/>
      <c r="T5" s="98"/>
      <c r="U5" s="98"/>
    </row>
    <row r="6" spans="2:26" ht="13.5" customHeight="1">
      <c r="B6" s="53"/>
      <c r="C6" s="52"/>
      <c r="E6" s="101"/>
      <c r="F6" s="101"/>
      <c r="G6" s="101"/>
      <c r="H6" s="101"/>
      <c r="I6" s="101"/>
      <c r="J6" s="101"/>
      <c r="K6" s="101"/>
      <c r="L6" s="101"/>
      <c r="M6" s="98"/>
      <c r="N6" s="98"/>
      <c r="O6" s="98"/>
      <c r="P6" s="98"/>
      <c r="Q6" s="98"/>
      <c r="R6" s="98"/>
      <c r="S6" s="98"/>
      <c r="T6" s="98"/>
      <c r="U6" s="98"/>
    </row>
    <row r="7" spans="2:26" s="79" customFormat="1" ht="34.5" customHeight="1">
      <c r="B7" s="54" t="s">
        <v>271</v>
      </c>
      <c r="C7" s="54" t="s">
        <v>272</v>
      </c>
      <c r="D7" s="54" t="s">
        <v>19</v>
      </c>
      <c r="E7" s="54" t="s">
        <v>50</v>
      </c>
      <c r="F7" s="54" t="s">
        <v>22</v>
      </c>
      <c r="G7" s="55" t="s">
        <v>273</v>
      </c>
      <c r="H7" s="55" t="s">
        <v>274</v>
      </c>
      <c r="I7" s="55" t="s">
        <v>275</v>
      </c>
      <c r="J7" s="55" t="s">
        <v>276</v>
      </c>
      <c r="K7" s="55" t="s">
        <v>277</v>
      </c>
      <c r="L7" s="56" t="s">
        <v>278</v>
      </c>
      <c r="M7" s="56" t="s">
        <v>279</v>
      </c>
      <c r="N7" s="56" t="s">
        <v>280</v>
      </c>
      <c r="O7" s="56" t="s">
        <v>281</v>
      </c>
      <c r="P7" s="56" t="s">
        <v>282</v>
      </c>
      <c r="Q7" s="56" t="s">
        <v>283</v>
      </c>
      <c r="R7" s="56" t="s">
        <v>284</v>
      </c>
      <c r="S7" s="56" t="s">
        <v>285</v>
      </c>
      <c r="T7" s="56" t="s">
        <v>286</v>
      </c>
      <c r="U7" s="56" t="s">
        <v>287</v>
      </c>
      <c r="V7" s="56" t="s">
        <v>288</v>
      </c>
      <c r="W7" s="56" t="s">
        <v>289</v>
      </c>
      <c r="X7" s="56" t="s">
        <v>290</v>
      </c>
      <c r="Y7" s="56" t="s">
        <v>291</v>
      </c>
      <c r="Z7" s="56" t="s">
        <v>292</v>
      </c>
    </row>
    <row r="8" spans="2:26" ht="13.5" customHeight="1">
      <c r="B8" s="57">
        <v>6.01</v>
      </c>
      <c r="C8" s="58" t="s">
        <v>235</v>
      </c>
      <c r="D8" s="59" t="s">
        <v>480</v>
      </c>
      <c r="E8" s="59" t="s">
        <v>351</v>
      </c>
      <c r="F8" s="59" t="s">
        <v>31</v>
      </c>
      <c r="G8" s="58">
        <v>17.5</v>
      </c>
      <c r="H8" s="77">
        <v>0</v>
      </c>
      <c r="I8" s="77">
        <f t="shared" ref="I8:I23" si="0">SUM(G8-H8)</f>
        <v>17.5</v>
      </c>
      <c r="J8" s="77">
        <v>0</v>
      </c>
      <c r="K8" s="77">
        <f t="shared" ref="K8:K23" si="1">SUM(J8-G8)</f>
        <v>-17.5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ht="13.5" customHeight="1">
      <c r="B9" s="57">
        <v>6.02</v>
      </c>
      <c r="C9" s="61" t="s">
        <v>235</v>
      </c>
      <c r="D9" s="62" t="s">
        <v>481</v>
      </c>
      <c r="E9" s="62" t="s">
        <v>425</v>
      </c>
      <c r="F9" s="62" t="s">
        <v>31</v>
      </c>
      <c r="G9" s="61">
        <v>7</v>
      </c>
      <c r="H9" s="78">
        <v>0</v>
      </c>
      <c r="I9" s="78">
        <f t="shared" si="0"/>
        <v>7</v>
      </c>
      <c r="J9" s="78">
        <v>0</v>
      </c>
      <c r="K9" s="78">
        <f t="shared" si="1"/>
        <v>-7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ht="13.5" customHeight="1">
      <c r="B10" s="57">
        <v>6.03</v>
      </c>
      <c r="C10" s="61" t="s">
        <v>235</v>
      </c>
      <c r="D10" s="62" t="s">
        <v>482</v>
      </c>
      <c r="E10" s="62" t="s">
        <v>322</v>
      </c>
      <c r="F10" s="62" t="s">
        <v>31</v>
      </c>
      <c r="G10" s="61">
        <v>14</v>
      </c>
      <c r="H10" s="78">
        <v>0</v>
      </c>
      <c r="I10" s="78">
        <f t="shared" si="0"/>
        <v>14</v>
      </c>
      <c r="J10" s="78">
        <v>0</v>
      </c>
      <c r="K10" s="78">
        <f t="shared" si="1"/>
        <v>-14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ht="13.5" customHeight="1">
      <c r="B11" s="57">
        <v>6.04</v>
      </c>
      <c r="C11" s="61" t="s">
        <v>235</v>
      </c>
      <c r="D11" s="62" t="s">
        <v>483</v>
      </c>
      <c r="E11" s="62" t="s">
        <v>309</v>
      </c>
      <c r="F11" s="62" t="s">
        <v>31</v>
      </c>
      <c r="G11" s="61">
        <v>5</v>
      </c>
      <c r="H11" s="78">
        <v>0</v>
      </c>
      <c r="I11" s="78">
        <f t="shared" si="0"/>
        <v>5</v>
      </c>
      <c r="J11" s="78">
        <v>0</v>
      </c>
      <c r="K11" s="78">
        <f t="shared" si="1"/>
        <v>-5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ht="13.5" customHeight="1">
      <c r="B12" s="57">
        <v>6.05</v>
      </c>
      <c r="C12" s="61" t="s">
        <v>240</v>
      </c>
      <c r="D12" s="62" t="s">
        <v>484</v>
      </c>
      <c r="E12" s="62" t="s">
        <v>319</v>
      </c>
      <c r="F12" s="62" t="s">
        <v>31</v>
      </c>
      <c r="G12" s="61">
        <v>4</v>
      </c>
      <c r="H12" s="78">
        <v>0</v>
      </c>
      <c r="I12" s="78">
        <f t="shared" si="0"/>
        <v>4</v>
      </c>
      <c r="J12" s="78">
        <v>0</v>
      </c>
      <c r="K12" s="78">
        <f t="shared" si="1"/>
        <v>-4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ht="13.5" customHeight="1">
      <c r="B13" s="57">
        <v>6.06</v>
      </c>
      <c r="C13" s="61" t="s">
        <v>240</v>
      </c>
      <c r="D13" s="62" t="s">
        <v>485</v>
      </c>
      <c r="E13" s="62" t="s">
        <v>306</v>
      </c>
      <c r="F13" s="62" t="s">
        <v>31</v>
      </c>
      <c r="G13" s="61">
        <v>4</v>
      </c>
      <c r="H13" s="78">
        <v>0</v>
      </c>
      <c r="I13" s="78">
        <f t="shared" si="0"/>
        <v>4</v>
      </c>
      <c r="J13" s="78">
        <v>0</v>
      </c>
      <c r="K13" s="78">
        <f t="shared" si="1"/>
        <v>-4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ht="13.5" customHeight="1">
      <c r="B14" s="57">
        <v>6.07</v>
      </c>
      <c r="C14" s="61" t="s">
        <v>240</v>
      </c>
      <c r="D14" s="62" t="s">
        <v>486</v>
      </c>
      <c r="E14" s="62" t="s">
        <v>303</v>
      </c>
      <c r="F14" s="62" t="s">
        <v>31</v>
      </c>
      <c r="G14" s="61">
        <v>3</v>
      </c>
      <c r="H14" s="78">
        <v>0</v>
      </c>
      <c r="I14" s="78">
        <f t="shared" si="0"/>
        <v>3</v>
      </c>
      <c r="J14" s="78">
        <v>0</v>
      </c>
      <c r="K14" s="78">
        <f t="shared" si="1"/>
        <v>-3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ht="13.5" customHeight="1">
      <c r="B15" s="57">
        <v>6.08</v>
      </c>
      <c r="C15" s="61" t="s">
        <v>245</v>
      </c>
      <c r="D15" s="62" t="s">
        <v>487</v>
      </c>
      <c r="E15" s="62" t="s">
        <v>295</v>
      </c>
      <c r="F15" s="62" t="s">
        <v>31</v>
      </c>
      <c r="G15" s="61">
        <v>14</v>
      </c>
      <c r="H15" s="78">
        <v>0</v>
      </c>
      <c r="I15" s="78">
        <f t="shared" si="0"/>
        <v>14</v>
      </c>
      <c r="J15" s="78">
        <v>0</v>
      </c>
      <c r="K15" s="78">
        <f t="shared" si="1"/>
        <v>-14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ht="13.5" customHeight="1">
      <c r="B16" s="57">
        <v>6.09</v>
      </c>
      <c r="C16" s="61" t="s">
        <v>245</v>
      </c>
      <c r="D16" s="62" t="s">
        <v>488</v>
      </c>
      <c r="E16" s="62" t="s">
        <v>425</v>
      </c>
      <c r="F16" s="62" t="s">
        <v>31</v>
      </c>
      <c r="G16" s="61">
        <v>7</v>
      </c>
      <c r="H16" s="78">
        <v>0</v>
      </c>
      <c r="I16" s="78">
        <f t="shared" si="0"/>
        <v>7</v>
      </c>
      <c r="J16" s="78">
        <v>0</v>
      </c>
      <c r="K16" s="78">
        <f t="shared" si="1"/>
        <v>-7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8" ht="13.5" customHeight="1">
      <c r="B17" s="57" t="s">
        <v>489</v>
      </c>
      <c r="C17" s="61" t="s">
        <v>245</v>
      </c>
      <c r="D17" s="62" t="s">
        <v>490</v>
      </c>
      <c r="E17" s="62" t="s">
        <v>295</v>
      </c>
      <c r="F17" s="62" t="s">
        <v>31</v>
      </c>
      <c r="G17" s="61">
        <v>7</v>
      </c>
      <c r="H17" s="78">
        <v>0</v>
      </c>
      <c r="I17" s="78">
        <f t="shared" si="0"/>
        <v>7</v>
      </c>
      <c r="J17" s="78">
        <v>0</v>
      </c>
      <c r="K17" s="78">
        <f t="shared" si="1"/>
        <v>-7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8" ht="13.5" customHeight="1">
      <c r="B18" s="57" t="s">
        <v>491</v>
      </c>
      <c r="C18" s="61" t="s">
        <v>251</v>
      </c>
      <c r="D18" s="62" t="s">
        <v>492</v>
      </c>
      <c r="E18" s="62" t="s">
        <v>355</v>
      </c>
      <c r="F18" s="62" t="s">
        <v>31</v>
      </c>
      <c r="G18" s="61">
        <v>14</v>
      </c>
      <c r="H18" s="78">
        <v>0</v>
      </c>
      <c r="I18" s="78">
        <f t="shared" si="0"/>
        <v>14</v>
      </c>
      <c r="J18" s="78">
        <v>0</v>
      </c>
      <c r="K18" s="78">
        <f t="shared" si="1"/>
        <v>-14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8" ht="13.5" customHeight="1">
      <c r="B19" s="57" t="s">
        <v>493</v>
      </c>
      <c r="C19" s="61" t="s">
        <v>251</v>
      </c>
      <c r="D19" s="62" t="s">
        <v>494</v>
      </c>
      <c r="E19" s="62" t="s">
        <v>351</v>
      </c>
      <c r="F19" s="62" t="s">
        <v>31</v>
      </c>
      <c r="G19" s="61">
        <v>10.5</v>
      </c>
      <c r="H19" s="78">
        <v>0</v>
      </c>
      <c r="I19" s="78">
        <f t="shared" si="0"/>
        <v>10.5</v>
      </c>
      <c r="J19" s="78">
        <v>0</v>
      </c>
      <c r="K19" s="78">
        <f t="shared" si="1"/>
        <v>-10.5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8" ht="13.5" customHeight="1">
      <c r="B20" s="57" t="s">
        <v>495</v>
      </c>
      <c r="C20" s="61" t="s">
        <v>256</v>
      </c>
      <c r="D20" s="62" t="s">
        <v>496</v>
      </c>
      <c r="E20" s="62" t="s">
        <v>322</v>
      </c>
      <c r="F20" s="62" t="s">
        <v>31</v>
      </c>
      <c r="G20" s="61">
        <v>21</v>
      </c>
      <c r="H20" s="78">
        <v>0</v>
      </c>
      <c r="I20" s="78">
        <f t="shared" si="0"/>
        <v>21</v>
      </c>
      <c r="J20" s="78">
        <v>0</v>
      </c>
      <c r="K20" s="78">
        <f t="shared" si="1"/>
        <v>-21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8" ht="13.5" customHeight="1">
      <c r="B21" s="57" t="s">
        <v>497</v>
      </c>
      <c r="C21" s="61" t="s">
        <v>256</v>
      </c>
      <c r="D21" s="62" t="s">
        <v>498</v>
      </c>
      <c r="E21" s="62" t="s">
        <v>499</v>
      </c>
      <c r="F21" s="62" t="s">
        <v>31</v>
      </c>
      <c r="G21" s="61">
        <v>28</v>
      </c>
      <c r="H21" s="78">
        <v>0</v>
      </c>
      <c r="I21" s="78">
        <f t="shared" si="0"/>
        <v>28</v>
      </c>
      <c r="J21" s="78">
        <v>0</v>
      </c>
      <c r="K21" s="78">
        <f t="shared" si="1"/>
        <v>-28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8" ht="13.5" customHeight="1">
      <c r="B22" s="57" t="s">
        <v>500</v>
      </c>
      <c r="C22" s="61" t="s">
        <v>256</v>
      </c>
      <c r="D22" s="62" t="s">
        <v>501</v>
      </c>
      <c r="E22" s="62" t="s">
        <v>502</v>
      </c>
      <c r="F22" s="62" t="s">
        <v>31</v>
      </c>
      <c r="G22" s="61">
        <v>14</v>
      </c>
      <c r="H22" s="78">
        <v>0</v>
      </c>
      <c r="I22" s="78">
        <f t="shared" si="0"/>
        <v>14</v>
      </c>
      <c r="J22" s="78">
        <v>0</v>
      </c>
      <c r="K22" s="78">
        <f t="shared" si="1"/>
        <v>-14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8" ht="13.5" customHeight="1">
      <c r="B23" s="57" t="s">
        <v>503</v>
      </c>
      <c r="C23" s="61" t="s">
        <v>256</v>
      </c>
      <c r="D23" s="62" t="s">
        <v>504</v>
      </c>
      <c r="E23" s="62" t="s">
        <v>329</v>
      </c>
      <c r="F23" s="62" t="s">
        <v>31</v>
      </c>
      <c r="G23" s="61">
        <v>7</v>
      </c>
      <c r="H23" s="78">
        <v>0</v>
      </c>
      <c r="I23" s="78">
        <f t="shared" si="0"/>
        <v>7</v>
      </c>
      <c r="J23" s="78">
        <v>0</v>
      </c>
      <c r="K23" s="78">
        <f t="shared" si="1"/>
        <v>-7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8" ht="13.5" customHeight="1">
      <c r="B24" s="63"/>
      <c r="C24" s="64"/>
      <c r="D24" s="65"/>
      <c r="E24" s="65"/>
      <c r="F24" s="66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2:28" ht="13.5" customHeight="1">
      <c r="B25" s="67"/>
      <c r="C25" s="68"/>
      <c r="D25" s="69"/>
      <c r="E25" s="69"/>
      <c r="F25" s="70" t="s">
        <v>261</v>
      </c>
      <c r="G25" s="93">
        <f>SUM(G8:G23)</f>
        <v>177</v>
      </c>
      <c r="H25" s="93">
        <f>SUM(H8:H23)</f>
        <v>0</v>
      </c>
      <c r="I25" s="93">
        <f>SUM(I8:I23)</f>
        <v>177</v>
      </c>
      <c r="J25" s="93">
        <f>SUM(J8:J23)</f>
        <v>0</v>
      </c>
      <c r="K25" s="93">
        <f>SUM(K8:K23)</f>
        <v>-177</v>
      </c>
      <c r="L25" s="93">
        <f t="shared" ref="L25:Z25" si="2">SUBTOTAL(9,L7:L23)</f>
        <v>0</v>
      </c>
      <c r="M25" s="93">
        <f t="shared" si="2"/>
        <v>0</v>
      </c>
      <c r="N25" s="93">
        <f t="shared" si="2"/>
        <v>0</v>
      </c>
      <c r="O25" s="93">
        <f t="shared" si="2"/>
        <v>0</v>
      </c>
      <c r="P25" s="93">
        <f t="shared" si="2"/>
        <v>0</v>
      </c>
      <c r="Q25" s="93">
        <f t="shared" si="2"/>
        <v>0</v>
      </c>
      <c r="R25" s="93">
        <f t="shared" si="2"/>
        <v>0</v>
      </c>
      <c r="S25" s="93">
        <f t="shared" si="2"/>
        <v>0</v>
      </c>
      <c r="T25" s="93">
        <f t="shared" si="2"/>
        <v>0</v>
      </c>
      <c r="U25" s="93">
        <f t="shared" si="2"/>
        <v>0</v>
      </c>
      <c r="V25" s="93">
        <f t="shared" si="2"/>
        <v>0</v>
      </c>
      <c r="W25" s="93">
        <f t="shared" si="2"/>
        <v>0</v>
      </c>
      <c r="X25" s="93">
        <f t="shared" si="2"/>
        <v>0</v>
      </c>
      <c r="Y25" s="93">
        <f t="shared" si="2"/>
        <v>0</v>
      </c>
      <c r="Z25" s="93">
        <f t="shared" si="2"/>
        <v>0</v>
      </c>
    </row>
    <row r="26" spans="2:28" ht="13.5" customHeight="1">
      <c r="B26" s="67"/>
      <c r="C26" s="68"/>
      <c r="D26" s="69"/>
      <c r="E26" s="69"/>
      <c r="F26" s="70" t="s">
        <v>341</v>
      </c>
      <c r="G26" s="93"/>
      <c r="H26" s="93"/>
      <c r="I26" s="93"/>
      <c r="J26" s="93"/>
      <c r="K26" s="93"/>
      <c r="L26" s="93">
        <f>G25-L25</f>
        <v>177</v>
      </c>
      <c r="M26" s="93">
        <f t="shared" ref="M26:Z26" si="3">L26-M25</f>
        <v>177</v>
      </c>
      <c r="N26" s="93">
        <f t="shared" si="3"/>
        <v>177</v>
      </c>
      <c r="O26" s="93">
        <f t="shared" si="3"/>
        <v>177</v>
      </c>
      <c r="P26" s="93">
        <f t="shared" si="3"/>
        <v>177</v>
      </c>
      <c r="Q26" s="93">
        <f t="shared" si="3"/>
        <v>177</v>
      </c>
      <c r="R26" s="93">
        <f t="shared" si="3"/>
        <v>177</v>
      </c>
      <c r="S26" s="93">
        <f t="shared" si="3"/>
        <v>177</v>
      </c>
      <c r="T26" s="93">
        <f t="shared" si="3"/>
        <v>177</v>
      </c>
      <c r="U26" s="93">
        <f t="shared" si="3"/>
        <v>177</v>
      </c>
      <c r="V26" s="93">
        <f t="shared" si="3"/>
        <v>177</v>
      </c>
      <c r="W26" s="93">
        <f t="shared" si="3"/>
        <v>177</v>
      </c>
      <c r="X26" s="93">
        <f t="shared" si="3"/>
        <v>177</v>
      </c>
      <c r="Y26" s="93">
        <f t="shared" si="3"/>
        <v>177</v>
      </c>
      <c r="Z26" s="93">
        <f t="shared" si="3"/>
        <v>177</v>
      </c>
    </row>
    <row r="27" spans="2:28" ht="13.5" customHeight="1">
      <c r="B27" s="67"/>
      <c r="C27" s="68"/>
      <c r="D27" s="69"/>
      <c r="E27" s="69"/>
      <c r="F27" s="70" t="s">
        <v>342</v>
      </c>
      <c r="G27" s="93"/>
      <c r="H27" s="93"/>
      <c r="I27" s="93"/>
      <c r="J27" s="93"/>
      <c r="K27" s="93"/>
      <c r="L27" s="93">
        <f>L25</f>
        <v>0</v>
      </c>
      <c r="M27" s="93">
        <f t="shared" ref="M27:Z27" si="4">L27+M25</f>
        <v>0</v>
      </c>
      <c r="N27" s="93">
        <f t="shared" si="4"/>
        <v>0</v>
      </c>
      <c r="O27" s="93">
        <f t="shared" si="4"/>
        <v>0</v>
      </c>
      <c r="P27" s="93">
        <f t="shared" si="4"/>
        <v>0</v>
      </c>
      <c r="Q27" s="93">
        <f t="shared" si="4"/>
        <v>0</v>
      </c>
      <c r="R27" s="93">
        <f t="shared" si="4"/>
        <v>0</v>
      </c>
      <c r="S27" s="93">
        <f t="shared" si="4"/>
        <v>0</v>
      </c>
      <c r="T27" s="93">
        <f t="shared" si="4"/>
        <v>0</v>
      </c>
      <c r="U27" s="93">
        <f t="shared" si="4"/>
        <v>0</v>
      </c>
      <c r="V27" s="93">
        <f t="shared" si="4"/>
        <v>0</v>
      </c>
      <c r="W27" s="93">
        <f t="shared" si="4"/>
        <v>0</v>
      </c>
      <c r="X27" s="93">
        <f t="shared" si="4"/>
        <v>0</v>
      </c>
      <c r="Y27" s="93">
        <f t="shared" si="4"/>
        <v>0</v>
      </c>
      <c r="Z27" s="93">
        <f t="shared" si="4"/>
        <v>0</v>
      </c>
    </row>
    <row r="28" spans="2:28" ht="13.5" customHeight="1">
      <c r="B28" s="67"/>
      <c r="C28" s="68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28" ht="13.5" customHeight="1">
      <c r="B29" s="51"/>
      <c r="C29" s="52"/>
    </row>
    <row r="30" spans="2:28" ht="13.5" customHeight="1">
      <c r="B30" s="51"/>
      <c r="C30" s="52"/>
    </row>
    <row r="31" spans="2:28" ht="13.5" customHeight="1">
      <c r="B31" s="51"/>
      <c r="C31" s="52"/>
      <c r="J31" s="112" t="s">
        <v>343</v>
      </c>
      <c r="K31" s="112"/>
      <c r="L31" s="95">
        <v>1</v>
      </c>
      <c r="M31" s="95">
        <v>2</v>
      </c>
      <c r="N31" s="95">
        <v>3</v>
      </c>
      <c r="O31" s="95">
        <v>4</v>
      </c>
      <c r="P31" s="95">
        <v>5</v>
      </c>
      <c r="Q31" s="95">
        <v>6</v>
      </c>
      <c r="R31" s="95">
        <v>7</v>
      </c>
      <c r="S31" s="95">
        <v>8</v>
      </c>
      <c r="T31" s="95">
        <v>9</v>
      </c>
      <c r="U31" s="95">
        <v>10</v>
      </c>
      <c r="V31" s="95">
        <v>11</v>
      </c>
      <c r="W31" s="95">
        <v>12</v>
      </c>
      <c r="X31" s="95">
        <v>13</v>
      </c>
      <c r="Y31" s="95">
        <v>14</v>
      </c>
      <c r="Z31" s="95">
        <v>15</v>
      </c>
      <c r="AA31" s="111" t="s">
        <v>344</v>
      </c>
      <c r="AB31" s="111"/>
    </row>
    <row r="32" spans="2:28" ht="13.5" customHeight="1">
      <c r="B32" s="51"/>
      <c r="C32" s="52"/>
      <c r="J32" s="112" t="s">
        <v>505</v>
      </c>
      <c r="K32" s="112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52">
        <f>SUM(L32:Z32)</f>
        <v>0</v>
      </c>
    </row>
    <row r="33" spans="2:27" ht="13.5" customHeight="1">
      <c r="B33" s="51"/>
      <c r="C33" s="52"/>
      <c r="J33" s="112" t="s">
        <v>506</v>
      </c>
      <c r="K33" s="112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52">
        <f>SUM(L33:Z33)</f>
        <v>0</v>
      </c>
    </row>
    <row r="34" spans="2:27" ht="13.5" customHeight="1">
      <c r="B34" s="51"/>
      <c r="C34" s="52"/>
      <c r="J34" s="112" t="s">
        <v>507</v>
      </c>
      <c r="K34" s="112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52">
        <f>SUM(L34:Z34)</f>
        <v>0</v>
      </c>
    </row>
    <row r="35" spans="2:27" ht="13.5" customHeight="1">
      <c r="B35" s="51"/>
      <c r="C35" s="52"/>
      <c r="J35" s="112" t="s">
        <v>508</v>
      </c>
      <c r="K35" s="112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52">
        <f>SUM(L35:Z35)</f>
        <v>0</v>
      </c>
    </row>
    <row r="36" spans="2:27" ht="13.5" customHeight="1">
      <c r="B36" s="51"/>
      <c r="C36" s="52"/>
      <c r="J36" s="112" t="s">
        <v>509</v>
      </c>
      <c r="K36" s="112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52">
        <f>SUM(L36:Z36)</f>
        <v>0</v>
      </c>
    </row>
    <row r="37" spans="2:27" ht="13.5" customHeight="1">
      <c r="B37" s="51"/>
      <c r="C37" s="52"/>
      <c r="AA37" s="72">
        <f>SUM(AA32:AA36)</f>
        <v>0</v>
      </c>
    </row>
    <row r="38" spans="2:27" ht="12.75" customHeight="1">
      <c r="B38" s="51"/>
      <c r="C38" s="52"/>
      <c r="J38" s="2" t="s">
        <v>346</v>
      </c>
    </row>
    <row r="39" spans="2:27" ht="12.75" customHeight="1">
      <c r="B39" s="51"/>
      <c r="C39" s="52"/>
    </row>
    <row r="40" spans="2:27" ht="12.75" customHeight="1">
      <c r="B40" s="51"/>
      <c r="C40" s="52"/>
    </row>
    <row r="41" spans="2:27" ht="12.75" customHeight="1">
      <c r="B41" s="51"/>
      <c r="C41" s="52"/>
    </row>
    <row r="42" spans="2:27" ht="12.75" customHeight="1">
      <c r="B42" s="51"/>
      <c r="C42" s="52"/>
    </row>
    <row r="43" spans="2:27" ht="12.75" customHeight="1">
      <c r="B43" s="51"/>
      <c r="C43" s="52"/>
    </row>
    <row r="44" spans="2:27" ht="12.75" customHeight="1">
      <c r="B44" s="51"/>
      <c r="C44" s="52"/>
    </row>
    <row r="45" spans="2:27" ht="12.75" customHeight="1">
      <c r="B45" s="51"/>
      <c r="C45" s="52"/>
    </row>
    <row r="46" spans="2:27" ht="12.75" customHeight="1">
      <c r="B46" s="51"/>
      <c r="C46" s="52"/>
    </row>
    <row r="47" spans="2:27" ht="13.5" customHeight="1">
      <c r="B47" s="51"/>
      <c r="C47" s="52"/>
    </row>
    <row r="48" spans="2:27" ht="13.5" customHeight="1">
      <c r="B48" s="51"/>
      <c r="C48" s="52"/>
    </row>
    <row r="49" spans="2:3" ht="13.5" customHeight="1">
      <c r="B49" s="51"/>
      <c r="C49" s="52"/>
    </row>
    <row r="50" spans="2:3" ht="13.5" customHeight="1">
      <c r="B50" s="51"/>
      <c r="C50" s="52"/>
    </row>
    <row r="51" spans="2:3" ht="13.5" customHeight="1">
      <c r="B51" s="51"/>
      <c r="C51" s="52"/>
    </row>
    <row r="52" spans="2:3" ht="13.5" customHeight="1">
      <c r="B52" s="51"/>
      <c r="C52" s="52"/>
    </row>
    <row r="53" spans="2:3" ht="13.5" customHeight="1">
      <c r="B53" s="51"/>
      <c r="C53" s="52"/>
    </row>
    <row r="54" spans="2:3" ht="13.5" customHeight="1">
      <c r="B54" s="51"/>
      <c r="C54" s="52"/>
    </row>
    <row r="55" spans="2:3" ht="13.5" customHeight="1">
      <c r="B55" s="51"/>
      <c r="C55" s="52"/>
    </row>
    <row r="56" spans="2:3" ht="13.5" customHeight="1">
      <c r="B56" s="51"/>
      <c r="C56" s="52"/>
    </row>
    <row r="57" spans="2:3" ht="13.5" customHeight="1">
      <c r="B57" s="51"/>
      <c r="C57" s="52"/>
    </row>
    <row r="58" spans="2:3" ht="13.5" customHeight="1">
      <c r="B58" s="51"/>
      <c r="C58" s="52"/>
    </row>
    <row r="59" spans="2:3" ht="13.5" customHeight="1">
      <c r="B59" s="51"/>
      <c r="C59" s="52"/>
    </row>
    <row r="60" spans="2:3" ht="13.5" customHeight="1">
      <c r="B60" s="51"/>
      <c r="C60" s="52"/>
    </row>
    <row r="61" spans="2:3" ht="13.5" customHeight="1">
      <c r="B61" s="51"/>
      <c r="C61" s="52"/>
    </row>
    <row r="62" spans="2:3" ht="13.5" customHeight="1">
      <c r="B62" s="51"/>
      <c r="C62" s="52"/>
    </row>
    <row r="63" spans="2:3" ht="13.5" customHeight="1">
      <c r="B63" s="51"/>
      <c r="C63" s="52"/>
    </row>
    <row r="64" spans="2:3" ht="13.5" customHeight="1">
      <c r="B64" s="51"/>
      <c r="C64" s="52"/>
    </row>
    <row r="65" spans="2:3" ht="13.5" customHeight="1">
      <c r="B65" s="51"/>
      <c r="C65" s="52"/>
    </row>
    <row r="66" spans="2:3" ht="13.5" customHeight="1">
      <c r="B66" s="51"/>
      <c r="C66" s="52"/>
    </row>
    <row r="67" spans="2:3" ht="13.5" customHeight="1">
      <c r="B67" s="51"/>
      <c r="C67" s="52"/>
    </row>
    <row r="68" spans="2:3" ht="13.5" customHeight="1">
      <c r="B68" s="51"/>
      <c r="C68" s="52"/>
    </row>
    <row r="69" spans="2:3" ht="13.5" customHeight="1">
      <c r="B69" s="51"/>
      <c r="C69" s="52"/>
    </row>
    <row r="70" spans="2:3" ht="13.5" customHeight="1">
      <c r="B70" s="51"/>
      <c r="C70" s="52"/>
    </row>
    <row r="71" spans="2:3" ht="13.5" customHeight="1">
      <c r="B71" s="51"/>
      <c r="C71" s="52"/>
    </row>
    <row r="72" spans="2:3" ht="13.5" customHeight="1">
      <c r="B72" s="51"/>
      <c r="C72" s="52"/>
    </row>
    <row r="73" spans="2:3" ht="13.5" customHeight="1">
      <c r="B73" s="51"/>
      <c r="C73" s="52"/>
    </row>
    <row r="74" spans="2:3" ht="13.5" customHeight="1">
      <c r="B74" s="51"/>
      <c r="C74" s="52"/>
    </row>
    <row r="75" spans="2:3" ht="13.5" customHeight="1">
      <c r="B75" s="51"/>
      <c r="C75" s="52"/>
    </row>
    <row r="76" spans="2:3" ht="13.5" customHeight="1">
      <c r="B76" s="51"/>
      <c r="C76" s="52"/>
    </row>
    <row r="77" spans="2:3" ht="13.5" customHeight="1">
      <c r="B77" s="51"/>
      <c r="C77" s="52"/>
    </row>
    <row r="78" spans="2:3" ht="13.5" customHeight="1">
      <c r="B78" s="51"/>
      <c r="C78" s="52"/>
    </row>
    <row r="79" spans="2:3" ht="13.5" customHeight="1">
      <c r="B79" s="51"/>
      <c r="C79" s="52"/>
    </row>
    <row r="80" spans="2:3" ht="13.5" customHeight="1">
      <c r="B80" s="51"/>
      <c r="C80" s="52"/>
    </row>
    <row r="81" spans="2:3" ht="13.5" customHeight="1">
      <c r="B81" s="51"/>
      <c r="C81" s="52"/>
    </row>
    <row r="82" spans="2:3" ht="13.5" customHeight="1">
      <c r="B82" s="51"/>
      <c r="C82" s="52"/>
    </row>
    <row r="83" spans="2:3" ht="13.5" customHeight="1">
      <c r="B83" s="51"/>
      <c r="C83" s="52"/>
    </row>
    <row r="84" spans="2:3" ht="13.5" customHeight="1">
      <c r="B84" s="51"/>
      <c r="C84" s="52"/>
    </row>
    <row r="85" spans="2:3" ht="13.5" customHeight="1">
      <c r="B85" s="51"/>
      <c r="C85" s="52"/>
    </row>
    <row r="86" spans="2:3" ht="13.5" customHeight="1">
      <c r="B86" s="51"/>
      <c r="C86" s="52"/>
    </row>
    <row r="87" spans="2:3" ht="13.5" customHeight="1">
      <c r="B87" s="51"/>
      <c r="C87" s="52"/>
    </row>
    <row r="88" spans="2:3" ht="13.5" customHeight="1">
      <c r="B88" s="51"/>
      <c r="C88" s="52"/>
    </row>
    <row r="89" spans="2:3" ht="13.5" customHeight="1">
      <c r="B89" s="51"/>
      <c r="C89" s="52"/>
    </row>
    <row r="90" spans="2:3" ht="13.5" customHeight="1">
      <c r="B90" s="51"/>
      <c r="C90" s="52"/>
    </row>
    <row r="91" spans="2:3" ht="13.5" customHeight="1">
      <c r="B91" s="51"/>
      <c r="C91" s="52"/>
    </row>
    <row r="92" spans="2:3" ht="13.5" customHeight="1">
      <c r="B92" s="51"/>
      <c r="C92" s="52"/>
    </row>
    <row r="93" spans="2:3" ht="13.5" customHeight="1">
      <c r="B93" s="51"/>
      <c r="C93" s="52"/>
    </row>
    <row r="94" spans="2:3" ht="13.5" customHeight="1">
      <c r="B94" s="51"/>
      <c r="C94" s="52"/>
    </row>
    <row r="95" spans="2:3" ht="13.5" customHeight="1">
      <c r="B95" s="51"/>
      <c r="C95" s="52"/>
    </row>
    <row r="96" spans="2:3" ht="13.5" customHeight="1">
      <c r="B96" s="51"/>
      <c r="C96" s="52"/>
    </row>
    <row r="97" spans="2:3" ht="13.5" customHeight="1">
      <c r="B97" s="51"/>
      <c r="C97" s="52"/>
    </row>
    <row r="98" spans="2:3" ht="13.5" customHeight="1">
      <c r="B98" s="51"/>
      <c r="C98" s="52"/>
    </row>
    <row r="99" spans="2:3" ht="13.5" customHeight="1">
      <c r="B99" s="51"/>
      <c r="C99" s="52"/>
    </row>
    <row r="100" spans="2:3" ht="13.5" customHeight="1">
      <c r="B100" s="51"/>
      <c r="C100" s="52"/>
    </row>
    <row r="101" spans="2:3" ht="13.5" customHeight="1">
      <c r="B101" s="51"/>
      <c r="C101" s="52"/>
    </row>
    <row r="102" spans="2:3" ht="13.5" customHeight="1">
      <c r="B102" s="51"/>
      <c r="C102" s="52"/>
    </row>
    <row r="103" spans="2:3" ht="13.5" customHeight="1">
      <c r="B103" s="51"/>
      <c r="C103" s="52"/>
    </row>
    <row r="104" spans="2:3" ht="13.5" customHeight="1">
      <c r="B104" s="51"/>
      <c r="C104" s="52"/>
    </row>
    <row r="105" spans="2:3" ht="13.5" customHeight="1">
      <c r="B105" s="51"/>
      <c r="C105" s="52"/>
    </row>
    <row r="106" spans="2:3" ht="13.5" customHeight="1">
      <c r="B106" s="51"/>
      <c r="C106" s="52"/>
    </row>
    <row r="107" spans="2:3" ht="13.5" customHeight="1">
      <c r="B107" s="51"/>
      <c r="C107" s="52"/>
    </row>
    <row r="108" spans="2:3" ht="13.5" customHeight="1">
      <c r="B108" s="51"/>
      <c r="C108" s="52"/>
    </row>
    <row r="109" spans="2:3" ht="13.5" customHeight="1">
      <c r="B109" s="51"/>
      <c r="C109" s="52"/>
    </row>
    <row r="110" spans="2:3" ht="13.5" customHeight="1">
      <c r="B110" s="51"/>
      <c r="C110" s="52"/>
    </row>
    <row r="111" spans="2:3" ht="13.5" customHeight="1">
      <c r="B111" s="51"/>
      <c r="C111" s="52"/>
    </row>
    <row r="112" spans="2:3" ht="13.5" customHeight="1">
      <c r="B112" s="51"/>
      <c r="C112" s="52"/>
    </row>
    <row r="113" spans="2:3" ht="13.5" customHeight="1">
      <c r="B113" s="51"/>
      <c r="C113" s="52"/>
    </row>
    <row r="114" spans="2:3" ht="13.5" customHeight="1">
      <c r="B114" s="51"/>
      <c r="C114" s="52"/>
    </row>
    <row r="115" spans="2:3" ht="13.5" customHeight="1">
      <c r="B115" s="51"/>
      <c r="C115" s="52"/>
    </row>
    <row r="116" spans="2:3" ht="13.5" customHeight="1">
      <c r="B116" s="51"/>
      <c r="C116" s="52"/>
    </row>
    <row r="117" spans="2:3" ht="13.5" customHeight="1">
      <c r="B117" s="51"/>
      <c r="C117" s="52"/>
    </row>
    <row r="118" spans="2:3" ht="13.5" customHeight="1">
      <c r="B118" s="51"/>
      <c r="C118" s="52"/>
    </row>
    <row r="119" spans="2:3" ht="13.5" customHeight="1">
      <c r="B119" s="51"/>
      <c r="C119" s="52"/>
    </row>
    <row r="120" spans="2:3" ht="13.5" customHeight="1">
      <c r="B120" s="51"/>
      <c r="C120" s="52"/>
    </row>
    <row r="121" spans="2:3" ht="13.5" customHeight="1">
      <c r="B121" s="51"/>
      <c r="C121" s="52"/>
    </row>
    <row r="122" spans="2:3" ht="13.5" customHeight="1">
      <c r="B122" s="51"/>
      <c r="C122" s="52"/>
    </row>
    <row r="123" spans="2:3" ht="13.5" customHeight="1">
      <c r="B123" s="51"/>
      <c r="C123" s="52"/>
    </row>
    <row r="124" spans="2:3" ht="13.5" customHeight="1">
      <c r="B124" s="51"/>
      <c r="C124" s="52"/>
    </row>
    <row r="125" spans="2:3" ht="13.5" customHeight="1">
      <c r="B125" s="51"/>
      <c r="C125" s="52"/>
    </row>
    <row r="126" spans="2:3" ht="13.5" customHeight="1">
      <c r="B126" s="51"/>
      <c r="C126" s="52"/>
    </row>
    <row r="127" spans="2:3" ht="13.5" customHeight="1">
      <c r="B127" s="51"/>
      <c r="C127" s="52"/>
    </row>
    <row r="128" spans="2:3" ht="13.5" customHeight="1">
      <c r="B128" s="51"/>
      <c r="C128" s="52"/>
    </row>
    <row r="129" spans="2:3" ht="13.5" customHeight="1">
      <c r="B129" s="51"/>
      <c r="C129" s="52"/>
    </row>
    <row r="130" spans="2:3" ht="13.5" customHeight="1">
      <c r="B130" s="51"/>
      <c r="C130" s="52"/>
    </row>
    <row r="131" spans="2:3" ht="13.5" customHeight="1">
      <c r="B131" s="51"/>
      <c r="C131" s="52"/>
    </row>
    <row r="132" spans="2:3" ht="13.5" customHeight="1">
      <c r="B132" s="51"/>
      <c r="C132" s="52"/>
    </row>
    <row r="133" spans="2:3" ht="13.5" customHeight="1">
      <c r="B133" s="51"/>
      <c r="C133" s="52"/>
    </row>
    <row r="134" spans="2:3" ht="13.5" customHeight="1">
      <c r="B134" s="51"/>
      <c r="C134" s="52"/>
    </row>
    <row r="135" spans="2:3" ht="13.5" customHeight="1">
      <c r="B135" s="51"/>
      <c r="C135" s="52"/>
    </row>
    <row r="136" spans="2:3" ht="13.5" customHeight="1">
      <c r="B136" s="51"/>
      <c r="C136" s="52"/>
    </row>
    <row r="137" spans="2:3" ht="13.5" customHeight="1">
      <c r="B137" s="51"/>
      <c r="C137" s="52"/>
    </row>
    <row r="138" spans="2:3" ht="13.5" customHeight="1">
      <c r="B138" s="51"/>
      <c r="C138" s="52"/>
    </row>
    <row r="139" spans="2:3" ht="13.5" customHeight="1">
      <c r="B139" s="51"/>
      <c r="C139" s="52"/>
    </row>
    <row r="140" spans="2:3" ht="13.5" customHeight="1">
      <c r="B140" s="51"/>
      <c r="C140" s="52"/>
    </row>
    <row r="141" spans="2:3" ht="13.5" customHeight="1">
      <c r="B141" s="51"/>
      <c r="C141" s="52"/>
    </row>
    <row r="142" spans="2:3" ht="13.5" customHeight="1">
      <c r="B142" s="51"/>
      <c r="C142" s="52"/>
    </row>
    <row r="143" spans="2:3" ht="13.5" customHeight="1">
      <c r="B143" s="51"/>
      <c r="C143" s="52"/>
    </row>
    <row r="144" spans="2:3" ht="13.5" customHeight="1">
      <c r="B144" s="51"/>
      <c r="C144" s="52"/>
    </row>
    <row r="145" spans="2:3" ht="13.5" customHeight="1">
      <c r="B145" s="51"/>
      <c r="C145" s="52"/>
    </row>
    <row r="146" spans="2:3" ht="13.5" customHeight="1">
      <c r="B146" s="51"/>
      <c r="C146" s="52"/>
    </row>
    <row r="147" spans="2:3" ht="13.5" customHeight="1">
      <c r="B147" s="51"/>
      <c r="C147" s="52"/>
    </row>
    <row r="148" spans="2:3" ht="13.5" customHeight="1">
      <c r="B148" s="51"/>
      <c r="C148" s="52"/>
    </row>
    <row r="149" spans="2:3" ht="13.5" customHeight="1">
      <c r="B149" s="51"/>
      <c r="C149" s="52"/>
    </row>
    <row r="150" spans="2:3" ht="13.5" customHeight="1">
      <c r="B150" s="51"/>
      <c r="C150" s="52"/>
    </row>
    <row r="151" spans="2:3" ht="13.5" customHeight="1">
      <c r="B151" s="51"/>
      <c r="C151" s="52"/>
    </row>
    <row r="152" spans="2:3" ht="13.5" customHeight="1">
      <c r="B152" s="51"/>
      <c r="C152" s="52"/>
    </row>
    <row r="153" spans="2:3" ht="13.5" customHeight="1">
      <c r="B153" s="51"/>
      <c r="C153" s="52"/>
    </row>
    <row r="154" spans="2:3" ht="13.5" customHeight="1">
      <c r="B154" s="51"/>
      <c r="C154" s="52"/>
    </row>
    <row r="155" spans="2:3" ht="13.5" customHeight="1">
      <c r="B155" s="51"/>
      <c r="C155" s="52"/>
    </row>
    <row r="156" spans="2:3" ht="13.5" customHeight="1">
      <c r="B156" s="51"/>
      <c r="C156" s="52"/>
    </row>
    <row r="157" spans="2:3" ht="13.5" customHeight="1">
      <c r="B157" s="51"/>
      <c r="C157" s="52"/>
    </row>
    <row r="158" spans="2:3" ht="13.5" customHeight="1">
      <c r="B158" s="51"/>
      <c r="C158" s="52"/>
    </row>
    <row r="159" spans="2:3" ht="13.5" customHeight="1">
      <c r="B159" s="51"/>
      <c r="C159" s="52"/>
    </row>
    <row r="160" spans="2:3" ht="13.5" customHeight="1">
      <c r="B160" s="51"/>
      <c r="C160" s="52"/>
    </row>
    <row r="161" spans="2:3" ht="13.5" customHeight="1">
      <c r="B161" s="51"/>
      <c r="C161" s="52"/>
    </row>
    <row r="162" spans="2:3" ht="13.5" customHeight="1">
      <c r="B162" s="51"/>
      <c r="C162" s="52"/>
    </row>
    <row r="163" spans="2:3" ht="13.5" customHeight="1">
      <c r="B163" s="51"/>
      <c r="C163" s="52"/>
    </row>
    <row r="164" spans="2:3" ht="13.5" customHeight="1">
      <c r="B164" s="51"/>
      <c r="C164" s="52"/>
    </row>
    <row r="165" spans="2:3" ht="13.5" customHeight="1">
      <c r="B165" s="51"/>
      <c r="C165" s="52"/>
    </row>
    <row r="166" spans="2:3" ht="13.5" customHeight="1">
      <c r="B166" s="51"/>
      <c r="C166" s="52"/>
    </row>
    <row r="167" spans="2:3" ht="13.5" customHeight="1">
      <c r="B167" s="51"/>
      <c r="C167" s="52"/>
    </row>
    <row r="168" spans="2:3" ht="13.5" customHeight="1">
      <c r="B168" s="51"/>
      <c r="C168" s="52"/>
    </row>
    <row r="169" spans="2:3" ht="13.5" customHeight="1">
      <c r="B169" s="51"/>
      <c r="C169" s="52"/>
    </row>
    <row r="170" spans="2:3" ht="13.5" customHeight="1">
      <c r="B170" s="51"/>
      <c r="C170" s="52"/>
    </row>
    <row r="171" spans="2:3" ht="13.5" customHeight="1">
      <c r="B171" s="51"/>
      <c r="C171" s="52"/>
    </row>
    <row r="172" spans="2:3" ht="13.5" customHeight="1">
      <c r="B172" s="51"/>
      <c r="C172" s="52"/>
    </row>
    <row r="173" spans="2:3" ht="13.5" customHeight="1">
      <c r="B173" s="51"/>
      <c r="C173" s="52"/>
    </row>
    <row r="174" spans="2:3" ht="13.5" customHeight="1">
      <c r="B174" s="51"/>
      <c r="C174" s="52"/>
    </row>
    <row r="175" spans="2:3" ht="13.5" customHeight="1">
      <c r="B175" s="51"/>
      <c r="C175" s="52"/>
    </row>
    <row r="176" spans="2:3" ht="13.5" customHeight="1">
      <c r="B176" s="51"/>
      <c r="C176" s="52"/>
    </row>
    <row r="177" spans="2:3" ht="13.5" customHeight="1">
      <c r="B177" s="51"/>
      <c r="C177" s="52"/>
    </row>
    <row r="178" spans="2:3" ht="13.5" customHeight="1">
      <c r="B178" s="51"/>
      <c r="C178" s="52"/>
    </row>
    <row r="179" spans="2:3" ht="13.5" customHeight="1">
      <c r="B179" s="51"/>
      <c r="C179" s="52"/>
    </row>
    <row r="180" spans="2:3" ht="13.5" customHeight="1">
      <c r="B180" s="51"/>
      <c r="C180" s="52"/>
    </row>
    <row r="181" spans="2:3" ht="13.5" customHeight="1">
      <c r="B181" s="51"/>
      <c r="C181" s="52"/>
    </row>
    <row r="182" spans="2:3" ht="13.5" customHeight="1">
      <c r="B182" s="51"/>
      <c r="C182" s="52"/>
    </row>
    <row r="183" spans="2:3" ht="13.5" customHeight="1">
      <c r="B183" s="51"/>
      <c r="C183" s="52"/>
    </row>
    <row r="184" spans="2:3" ht="13.5" customHeight="1">
      <c r="B184" s="51"/>
      <c r="C184" s="52"/>
    </row>
    <row r="185" spans="2:3" ht="13.5" customHeight="1">
      <c r="B185" s="51"/>
      <c r="C185" s="52"/>
    </row>
    <row r="186" spans="2:3" ht="13.5" customHeight="1">
      <c r="B186" s="51"/>
      <c r="C186" s="52"/>
    </row>
    <row r="187" spans="2:3" ht="13.5" customHeight="1">
      <c r="B187" s="51"/>
      <c r="C187" s="52"/>
    </row>
    <row r="188" spans="2:3" ht="13.5" customHeight="1">
      <c r="B188" s="51"/>
      <c r="C188" s="52"/>
    </row>
    <row r="189" spans="2:3" ht="13.5" customHeight="1">
      <c r="B189" s="51"/>
      <c r="C189" s="52"/>
    </row>
    <row r="190" spans="2:3" ht="13.5" customHeight="1">
      <c r="B190" s="51"/>
      <c r="C190" s="52"/>
    </row>
    <row r="191" spans="2:3" ht="13.5" customHeight="1">
      <c r="B191" s="51"/>
      <c r="C191" s="52"/>
    </row>
    <row r="192" spans="2:3" ht="13.5" customHeight="1">
      <c r="B192" s="51"/>
      <c r="C192" s="52"/>
    </row>
    <row r="193" spans="2:3" ht="13.5" customHeight="1">
      <c r="B193" s="51"/>
      <c r="C193" s="52"/>
    </row>
    <row r="194" spans="2:3" ht="13.5" customHeight="1">
      <c r="B194" s="51"/>
      <c r="C194" s="52"/>
    </row>
    <row r="195" spans="2:3" ht="13.5" customHeight="1">
      <c r="B195" s="51"/>
      <c r="C195" s="52"/>
    </row>
    <row r="196" spans="2:3" ht="13.5" customHeight="1">
      <c r="B196" s="51"/>
      <c r="C196" s="52"/>
    </row>
    <row r="197" spans="2:3" ht="13.5" customHeight="1">
      <c r="B197" s="51"/>
      <c r="C197" s="52"/>
    </row>
    <row r="198" spans="2:3" ht="13.5" customHeight="1">
      <c r="B198" s="51"/>
      <c r="C198" s="52"/>
    </row>
    <row r="199" spans="2:3" ht="13.5" customHeight="1">
      <c r="B199" s="51"/>
      <c r="C199" s="52"/>
    </row>
    <row r="200" spans="2:3" ht="13.5" customHeight="1">
      <c r="B200" s="51"/>
      <c r="C200" s="52"/>
    </row>
    <row r="201" spans="2:3" ht="13.5" customHeight="1">
      <c r="B201" s="51"/>
      <c r="C201" s="52"/>
    </row>
    <row r="202" spans="2:3" ht="13.5" customHeight="1">
      <c r="B202" s="51"/>
      <c r="C202" s="52"/>
    </row>
    <row r="203" spans="2:3" ht="13.5" customHeight="1">
      <c r="B203" s="51"/>
      <c r="C203" s="52"/>
    </row>
    <row r="204" spans="2:3" ht="13.5" customHeight="1">
      <c r="B204" s="51"/>
      <c r="C204" s="52"/>
    </row>
    <row r="205" spans="2:3" ht="13.5" customHeight="1">
      <c r="B205" s="51"/>
      <c r="C205" s="52"/>
    </row>
    <row r="206" spans="2:3" ht="13.5" customHeight="1">
      <c r="B206" s="51"/>
      <c r="C206" s="52"/>
    </row>
    <row r="207" spans="2:3" ht="13.5" customHeight="1">
      <c r="B207" s="51"/>
      <c r="C207" s="52"/>
    </row>
    <row r="208" spans="2:3" ht="13.5" customHeight="1">
      <c r="B208" s="51"/>
      <c r="C208" s="52"/>
    </row>
    <row r="209" spans="2:3" ht="13.5" customHeight="1">
      <c r="B209" s="51"/>
      <c r="C209" s="52"/>
    </row>
    <row r="210" spans="2:3" ht="13.5" customHeight="1">
      <c r="B210" s="51"/>
      <c r="C210" s="52"/>
    </row>
    <row r="211" spans="2:3" ht="13.5" customHeight="1">
      <c r="B211" s="51"/>
      <c r="C211" s="52"/>
    </row>
    <row r="212" spans="2:3" ht="13.5" customHeight="1">
      <c r="B212" s="51"/>
      <c r="C212" s="52"/>
    </row>
    <row r="213" spans="2:3" ht="13.5" customHeight="1">
      <c r="B213" s="51"/>
      <c r="C213" s="52"/>
    </row>
    <row r="214" spans="2:3" ht="13.5" customHeight="1">
      <c r="B214" s="51"/>
      <c r="C214" s="52"/>
    </row>
    <row r="215" spans="2:3" ht="13.5" customHeight="1">
      <c r="B215" s="51"/>
      <c r="C215" s="52"/>
    </row>
    <row r="216" spans="2:3" ht="13.5" customHeight="1">
      <c r="B216" s="51"/>
      <c r="C216" s="52"/>
    </row>
    <row r="217" spans="2:3" ht="13.5" customHeight="1">
      <c r="B217" s="51"/>
      <c r="C217" s="52"/>
    </row>
    <row r="218" spans="2:3" ht="13.5" customHeight="1">
      <c r="B218" s="51"/>
      <c r="C218" s="52"/>
    </row>
    <row r="219" spans="2:3" ht="13.5" customHeight="1">
      <c r="B219" s="51"/>
      <c r="C219" s="52"/>
    </row>
    <row r="220" spans="2:3" ht="13.5" customHeight="1">
      <c r="B220" s="51"/>
      <c r="C220" s="52"/>
    </row>
    <row r="221" spans="2:3" ht="13.5" customHeight="1">
      <c r="B221" s="51"/>
      <c r="C221" s="52"/>
    </row>
    <row r="222" spans="2:3" ht="13.5" customHeight="1">
      <c r="B222" s="51"/>
      <c r="C222" s="52"/>
    </row>
    <row r="223" spans="2:3" ht="13.5" customHeight="1">
      <c r="B223" s="51"/>
      <c r="C223" s="52"/>
    </row>
    <row r="224" spans="2:3" ht="13.5" customHeight="1">
      <c r="B224" s="51"/>
      <c r="C224" s="52"/>
    </row>
    <row r="225" spans="2:3" ht="13.5" customHeight="1">
      <c r="B225" s="51"/>
      <c r="C225" s="52"/>
    </row>
    <row r="226" spans="2:3" ht="13.5" customHeight="1">
      <c r="B226" s="51"/>
      <c r="C226" s="52"/>
    </row>
    <row r="227" spans="2:3" ht="13.5" customHeight="1">
      <c r="B227" s="51"/>
      <c r="C227" s="52"/>
    </row>
    <row r="228" spans="2:3" ht="13.5" customHeight="1">
      <c r="B228" s="51"/>
      <c r="C228" s="52"/>
    </row>
    <row r="229" spans="2:3" ht="13.5" customHeight="1">
      <c r="B229" s="51"/>
      <c r="C229" s="52"/>
    </row>
    <row r="230" spans="2:3" ht="13.5" customHeight="1">
      <c r="B230" s="51"/>
      <c r="C230" s="52"/>
    </row>
    <row r="231" spans="2:3" ht="13.5" customHeight="1">
      <c r="B231" s="51"/>
      <c r="C231" s="52"/>
    </row>
    <row r="232" spans="2:3" ht="13.5" customHeight="1">
      <c r="B232" s="51"/>
      <c r="C232" s="52"/>
    </row>
    <row r="233" spans="2:3" ht="13.5" customHeight="1">
      <c r="B233" s="51"/>
      <c r="C233" s="52"/>
    </row>
    <row r="234" spans="2:3" ht="13.5" customHeight="1">
      <c r="B234" s="51"/>
      <c r="C234" s="52"/>
    </row>
    <row r="235" spans="2:3" ht="13.5" customHeight="1">
      <c r="B235" s="51"/>
      <c r="C235" s="52"/>
    </row>
    <row r="236" spans="2:3" ht="13.5" customHeight="1">
      <c r="B236" s="51"/>
      <c r="C236" s="52"/>
    </row>
    <row r="237" spans="2:3" ht="13.5" customHeight="1">
      <c r="B237" s="51"/>
      <c r="C237" s="52"/>
    </row>
    <row r="238" spans="2:3" ht="13.5" customHeight="1">
      <c r="B238" s="51"/>
      <c r="C238" s="52"/>
    </row>
    <row r="239" spans="2:3" ht="13.5" customHeight="1">
      <c r="B239" s="51"/>
      <c r="C239" s="52"/>
    </row>
    <row r="240" spans="2:3" ht="13.5" customHeight="1">
      <c r="B240" s="51"/>
      <c r="C240" s="52"/>
    </row>
    <row r="241" spans="2:3" ht="13.5" customHeight="1">
      <c r="B241" s="51"/>
      <c r="C241" s="52"/>
    </row>
    <row r="242" spans="2:3" ht="13.5" customHeight="1">
      <c r="B242" s="51"/>
      <c r="C242" s="52"/>
    </row>
    <row r="243" spans="2:3" ht="13.5" customHeight="1">
      <c r="B243" s="51"/>
      <c r="C243" s="52"/>
    </row>
    <row r="244" spans="2:3" ht="13.5" customHeight="1">
      <c r="B244" s="51"/>
      <c r="C244" s="52"/>
    </row>
    <row r="245" spans="2:3" ht="13.5" customHeight="1">
      <c r="B245" s="51"/>
      <c r="C245" s="52"/>
    </row>
    <row r="246" spans="2:3" ht="13.5" customHeight="1">
      <c r="B246" s="51"/>
      <c r="C246" s="52"/>
    </row>
    <row r="247" spans="2:3" ht="13.5" customHeight="1">
      <c r="B247" s="51"/>
      <c r="C247" s="52"/>
    </row>
    <row r="248" spans="2:3" ht="13.5" customHeight="1">
      <c r="B248" s="51"/>
      <c r="C248" s="52"/>
    </row>
    <row r="249" spans="2:3" ht="13.5" customHeight="1">
      <c r="B249" s="51"/>
      <c r="C249" s="52"/>
    </row>
    <row r="250" spans="2:3" ht="13.5" customHeight="1">
      <c r="B250" s="51"/>
      <c r="C250" s="52"/>
    </row>
    <row r="251" spans="2:3" ht="13.5" customHeight="1">
      <c r="B251" s="51"/>
      <c r="C251" s="52"/>
    </row>
    <row r="252" spans="2:3" ht="13.5" customHeight="1">
      <c r="B252" s="51"/>
      <c r="C252" s="52"/>
    </row>
    <row r="253" spans="2:3" ht="13.5" customHeight="1">
      <c r="B253" s="51"/>
      <c r="C253" s="52"/>
    </row>
    <row r="254" spans="2:3" ht="13.5" customHeight="1">
      <c r="B254" s="51"/>
      <c r="C254" s="52"/>
    </row>
    <row r="255" spans="2:3" ht="13.5" customHeight="1">
      <c r="B255" s="51"/>
      <c r="C255" s="52"/>
    </row>
    <row r="256" spans="2:3" ht="13.5" customHeight="1">
      <c r="B256" s="51"/>
      <c r="C256" s="52"/>
    </row>
    <row r="257" spans="2:3" ht="13.5" customHeight="1">
      <c r="B257" s="51"/>
      <c r="C257" s="52"/>
    </row>
    <row r="258" spans="2:3" ht="13.5" customHeight="1">
      <c r="B258" s="51"/>
      <c r="C258" s="52"/>
    </row>
    <row r="259" spans="2:3" ht="13.5" customHeight="1">
      <c r="B259" s="51"/>
      <c r="C259" s="52"/>
    </row>
    <row r="260" spans="2:3" ht="13.5" customHeight="1">
      <c r="B260" s="51"/>
      <c r="C260" s="52"/>
    </row>
    <row r="261" spans="2:3" ht="13.5" customHeight="1">
      <c r="B261" s="51"/>
      <c r="C261" s="52"/>
    </row>
    <row r="262" spans="2:3" ht="13.5" customHeight="1">
      <c r="B262" s="51"/>
      <c r="C262" s="52"/>
    </row>
    <row r="263" spans="2:3" ht="13.5" customHeight="1">
      <c r="B263" s="51"/>
      <c r="C263" s="52"/>
    </row>
    <row r="264" spans="2:3" ht="13.5" customHeight="1">
      <c r="B264" s="51"/>
      <c r="C264" s="52"/>
    </row>
    <row r="265" spans="2:3" ht="13.5" customHeight="1">
      <c r="B265" s="51"/>
      <c r="C265" s="52"/>
    </row>
    <row r="266" spans="2:3" ht="13.5" customHeight="1">
      <c r="B266" s="51"/>
      <c r="C266" s="52"/>
    </row>
    <row r="267" spans="2:3" ht="13.5" customHeight="1">
      <c r="B267" s="51"/>
      <c r="C267" s="52"/>
    </row>
    <row r="268" spans="2:3" ht="13.5" customHeight="1">
      <c r="B268" s="51"/>
      <c r="C268" s="52"/>
    </row>
    <row r="269" spans="2:3" ht="13.5" customHeight="1">
      <c r="B269" s="51"/>
      <c r="C269" s="52"/>
    </row>
    <row r="270" spans="2:3" ht="13.5" customHeight="1">
      <c r="B270" s="51"/>
      <c r="C270" s="52"/>
    </row>
    <row r="271" spans="2:3" ht="13.5" customHeight="1">
      <c r="B271" s="51"/>
      <c r="C271" s="52"/>
    </row>
    <row r="272" spans="2:3" ht="13.5" customHeight="1">
      <c r="B272" s="51"/>
      <c r="C272" s="52"/>
    </row>
    <row r="273" spans="2:3" ht="13.5" customHeight="1">
      <c r="B273" s="51"/>
      <c r="C273" s="52"/>
    </row>
    <row r="274" spans="2:3" ht="13.5" customHeight="1">
      <c r="B274" s="51"/>
      <c r="C274" s="52"/>
    </row>
    <row r="275" spans="2:3" ht="13.5" customHeight="1">
      <c r="B275" s="51"/>
      <c r="C275" s="52"/>
    </row>
    <row r="276" spans="2:3" ht="13.5" customHeight="1">
      <c r="B276" s="51"/>
      <c r="C276" s="52"/>
    </row>
    <row r="277" spans="2:3" ht="13.5" customHeight="1">
      <c r="B277" s="51"/>
      <c r="C277" s="52"/>
    </row>
    <row r="278" spans="2:3" ht="13.5" customHeight="1">
      <c r="B278" s="51"/>
      <c r="C278" s="52"/>
    </row>
    <row r="279" spans="2:3" ht="13.5" customHeight="1">
      <c r="B279" s="51"/>
      <c r="C279" s="52"/>
    </row>
    <row r="280" spans="2:3" ht="13.5" customHeight="1">
      <c r="B280" s="51"/>
      <c r="C280" s="52"/>
    </row>
    <row r="281" spans="2:3" ht="13.5" customHeight="1">
      <c r="B281" s="51"/>
      <c r="C281" s="52"/>
    </row>
    <row r="282" spans="2:3" ht="13.5" customHeight="1">
      <c r="B282" s="51"/>
      <c r="C282" s="52"/>
    </row>
    <row r="283" spans="2:3" ht="13.5" customHeight="1">
      <c r="B283" s="51"/>
      <c r="C283" s="52"/>
    </row>
    <row r="284" spans="2:3" ht="13.5" customHeight="1">
      <c r="B284" s="51"/>
      <c r="C284" s="52"/>
    </row>
    <row r="285" spans="2:3" ht="13.5" customHeight="1">
      <c r="B285" s="51"/>
      <c r="C285" s="52"/>
    </row>
    <row r="286" spans="2:3" ht="13.5" customHeight="1">
      <c r="B286" s="51"/>
      <c r="C286" s="52"/>
    </row>
    <row r="287" spans="2:3" ht="13.5" customHeight="1">
      <c r="B287" s="51"/>
      <c r="C287" s="52"/>
    </row>
    <row r="288" spans="2:3" ht="13.5" customHeight="1">
      <c r="B288" s="51"/>
      <c r="C288" s="52"/>
    </row>
    <row r="289" spans="2:3" ht="13.5" customHeight="1">
      <c r="B289" s="51"/>
      <c r="C289" s="52"/>
    </row>
    <row r="290" spans="2:3" ht="13.5" customHeight="1">
      <c r="B290" s="51"/>
      <c r="C290" s="52"/>
    </row>
    <row r="291" spans="2:3" ht="13.5" customHeight="1">
      <c r="B291" s="51"/>
      <c r="C291" s="52"/>
    </row>
    <row r="292" spans="2:3" ht="13.5" customHeight="1">
      <c r="B292" s="51"/>
      <c r="C292" s="52"/>
    </row>
    <row r="293" spans="2:3" ht="13.5" customHeight="1">
      <c r="B293" s="51"/>
      <c r="C293" s="52"/>
    </row>
    <row r="294" spans="2:3" ht="13.5" customHeight="1">
      <c r="B294" s="51"/>
      <c r="C294" s="52"/>
    </row>
    <row r="295" spans="2:3" ht="13.5" customHeight="1">
      <c r="B295" s="51"/>
      <c r="C295" s="52"/>
    </row>
    <row r="296" spans="2:3" ht="13.5" customHeight="1">
      <c r="B296" s="51"/>
      <c r="C296" s="52"/>
    </row>
    <row r="297" spans="2:3" ht="13.5" customHeight="1">
      <c r="B297" s="51"/>
      <c r="C297" s="52"/>
    </row>
    <row r="298" spans="2:3" ht="13.5" customHeight="1">
      <c r="B298" s="51"/>
      <c r="C298" s="52"/>
    </row>
    <row r="299" spans="2:3" ht="13.5" customHeight="1">
      <c r="B299" s="51"/>
      <c r="C299" s="52"/>
    </row>
    <row r="300" spans="2:3" ht="13.5" customHeight="1">
      <c r="B300" s="51"/>
      <c r="C300" s="52"/>
    </row>
    <row r="301" spans="2:3" ht="13.5" customHeight="1">
      <c r="B301" s="51"/>
      <c r="C301" s="52"/>
    </row>
    <row r="302" spans="2:3" ht="13.5" customHeight="1">
      <c r="B302" s="51"/>
      <c r="C302" s="52"/>
    </row>
    <row r="303" spans="2:3" ht="13.5" customHeight="1">
      <c r="B303" s="51"/>
      <c r="C303" s="52"/>
    </row>
    <row r="304" spans="2:3" ht="13.5" customHeight="1">
      <c r="B304" s="51"/>
      <c r="C304" s="52"/>
    </row>
    <row r="305" spans="2:3" ht="13.5" customHeight="1">
      <c r="B305" s="51"/>
      <c r="C305" s="52"/>
    </row>
    <row r="306" spans="2:3" ht="13.5" customHeight="1">
      <c r="B306" s="51"/>
      <c r="C306" s="52"/>
    </row>
    <row r="307" spans="2:3" ht="13.5" customHeight="1">
      <c r="B307" s="51"/>
      <c r="C307" s="52"/>
    </row>
    <row r="308" spans="2:3" ht="13.5" customHeight="1">
      <c r="B308" s="51"/>
      <c r="C308" s="52"/>
    </row>
    <row r="309" spans="2:3" ht="13.5" customHeight="1">
      <c r="B309" s="51"/>
      <c r="C309" s="52"/>
    </row>
    <row r="310" spans="2:3" ht="13.5" customHeight="1">
      <c r="B310" s="51"/>
      <c r="C310" s="52"/>
    </row>
    <row r="311" spans="2:3" ht="13.5" customHeight="1">
      <c r="B311" s="51"/>
      <c r="C311" s="52"/>
    </row>
    <row r="312" spans="2:3" ht="13.5" customHeight="1">
      <c r="B312" s="51"/>
      <c r="C312" s="52"/>
    </row>
    <row r="313" spans="2:3" ht="13.5" customHeight="1">
      <c r="B313" s="51"/>
      <c r="C313" s="52"/>
    </row>
    <row r="314" spans="2:3" ht="13.5" customHeight="1">
      <c r="B314" s="51"/>
      <c r="C314" s="52"/>
    </row>
    <row r="315" spans="2:3" ht="13.5" customHeight="1">
      <c r="B315" s="51"/>
      <c r="C315" s="52"/>
    </row>
    <row r="316" spans="2:3" ht="13.5" customHeight="1">
      <c r="B316" s="51"/>
      <c r="C316" s="52"/>
    </row>
    <row r="317" spans="2:3" ht="13.5" customHeight="1">
      <c r="B317" s="51"/>
      <c r="C317" s="52"/>
    </row>
    <row r="318" spans="2:3" ht="13.5" customHeight="1">
      <c r="B318" s="51"/>
      <c r="C318" s="52"/>
    </row>
    <row r="319" spans="2:3" ht="13.5" customHeight="1">
      <c r="B319" s="51"/>
      <c r="C319" s="52"/>
    </row>
    <row r="320" spans="2:3" ht="13.5" customHeight="1">
      <c r="B320" s="51"/>
      <c r="C320" s="52"/>
    </row>
    <row r="321" spans="2:3" ht="13.5" customHeight="1">
      <c r="B321" s="51"/>
      <c r="C321" s="52"/>
    </row>
    <row r="322" spans="2:3" ht="13.5" customHeight="1">
      <c r="B322" s="51"/>
      <c r="C322" s="52"/>
    </row>
    <row r="323" spans="2:3" ht="13.5" customHeight="1">
      <c r="B323" s="51"/>
      <c r="C323" s="52"/>
    </row>
    <row r="324" spans="2:3" ht="13.5" customHeight="1">
      <c r="B324" s="51"/>
      <c r="C324" s="52"/>
    </row>
    <row r="325" spans="2:3" ht="13.5" customHeight="1">
      <c r="B325" s="51"/>
      <c r="C325" s="52"/>
    </row>
    <row r="326" spans="2:3" ht="13.5" customHeight="1">
      <c r="B326" s="51"/>
      <c r="C326" s="52"/>
    </row>
    <row r="327" spans="2:3" ht="13.5" customHeight="1">
      <c r="B327" s="51"/>
      <c r="C327" s="52"/>
    </row>
    <row r="328" spans="2:3" ht="13.5" customHeight="1">
      <c r="B328" s="51"/>
      <c r="C328" s="52"/>
    </row>
    <row r="329" spans="2:3" ht="13.5" customHeight="1">
      <c r="B329" s="51"/>
      <c r="C329" s="52"/>
    </row>
    <row r="330" spans="2:3" ht="13.5" customHeight="1">
      <c r="B330" s="51"/>
      <c r="C330" s="52"/>
    </row>
    <row r="331" spans="2:3" ht="13.5" customHeight="1">
      <c r="B331" s="51"/>
      <c r="C331" s="52"/>
    </row>
    <row r="332" spans="2:3" ht="13.5" customHeight="1">
      <c r="B332" s="51"/>
      <c r="C332" s="52"/>
    </row>
    <row r="333" spans="2:3" ht="13.5" customHeight="1">
      <c r="B333" s="51"/>
      <c r="C333" s="52"/>
    </row>
    <row r="334" spans="2:3" ht="13.5" customHeight="1">
      <c r="B334" s="51"/>
      <c r="C334" s="52"/>
    </row>
    <row r="335" spans="2:3" ht="13.5" customHeight="1">
      <c r="B335" s="51"/>
      <c r="C335" s="52"/>
    </row>
    <row r="336" spans="2:3" ht="13.5" customHeight="1">
      <c r="B336" s="51"/>
      <c r="C336" s="52"/>
    </row>
    <row r="337" spans="2:3" ht="13.5" customHeight="1">
      <c r="B337" s="51"/>
      <c r="C337" s="52"/>
    </row>
    <row r="338" spans="2:3" ht="13.5" customHeight="1">
      <c r="B338" s="51"/>
      <c r="C338" s="52"/>
    </row>
    <row r="339" spans="2:3" ht="13.5" customHeight="1">
      <c r="B339" s="51"/>
      <c r="C339" s="52"/>
    </row>
    <row r="340" spans="2:3" ht="13.5" customHeight="1">
      <c r="B340" s="51"/>
      <c r="C340" s="52"/>
    </row>
    <row r="341" spans="2:3" ht="13.5" customHeight="1">
      <c r="B341" s="51"/>
      <c r="C341" s="52"/>
    </row>
    <row r="342" spans="2:3" ht="13.5" customHeight="1">
      <c r="B342" s="51"/>
      <c r="C342" s="52"/>
    </row>
    <row r="343" spans="2:3" ht="13.5" customHeight="1">
      <c r="B343" s="51"/>
      <c r="C343" s="52"/>
    </row>
    <row r="344" spans="2:3" ht="13.5" customHeight="1">
      <c r="B344" s="51"/>
      <c r="C344" s="52"/>
    </row>
    <row r="345" spans="2:3" ht="13.5" customHeight="1">
      <c r="B345" s="51"/>
      <c r="C345" s="52"/>
    </row>
    <row r="346" spans="2:3" ht="13.5" customHeight="1">
      <c r="B346" s="51"/>
      <c r="C346" s="52"/>
    </row>
    <row r="347" spans="2:3" ht="13.5" customHeight="1">
      <c r="B347" s="51"/>
      <c r="C347" s="52"/>
    </row>
    <row r="348" spans="2:3" ht="13.5" customHeight="1">
      <c r="B348" s="51"/>
      <c r="C348" s="52"/>
    </row>
    <row r="349" spans="2:3" ht="13.5" customHeight="1">
      <c r="B349" s="51"/>
      <c r="C349" s="52"/>
    </row>
    <row r="350" spans="2:3" ht="13.5" customHeight="1">
      <c r="B350" s="51"/>
      <c r="C350" s="52"/>
    </row>
    <row r="351" spans="2:3" ht="13.5" customHeight="1">
      <c r="B351" s="51"/>
      <c r="C351" s="52"/>
    </row>
    <row r="352" spans="2:3" ht="13.5" customHeight="1">
      <c r="B352" s="51"/>
      <c r="C352" s="52"/>
    </row>
    <row r="353" spans="2:3" ht="13.5" customHeight="1">
      <c r="B353" s="51"/>
      <c r="C353" s="52"/>
    </row>
    <row r="354" spans="2:3" ht="13.5" customHeight="1">
      <c r="B354" s="51"/>
      <c r="C354" s="52"/>
    </row>
    <row r="355" spans="2:3" ht="13.5" customHeight="1">
      <c r="B355" s="51"/>
      <c r="C355" s="52"/>
    </row>
    <row r="356" spans="2:3" ht="13.5" customHeight="1">
      <c r="B356" s="51"/>
      <c r="C356" s="52"/>
    </row>
    <row r="357" spans="2:3" ht="13.5" customHeight="1">
      <c r="B357" s="51"/>
      <c r="C357" s="52"/>
    </row>
    <row r="358" spans="2:3" ht="13.5" customHeight="1">
      <c r="B358" s="51"/>
      <c r="C358" s="52"/>
    </row>
    <row r="359" spans="2:3" ht="13.5" customHeight="1">
      <c r="B359" s="51"/>
      <c r="C359" s="52"/>
    </row>
    <row r="360" spans="2:3" ht="13.5" customHeight="1">
      <c r="B360" s="51"/>
      <c r="C360" s="52"/>
    </row>
    <row r="361" spans="2:3" ht="13.5" customHeight="1">
      <c r="B361" s="51"/>
      <c r="C361" s="52"/>
    </row>
    <row r="362" spans="2:3" ht="13.5" customHeight="1">
      <c r="B362" s="51"/>
      <c r="C362" s="52"/>
    </row>
    <row r="363" spans="2:3" ht="13.5" customHeight="1">
      <c r="B363" s="51"/>
      <c r="C363" s="52"/>
    </row>
    <row r="364" spans="2:3" ht="13.5" customHeight="1">
      <c r="B364" s="51"/>
      <c r="C364" s="52"/>
    </row>
    <row r="365" spans="2:3" ht="13.5" customHeight="1">
      <c r="B365" s="51"/>
      <c r="C365" s="52"/>
    </row>
    <row r="366" spans="2:3" ht="13.5" customHeight="1">
      <c r="B366" s="51"/>
      <c r="C366" s="52"/>
    </row>
    <row r="367" spans="2:3" ht="13.5" customHeight="1">
      <c r="B367" s="51"/>
      <c r="C367" s="52"/>
    </row>
    <row r="368" spans="2:3" ht="13.5" customHeight="1">
      <c r="B368" s="51"/>
      <c r="C368" s="52"/>
    </row>
    <row r="369" spans="2:3" ht="13.5" customHeight="1">
      <c r="B369" s="51"/>
      <c r="C369" s="52"/>
    </row>
    <row r="370" spans="2:3" ht="13.5" customHeight="1">
      <c r="B370" s="51"/>
      <c r="C370" s="52"/>
    </row>
    <row r="371" spans="2:3" ht="13.5" customHeight="1">
      <c r="B371" s="51"/>
      <c r="C371" s="52"/>
    </row>
    <row r="372" spans="2:3" ht="13.5" customHeight="1">
      <c r="B372" s="51"/>
      <c r="C372" s="52"/>
    </row>
    <row r="373" spans="2:3" ht="13.5" customHeight="1">
      <c r="B373" s="51"/>
      <c r="C373" s="52"/>
    </row>
    <row r="374" spans="2:3" ht="13.5" customHeight="1">
      <c r="B374" s="51"/>
      <c r="C374" s="52"/>
    </row>
    <row r="375" spans="2:3" ht="13.5" customHeight="1">
      <c r="B375" s="51"/>
      <c r="C375" s="52"/>
    </row>
    <row r="376" spans="2:3" ht="13.5" customHeight="1">
      <c r="B376" s="51"/>
      <c r="C376" s="52"/>
    </row>
    <row r="377" spans="2:3" ht="13.5" customHeight="1">
      <c r="B377" s="51"/>
      <c r="C377" s="52"/>
    </row>
    <row r="378" spans="2:3" ht="13.5" customHeight="1">
      <c r="B378" s="51"/>
      <c r="C378" s="52"/>
    </row>
    <row r="379" spans="2:3" ht="13.5" customHeight="1">
      <c r="B379" s="51"/>
      <c r="C379" s="52"/>
    </row>
    <row r="380" spans="2:3" ht="13.5" customHeight="1">
      <c r="B380" s="51"/>
      <c r="C380" s="52"/>
    </row>
    <row r="381" spans="2:3" ht="13.5" customHeight="1">
      <c r="B381" s="51"/>
      <c r="C381" s="52"/>
    </row>
    <row r="382" spans="2:3" ht="13.5" customHeight="1">
      <c r="B382" s="51"/>
      <c r="C382" s="52"/>
    </row>
    <row r="383" spans="2:3" ht="13.5" customHeight="1">
      <c r="B383" s="51"/>
      <c r="C383" s="52"/>
    </row>
    <row r="384" spans="2:3" ht="13.5" customHeight="1">
      <c r="B384" s="51"/>
      <c r="C384" s="52"/>
    </row>
    <row r="385" spans="2:3" ht="13.5" customHeight="1">
      <c r="B385" s="51"/>
      <c r="C385" s="52"/>
    </row>
    <row r="386" spans="2:3" ht="13.5" customHeight="1">
      <c r="B386" s="51"/>
      <c r="C386" s="52"/>
    </row>
    <row r="387" spans="2:3" ht="13.5" customHeight="1">
      <c r="B387" s="51"/>
      <c r="C387" s="52"/>
    </row>
    <row r="388" spans="2:3" ht="13.5" customHeight="1">
      <c r="B388" s="51"/>
      <c r="C388" s="52"/>
    </row>
    <row r="389" spans="2:3" ht="13.5" customHeight="1">
      <c r="B389" s="51"/>
      <c r="C389" s="52"/>
    </row>
    <row r="390" spans="2:3" ht="13.5" customHeight="1">
      <c r="B390" s="51"/>
      <c r="C390" s="52"/>
    </row>
    <row r="391" spans="2:3" ht="13.5" customHeight="1">
      <c r="B391" s="51"/>
      <c r="C391" s="52"/>
    </row>
    <row r="392" spans="2:3" ht="13.5" customHeight="1">
      <c r="B392" s="51"/>
      <c r="C392" s="52"/>
    </row>
    <row r="393" spans="2:3" ht="13.5" customHeight="1">
      <c r="B393" s="51"/>
      <c r="C393" s="52"/>
    </row>
    <row r="394" spans="2:3" ht="13.5" customHeight="1">
      <c r="B394" s="51"/>
      <c r="C394" s="52"/>
    </row>
    <row r="395" spans="2:3" ht="13.5" customHeight="1">
      <c r="B395" s="51"/>
      <c r="C395" s="52"/>
    </row>
    <row r="396" spans="2:3" ht="13.5" customHeight="1">
      <c r="B396" s="51"/>
      <c r="C396" s="52"/>
    </row>
    <row r="397" spans="2:3" ht="13.5" customHeight="1">
      <c r="B397" s="51"/>
      <c r="C397" s="52"/>
    </row>
    <row r="398" spans="2:3" ht="13.5" customHeight="1">
      <c r="B398" s="51"/>
      <c r="C398" s="52"/>
    </row>
    <row r="399" spans="2:3" ht="13.5" customHeight="1">
      <c r="B399" s="51"/>
      <c r="C399" s="52"/>
    </row>
    <row r="400" spans="2:3" ht="13.5" customHeight="1">
      <c r="B400" s="51"/>
      <c r="C400" s="52"/>
    </row>
    <row r="401" spans="2:3" ht="13.5" customHeight="1">
      <c r="B401" s="51"/>
      <c r="C401" s="52"/>
    </row>
    <row r="402" spans="2:3" ht="13.5" customHeight="1">
      <c r="B402" s="51"/>
      <c r="C402" s="52"/>
    </row>
    <row r="403" spans="2:3" ht="13.5" customHeight="1">
      <c r="B403" s="51"/>
      <c r="C403" s="52"/>
    </row>
    <row r="404" spans="2:3" ht="13.5" customHeight="1">
      <c r="B404" s="51"/>
      <c r="C404" s="52"/>
    </row>
    <row r="405" spans="2:3" ht="13.5" customHeight="1">
      <c r="B405" s="51"/>
      <c r="C405" s="52"/>
    </row>
    <row r="406" spans="2:3" ht="13.5" customHeight="1">
      <c r="B406" s="51"/>
      <c r="C406" s="52"/>
    </row>
    <row r="407" spans="2:3" ht="13.5" customHeight="1">
      <c r="B407" s="51"/>
      <c r="C407" s="52"/>
    </row>
    <row r="408" spans="2:3" ht="13.5" customHeight="1">
      <c r="B408" s="51"/>
      <c r="C408" s="52"/>
    </row>
    <row r="409" spans="2:3" ht="13.5" customHeight="1">
      <c r="B409" s="51"/>
      <c r="C409" s="52"/>
    </row>
    <row r="410" spans="2:3" ht="13.5" customHeight="1">
      <c r="B410" s="51"/>
      <c r="C410" s="52"/>
    </row>
    <row r="411" spans="2:3" ht="13.5" customHeight="1">
      <c r="B411" s="51"/>
      <c r="C411" s="52"/>
    </row>
    <row r="412" spans="2:3" ht="13.5" customHeight="1">
      <c r="B412" s="51"/>
      <c r="C412" s="52"/>
    </row>
    <row r="413" spans="2:3" ht="13.5" customHeight="1">
      <c r="B413" s="51"/>
      <c r="C413" s="52"/>
    </row>
    <row r="414" spans="2:3" ht="13.5" customHeight="1">
      <c r="B414" s="51"/>
      <c r="C414" s="52"/>
    </row>
    <row r="415" spans="2:3" ht="13.5" customHeight="1">
      <c r="B415" s="51"/>
      <c r="C415" s="52"/>
    </row>
    <row r="416" spans="2:3" ht="13.5" customHeight="1">
      <c r="B416" s="51"/>
      <c r="C416" s="52"/>
    </row>
    <row r="417" spans="2:3" ht="13.5" customHeight="1">
      <c r="B417" s="51"/>
      <c r="C417" s="52"/>
    </row>
    <row r="418" spans="2:3" ht="13.5" customHeight="1">
      <c r="B418" s="51"/>
      <c r="C418" s="52"/>
    </row>
    <row r="419" spans="2:3" ht="13.5" customHeight="1">
      <c r="B419" s="51"/>
      <c r="C419" s="52"/>
    </row>
    <row r="420" spans="2:3" ht="13.5" customHeight="1">
      <c r="B420" s="51"/>
      <c r="C420" s="52"/>
    </row>
    <row r="421" spans="2:3" ht="13.5" customHeight="1">
      <c r="B421" s="51"/>
      <c r="C421" s="52"/>
    </row>
    <row r="422" spans="2:3" ht="13.5" customHeight="1">
      <c r="B422" s="51"/>
      <c r="C422" s="52"/>
    </row>
    <row r="423" spans="2:3" ht="13.5" customHeight="1">
      <c r="B423" s="51"/>
      <c r="C423" s="52"/>
    </row>
    <row r="424" spans="2:3" ht="13.5" customHeight="1">
      <c r="B424" s="51"/>
      <c r="C424" s="52"/>
    </row>
    <row r="425" spans="2:3" ht="13.5" customHeight="1">
      <c r="B425" s="51"/>
      <c r="C425" s="52"/>
    </row>
    <row r="426" spans="2:3" ht="13.5" customHeight="1">
      <c r="B426" s="51"/>
      <c r="C426" s="52"/>
    </row>
    <row r="427" spans="2:3" ht="13.5" customHeight="1">
      <c r="B427" s="51"/>
      <c r="C427" s="52"/>
    </row>
    <row r="428" spans="2:3" ht="13.5" customHeight="1">
      <c r="B428" s="51"/>
      <c r="C428" s="52"/>
    </row>
    <row r="429" spans="2:3" ht="13.5" customHeight="1">
      <c r="B429" s="51"/>
      <c r="C429" s="52"/>
    </row>
    <row r="430" spans="2:3" ht="13.5" customHeight="1">
      <c r="B430" s="51"/>
      <c r="C430" s="52"/>
    </row>
    <row r="431" spans="2:3" ht="13.5" customHeight="1">
      <c r="B431" s="51"/>
      <c r="C431" s="52"/>
    </row>
    <row r="432" spans="2:3" ht="13.5" customHeight="1">
      <c r="B432" s="51"/>
      <c r="C432" s="52"/>
    </row>
    <row r="433" spans="2:3" ht="13.5" customHeight="1">
      <c r="B433" s="51"/>
      <c r="C433" s="52"/>
    </row>
    <row r="434" spans="2:3" ht="13.5" customHeight="1">
      <c r="B434" s="51"/>
      <c r="C434" s="52"/>
    </row>
    <row r="435" spans="2:3" ht="13.5" customHeight="1">
      <c r="B435" s="51"/>
      <c r="C435" s="52"/>
    </row>
    <row r="436" spans="2:3" ht="13.5" customHeight="1">
      <c r="B436" s="51"/>
      <c r="C436" s="52"/>
    </row>
    <row r="437" spans="2:3" ht="13.5" customHeight="1">
      <c r="B437" s="51"/>
      <c r="C437" s="52"/>
    </row>
    <row r="438" spans="2:3" ht="13.5" customHeight="1">
      <c r="B438" s="51"/>
      <c r="C438" s="52"/>
    </row>
    <row r="439" spans="2:3" ht="13.5" customHeight="1">
      <c r="B439" s="51"/>
      <c r="C439" s="52"/>
    </row>
    <row r="440" spans="2:3" ht="13.5" customHeight="1">
      <c r="B440" s="51"/>
      <c r="C440" s="52"/>
    </row>
    <row r="441" spans="2:3" ht="13.5" customHeight="1">
      <c r="B441" s="51"/>
      <c r="C441" s="52"/>
    </row>
    <row r="442" spans="2:3" ht="13.5" customHeight="1">
      <c r="B442" s="51"/>
      <c r="C442" s="52"/>
    </row>
    <row r="443" spans="2:3" ht="13.5" customHeight="1">
      <c r="B443" s="51"/>
      <c r="C443" s="52"/>
    </row>
    <row r="444" spans="2:3" ht="13.5" customHeight="1">
      <c r="B444" s="51"/>
      <c r="C444" s="52"/>
    </row>
    <row r="445" spans="2:3" ht="13.5" customHeight="1">
      <c r="B445" s="51"/>
      <c r="C445" s="52"/>
    </row>
    <row r="446" spans="2:3" ht="13.5" customHeight="1">
      <c r="B446" s="51"/>
      <c r="C446" s="52"/>
    </row>
    <row r="447" spans="2:3" ht="13.5" customHeight="1">
      <c r="B447" s="51"/>
      <c r="C447" s="52"/>
    </row>
    <row r="448" spans="2:3" ht="13.5" customHeight="1">
      <c r="B448" s="51"/>
      <c r="C448" s="52"/>
    </row>
    <row r="449" spans="2:3" ht="13.5" customHeight="1">
      <c r="B449" s="51"/>
      <c r="C449" s="52"/>
    </row>
    <row r="450" spans="2:3" ht="13.5" customHeight="1">
      <c r="B450" s="51"/>
      <c r="C450" s="52"/>
    </row>
    <row r="451" spans="2:3" ht="13.5" customHeight="1">
      <c r="B451" s="51"/>
      <c r="C451" s="52"/>
    </row>
    <row r="452" spans="2:3" ht="13.5" customHeight="1">
      <c r="B452" s="51"/>
      <c r="C452" s="52"/>
    </row>
    <row r="453" spans="2:3" ht="13.5" customHeight="1">
      <c r="B453" s="51"/>
      <c r="C453" s="52"/>
    </row>
    <row r="454" spans="2:3" ht="13.5" customHeight="1">
      <c r="B454" s="51"/>
      <c r="C454" s="52"/>
    </row>
    <row r="455" spans="2:3" ht="13.5" customHeight="1">
      <c r="B455" s="51"/>
      <c r="C455" s="52"/>
    </row>
    <row r="456" spans="2:3" ht="13.5" customHeight="1">
      <c r="B456" s="51"/>
      <c r="C456" s="52"/>
    </row>
    <row r="457" spans="2:3" ht="13.5" customHeight="1">
      <c r="B457" s="51"/>
      <c r="C457" s="52"/>
    </row>
    <row r="458" spans="2:3" ht="13.5" customHeight="1">
      <c r="B458" s="51"/>
      <c r="C458" s="52"/>
    </row>
    <row r="459" spans="2:3" ht="13.5" customHeight="1">
      <c r="B459" s="51"/>
      <c r="C459" s="52"/>
    </row>
    <row r="460" spans="2:3" ht="13.5" customHeight="1">
      <c r="B460" s="51"/>
      <c r="C460" s="52"/>
    </row>
    <row r="461" spans="2:3" ht="13.5" customHeight="1">
      <c r="B461" s="51"/>
      <c r="C461" s="52"/>
    </row>
    <row r="462" spans="2:3" ht="13.5" customHeight="1">
      <c r="B462" s="51"/>
      <c r="C462" s="52"/>
    </row>
    <row r="463" spans="2:3" ht="13.5" customHeight="1">
      <c r="B463" s="51"/>
      <c r="C463" s="52"/>
    </row>
    <row r="464" spans="2:3" ht="13.5" customHeight="1">
      <c r="B464" s="51"/>
      <c r="C464" s="52"/>
    </row>
    <row r="465" spans="2:3" ht="13.5" customHeight="1">
      <c r="B465" s="51"/>
      <c r="C465" s="52"/>
    </row>
    <row r="466" spans="2:3" ht="13.5" customHeight="1">
      <c r="B466" s="51"/>
      <c r="C466" s="52"/>
    </row>
    <row r="467" spans="2:3" ht="13.5" customHeight="1">
      <c r="B467" s="51"/>
      <c r="C467" s="52"/>
    </row>
    <row r="468" spans="2:3" ht="13.5" customHeight="1">
      <c r="B468" s="51"/>
      <c r="C468" s="52"/>
    </row>
    <row r="469" spans="2:3" ht="13.5" customHeight="1">
      <c r="B469" s="51"/>
      <c r="C469" s="52"/>
    </row>
    <row r="470" spans="2:3" ht="13.5" customHeight="1">
      <c r="B470" s="51"/>
      <c r="C470" s="52"/>
    </row>
    <row r="471" spans="2:3" ht="13.5" customHeight="1">
      <c r="B471" s="51"/>
      <c r="C471" s="52"/>
    </row>
    <row r="472" spans="2:3" ht="13.5" customHeight="1">
      <c r="B472" s="51"/>
      <c r="C472" s="52"/>
    </row>
    <row r="473" spans="2:3" ht="13.5" customHeight="1">
      <c r="B473" s="51"/>
      <c r="C473" s="52"/>
    </row>
    <row r="474" spans="2:3" ht="13.5" customHeight="1">
      <c r="B474" s="51"/>
      <c r="C474" s="52"/>
    </row>
    <row r="475" spans="2:3" ht="13.5" customHeight="1">
      <c r="B475" s="51"/>
      <c r="C475" s="52"/>
    </row>
    <row r="476" spans="2:3" ht="13.5" customHeight="1">
      <c r="B476" s="51"/>
      <c r="C476" s="52"/>
    </row>
    <row r="477" spans="2:3" ht="13.5" customHeight="1">
      <c r="B477" s="51"/>
      <c r="C477" s="52"/>
    </row>
    <row r="478" spans="2:3" ht="13.5" customHeight="1">
      <c r="B478" s="51"/>
      <c r="C478" s="52"/>
    </row>
    <row r="479" spans="2:3" ht="13.5" customHeight="1">
      <c r="B479" s="51"/>
      <c r="C479" s="52"/>
    </row>
    <row r="480" spans="2:3" ht="13.5" customHeight="1">
      <c r="B480" s="51"/>
      <c r="C480" s="52"/>
    </row>
    <row r="481" spans="2:3" ht="13.5" customHeight="1">
      <c r="B481" s="51"/>
      <c r="C481" s="52"/>
    </row>
    <row r="482" spans="2:3" ht="13.5" customHeight="1">
      <c r="B482" s="51"/>
      <c r="C482" s="52"/>
    </row>
    <row r="483" spans="2:3" ht="13.5" customHeight="1">
      <c r="B483" s="51"/>
      <c r="C483" s="52"/>
    </row>
    <row r="484" spans="2:3" ht="13.5" customHeight="1">
      <c r="B484" s="51"/>
      <c r="C484" s="52"/>
    </row>
    <row r="485" spans="2:3" ht="13.5" customHeight="1">
      <c r="B485" s="51"/>
      <c r="C485" s="52"/>
    </row>
    <row r="486" spans="2:3" ht="13.5" customHeight="1">
      <c r="B486" s="51"/>
      <c r="C486" s="52"/>
    </row>
    <row r="487" spans="2:3" ht="13.5" customHeight="1">
      <c r="B487" s="51"/>
      <c r="C487" s="52"/>
    </row>
    <row r="488" spans="2:3" ht="13.5" customHeight="1">
      <c r="B488" s="51"/>
      <c r="C488" s="52"/>
    </row>
    <row r="489" spans="2:3" ht="13.5" customHeight="1">
      <c r="B489" s="51"/>
      <c r="C489" s="52"/>
    </row>
    <row r="490" spans="2:3" ht="13.5" customHeight="1">
      <c r="B490" s="51"/>
      <c r="C490" s="52"/>
    </row>
    <row r="491" spans="2:3" ht="13.5" customHeight="1">
      <c r="B491" s="51"/>
      <c r="C491" s="52"/>
    </row>
    <row r="492" spans="2:3" ht="13.5" customHeight="1">
      <c r="B492" s="51"/>
      <c r="C492" s="52"/>
    </row>
    <row r="493" spans="2:3" ht="13.5" customHeight="1">
      <c r="B493" s="51"/>
      <c r="C493" s="52"/>
    </row>
    <row r="494" spans="2:3" ht="13.5" customHeight="1">
      <c r="B494" s="51"/>
      <c r="C494" s="52"/>
    </row>
    <row r="495" spans="2:3" ht="13.5" customHeight="1">
      <c r="B495" s="51"/>
      <c r="C495" s="52"/>
    </row>
    <row r="496" spans="2:3" ht="13.5" customHeight="1">
      <c r="B496" s="51"/>
      <c r="C496" s="52"/>
    </row>
    <row r="497" spans="2:3" ht="13.5" customHeight="1">
      <c r="B497" s="51"/>
      <c r="C497" s="52"/>
    </row>
    <row r="498" spans="2:3" ht="13.5" customHeight="1">
      <c r="B498" s="51"/>
      <c r="C498" s="52"/>
    </row>
    <row r="499" spans="2:3" ht="13.5" customHeight="1">
      <c r="B499" s="51"/>
      <c r="C499" s="52"/>
    </row>
    <row r="500" spans="2:3" ht="13.5" customHeight="1">
      <c r="B500" s="51"/>
      <c r="C500" s="52"/>
    </row>
    <row r="501" spans="2:3" ht="13.5" customHeight="1">
      <c r="B501" s="51"/>
      <c r="C501" s="52"/>
    </row>
    <row r="502" spans="2:3" ht="13.5" customHeight="1">
      <c r="B502" s="51"/>
      <c r="C502" s="52"/>
    </row>
    <row r="503" spans="2:3" ht="13.5" customHeight="1">
      <c r="B503" s="51"/>
      <c r="C503" s="52"/>
    </row>
    <row r="504" spans="2:3" ht="13.5" customHeight="1">
      <c r="B504" s="51"/>
      <c r="C504" s="52"/>
    </row>
    <row r="505" spans="2:3" ht="13.5" customHeight="1">
      <c r="B505" s="51"/>
      <c r="C505" s="52"/>
    </row>
    <row r="506" spans="2:3" ht="13.5" customHeight="1">
      <c r="B506" s="51"/>
      <c r="C506" s="52"/>
    </row>
    <row r="507" spans="2:3" ht="13.5" customHeight="1">
      <c r="B507" s="51"/>
      <c r="C507" s="52"/>
    </row>
    <row r="508" spans="2:3" ht="13.5" customHeight="1">
      <c r="B508" s="51"/>
      <c r="C508" s="52"/>
    </row>
    <row r="509" spans="2:3" ht="13.5" customHeight="1">
      <c r="B509" s="51"/>
      <c r="C509" s="52"/>
    </row>
    <row r="510" spans="2:3" ht="13.5" customHeight="1">
      <c r="B510" s="51"/>
      <c r="C510" s="52"/>
    </row>
    <row r="511" spans="2:3" ht="13.5" customHeight="1">
      <c r="B511" s="51"/>
      <c r="C511" s="52"/>
    </row>
    <row r="512" spans="2:3" ht="13.5" customHeight="1">
      <c r="B512" s="51"/>
      <c r="C512" s="52"/>
    </row>
    <row r="513" spans="2:3" ht="13.5" customHeight="1">
      <c r="B513" s="51"/>
      <c r="C513" s="52"/>
    </row>
    <row r="514" spans="2:3" ht="13.5" customHeight="1">
      <c r="B514" s="51"/>
      <c r="C514" s="52"/>
    </row>
    <row r="515" spans="2:3" ht="13.5" customHeight="1">
      <c r="B515" s="51"/>
      <c r="C515" s="52"/>
    </row>
    <row r="516" spans="2:3" ht="13.5" customHeight="1">
      <c r="B516" s="51"/>
      <c r="C516" s="52"/>
    </row>
    <row r="517" spans="2:3" ht="13.5" customHeight="1">
      <c r="B517" s="51"/>
      <c r="C517" s="52"/>
    </row>
    <row r="518" spans="2:3" ht="13.5" customHeight="1">
      <c r="B518" s="51"/>
      <c r="C518" s="52"/>
    </row>
    <row r="519" spans="2:3" ht="13.5" customHeight="1">
      <c r="B519" s="51"/>
      <c r="C519" s="52"/>
    </row>
    <row r="520" spans="2:3" ht="13.5" customHeight="1">
      <c r="B520" s="51"/>
      <c r="C520" s="52"/>
    </row>
    <row r="521" spans="2:3" ht="13.5" customHeight="1">
      <c r="B521" s="51"/>
      <c r="C521" s="52"/>
    </row>
    <row r="522" spans="2:3" ht="13.5" customHeight="1">
      <c r="B522" s="51"/>
      <c r="C522" s="52"/>
    </row>
    <row r="523" spans="2:3" ht="13.5" customHeight="1">
      <c r="B523" s="51"/>
      <c r="C523" s="52"/>
    </row>
    <row r="524" spans="2:3" ht="13.5" customHeight="1">
      <c r="B524" s="51"/>
      <c r="C524" s="52"/>
    </row>
    <row r="525" spans="2:3" ht="13.5" customHeight="1">
      <c r="B525" s="51"/>
      <c r="C525" s="52"/>
    </row>
    <row r="526" spans="2:3" ht="13.5" customHeight="1">
      <c r="B526" s="51"/>
      <c r="C526" s="52"/>
    </row>
    <row r="527" spans="2:3" ht="13.5" customHeight="1">
      <c r="B527" s="51"/>
      <c r="C527" s="52"/>
    </row>
    <row r="528" spans="2:3" ht="13.5" customHeight="1">
      <c r="B528" s="51"/>
      <c r="C528" s="52"/>
    </row>
    <row r="529" spans="2:3" ht="13.5" customHeight="1">
      <c r="B529" s="51"/>
      <c r="C529" s="52"/>
    </row>
    <row r="530" spans="2:3" ht="13.5" customHeight="1">
      <c r="B530" s="51"/>
      <c r="C530" s="52"/>
    </row>
    <row r="531" spans="2:3" ht="13.5" customHeight="1">
      <c r="B531" s="51"/>
      <c r="C531" s="52"/>
    </row>
    <row r="532" spans="2:3" ht="13.5" customHeight="1">
      <c r="B532" s="51"/>
      <c r="C532" s="52"/>
    </row>
    <row r="533" spans="2:3" ht="13.5" customHeight="1">
      <c r="B533" s="51"/>
      <c r="C533" s="52"/>
    </row>
    <row r="534" spans="2:3" ht="13.5" customHeight="1">
      <c r="B534" s="51"/>
      <c r="C534" s="52"/>
    </row>
    <row r="535" spans="2:3" ht="13.5" customHeight="1">
      <c r="B535" s="51"/>
      <c r="C535" s="52"/>
    </row>
    <row r="536" spans="2:3" ht="13.5" customHeight="1">
      <c r="B536" s="51"/>
      <c r="C536" s="52"/>
    </row>
    <row r="537" spans="2:3" ht="13.5" customHeight="1">
      <c r="B537" s="51"/>
      <c r="C537" s="52"/>
    </row>
    <row r="538" spans="2:3" ht="13.5" customHeight="1">
      <c r="B538" s="51"/>
      <c r="C538" s="52"/>
    </row>
    <row r="539" spans="2:3" ht="13.5" customHeight="1">
      <c r="B539" s="51"/>
      <c r="C539" s="52"/>
    </row>
    <row r="540" spans="2:3" ht="13.5" customHeight="1">
      <c r="B540" s="51"/>
      <c r="C540" s="52"/>
    </row>
    <row r="541" spans="2:3" ht="13.5" customHeight="1">
      <c r="B541" s="51"/>
      <c r="C541" s="52"/>
    </row>
    <row r="542" spans="2:3" ht="13.5" customHeight="1">
      <c r="B542" s="51"/>
      <c r="C542" s="52"/>
    </row>
    <row r="543" spans="2:3" ht="13.5" customHeight="1">
      <c r="B543" s="51"/>
      <c r="C543" s="52"/>
    </row>
    <row r="544" spans="2:3" ht="13.5" customHeight="1">
      <c r="B544" s="51"/>
      <c r="C544" s="52"/>
    </row>
    <row r="545" spans="2:3" ht="13.5" customHeight="1">
      <c r="B545" s="51"/>
      <c r="C545" s="52"/>
    </row>
    <row r="546" spans="2:3" ht="13.5" customHeight="1">
      <c r="B546" s="51"/>
      <c r="C546" s="52"/>
    </row>
    <row r="547" spans="2:3" ht="13.5" customHeight="1">
      <c r="B547" s="51"/>
      <c r="C547" s="52"/>
    </row>
    <row r="548" spans="2:3" ht="13.5" customHeight="1">
      <c r="B548" s="51"/>
      <c r="C548" s="52"/>
    </row>
    <row r="549" spans="2:3" ht="13.5" customHeight="1">
      <c r="B549" s="51"/>
      <c r="C549" s="52"/>
    </row>
    <row r="550" spans="2:3" ht="13.5" customHeight="1">
      <c r="B550" s="51"/>
      <c r="C550" s="52"/>
    </row>
    <row r="551" spans="2:3" ht="13.5" customHeight="1">
      <c r="B551" s="51"/>
      <c r="C551" s="52"/>
    </row>
    <row r="552" spans="2:3" ht="13.5" customHeight="1">
      <c r="B552" s="51"/>
      <c r="C552" s="52"/>
    </row>
    <row r="553" spans="2:3" ht="13.5" customHeight="1">
      <c r="B553" s="51"/>
      <c r="C553" s="52"/>
    </row>
    <row r="554" spans="2:3" ht="13.5" customHeight="1">
      <c r="B554" s="51"/>
      <c r="C554" s="52"/>
    </row>
    <row r="555" spans="2:3" ht="13.5" customHeight="1">
      <c r="B555" s="51"/>
      <c r="C555" s="52"/>
    </row>
    <row r="556" spans="2:3" ht="13.5" customHeight="1">
      <c r="B556" s="51"/>
      <c r="C556" s="52"/>
    </row>
    <row r="557" spans="2:3" ht="13.5" customHeight="1">
      <c r="B557" s="51"/>
      <c r="C557" s="52"/>
    </row>
    <row r="558" spans="2:3" ht="13.5" customHeight="1">
      <c r="B558" s="51"/>
      <c r="C558" s="52"/>
    </row>
    <row r="559" spans="2:3" ht="13.5" customHeight="1">
      <c r="B559" s="51"/>
      <c r="C559" s="52"/>
    </row>
    <row r="560" spans="2:3" ht="13.5" customHeight="1">
      <c r="B560" s="51"/>
      <c r="C560" s="52"/>
    </row>
    <row r="561" spans="2:3" ht="13.5" customHeight="1">
      <c r="B561" s="51"/>
      <c r="C561" s="52"/>
    </row>
    <row r="562" spans="2:3" ht="13.5" customHeight="1">
      <c r="B562" s="51"/>
      <c r="C562" s="52"/>
    </row>
    <row r="563" spans="2:3" ht="13.5" customHeight="1">
      <c r="B563" s="51"/>
      <c r="C563" s="52"/>
    </row>
    <row r="564" spans="2:3" ht="13.5" customHeight="1">
      <c r="B564" s="51"/>
      <c r="C564" s="52"/>
    </row>
    <row r="565" spans="2:3" ht="13.5" customHeight="1">
      <c r="B565" s="51"/>
      <c r="C565" s="52"/>
    </row>
    <row r="566" spans="2:3" ht="13.5" customHeight="1">
      <c r="B566" s="51"/>
      <c r="C566" s="52"/>
    </row>
    <row r="567" spans="2:3" ht="13.5" customHeight="1">
      <c r="B567" s="51"/>
      <c r="C567" s="52"/>
    </row>
    <row r="568" spans="2:3" ht="13.5" customHeight="1">
      <c r="B568" s="51"/>
      <c r="C568" s="52"/>
    </row>
    <row r="569" spans="2:3" ht="13.5" customHeight="1">
      <c r="B569" s="51"/>
      <c r="C569" s="52"/>
    </row>
    <row r="570" spans="2:3" ht="13.5" customHeight="1">
      <c r="B570" s="51"/>
      <c r="C570" s="52"/>
    </row>
    <row r="571" spans="2:3" ht="13.5" customHeight="1">
      <c r="B571" s="51"/>
      <c r="C571" s="52"/>
    </row>
    <row r="572" spans="2:3" ht="13.5" customHeight="1">
      <c r="B572" s="51"/>
      <c r="C572" s="52"/>
    </row>
    <row r="573" spans="2:3" ht="13.5" customHeight="1">
      <c r="B573" s="51"/>
      <c r="C573" s="52"/>
    </row>
    <row r="574" spans="2:3" ht="13.5" customHeight="1">
      <c r="B574" s="51"/>
      <c r="C574" s="52"/>
    </row>
    <row r="575" spans="2:3" ht="13.5" customHeight="1">
      <c r="B575" s="51"/>
      <c r="C575" s="52"/>
    </row>
    <row r="576" spans="2:3" ht="13.5" customHeight="1">
      <c r="B576" s="51"/>
      <c r="C576" s="52"/>
    </row>
    <row r="577" spans="2:3" ht="13.5" customHeight="1">
      <c r="B577" s="51"/>
      <c r="C577" s="52"/>
    </row>
    <row r="578" spans="2:3" ht="13.5" customHeight="1">
      <c r="B578" s="51"/>
      <c r="C578" s="52"/>
    </row>
    <row r="579" spans="2:3" ht="13.5" customHeight="1">
      <c r="B579" s="51"/>
      <c r="C579" s="52"/>
    </row>
    <row r="580" spans="2:3" ht="13.5" customHeight="1">
      <c r="B580" s="51"/>
      <c r="C580" s="52"/>
    </row>
    <row r="581" spans="2:3" ht="13.5" customHeight="1">
      <c r="B581" s="51"/>
      <c r="C581" s="52"/>
    </row>
    <row r="582" spans="2:3" ht="13.5" customHeight="1">
      <c r="B582" s="51"/>
      <c r="C582" s="52"/>
    </row>
    <row r="583" spans="2:3" ht="13.5" customHeight="1">
      <c r="B583" s="51"/>
      <c r="C583" s="52"/>
    </row>
    <row r="584" spans="2:3" ht="13.5" customHeight="1">
      <c r="B584" s="51"/>
      <c r="C584" s="52"/>
    </row>
    <row r="585" spans="2:3" ht="13.5" customHeight="1">
      <c r="B585" s="51"/>
      <c r="C585" s="52"/>
    </row>
    <row r="586" spans="2:3" ht="13.5" customHeight="1">
      <c r="B586" s="51"/>
      <c r="C586" s="52"/>
    </row>
    <row r="587" spans="2:3" ht="13.5" customHeight="1">
      <c r="B587" s="51"/>
      <c r="C587" s="52"/>
    </row>
    <row r="588" spans="2:3" ht="13.5" customHeight="1">
      <c r="B588" s="51"/>
      <c r="C588" s="52"/>
    </row>
    <row r="589" spans="2:3" ht="13.5" customHeight="1">
      <c r="B589" s="51"/>
      <c r="C589" s="52"/>
    </row>
    <row r="590" spans="2:3" ht="13.5" customHeight="1">
      <c r="B590" s="51"/>
      <c r="C590" s="52"/>
    </row>
    <row r="591" spans="2:3" ht="13.5" customHeight="1">
      <c r="B591" s="51"/>
      <c r="C591" s="52"/>
    </row>
    <row r="592" spans="2:3" ht="13.5" customHeight="1">
      <c r="B592" s="51"/>
      <c r="C592" s="52"/>
    </row>
    <row r="593" spans="2:3" ht="13.5" customHeight="1">
      <c r="B593" s="51"/>
      <c r="C593" s="52"/>
    </row>
    <row r="594" spans="2:3" ht="13.5" customHeight="1">
      <c r="B594" s="51"/>
      <c r="C594" s="52"/>
    </row>
    <row r="595" spans="2:3" ht="13.5" customHeight="1">
      <c r="B595" s="51"/>
      <c r="C595" s="52"/>
    </row>
    <row r="596" spans="2:3" ht="13.5" customHeight="1">
      <c r="B596" s="51"/>
      <c r="C596" s="52"/>
    </row>
    <row r="597" spans="2:3" ht="13.5" customHeight="1">
      <c r="B597" s="51"/>
      <c r="C597" s="52"/>
    </row>
    <row r="598" spans="2:3" ht="13.5" customHeight="1">
      <c r="B598" s="51"/>
      <c r="C598" s="52"/>
    </row>
    <row r="599" spans="2:3" ht="13.5" customHeight="1">
      <c r="B599" s="51"/>
      <c r="C599" s="52"/>
    </row>
    <row r="600" spans="2:3" ht="13.5" customHeight="1">
      <c r="B600" s="51"/>
      <c r="C600" s="52"/>
    </row>
    <row r="601" spans="2:3" ht="13.5" customHeight="1">
      <c r="B601" s="51"/>
      <c r="C601" s="52"/>
    </row>
    <row r="602" spans="2:3" ht="13.5" customHeight="1">
      <c r="B602" s="51"/>
      <c r="C602" s="52"/>
    </row>
    <row r="603" spans="2:3" ht="13.5" customHeight="1">
      <c r="B603" s="51"/>
      <c r="C603" s="52"/>
    </row>
    <row r="604" spans="2:3" ht="13.5" customHeight="1">
      <c r="B604" s="51"/>
      <c r="C604" s="52"/>
    </row>
    <row r="605" spans="2:3" ht="13.5" customHeight="1">
      <c r="B605" s="51"/>
      <c r="C605" s="52"/>
    </row>
    <row r="606" spans="2:3" ht="13.5" customHeight="1">
      <c r="B606" s="51"/>
      <c r="C606" s="52"/>
    </row>
    <row r="607" spans="2:3" ht="13.5" customHeight="1">
      <c r="B607" s="51"/>
      <c r="C607" s="52"/>
    </row>
    <row r="608" spans="2:3" ht="13.5" customHeight="1">
      <c r="B608" s="51"/>
      <c r="C608" s="52"/>
    </row>
    <row r="609" spans="2:3" ht="13.5" customHeight="1">
      <c r="B609" s="51"/>
      <c r="C609" s="52"/>
    </row>
    <row r="610" spans="2:3" ht="13.5" customHeight="1">
      <c r="B610" s="51"/>
      <c r="C610" s="52"/>
    </row>
    <row r="611" spans="2:3" ht="13.5" customHeight="1">
      <c r="B611" s="51"/>
      <c r="C611" s="52"/>
    </row>
    <row r="612" spans="2:3" ht="13.5" customHeight="1">
      <c r="B612" s="51"/>
      <c r="C612" s="52"/>
    </row>
    <row r="613" spans="2:3" ht="13.5" customHeight="1">
      <c r="B613" s="51"/>
      <c r="C613" s="52"/>
    </row>
    <row r="614" spans="2:3" ht="13.5" customHeight="1">
      <c r="B614" s="51"/>
      <c r="C614" s="52"/>
    </row>
    <row r="615" spans="2:3" ht="13.5" customHeight="1">
      <c r="B615" s="51"/>
      <c r="C615" s="52"/>
    </row>
    <row r="616" spans="2:3" ht="13.5" customHeight="1">
      <c r="B616" s="51"/>
      <c r="C616" s="52"/>
    </row>
    <row r="617" spans="2:3" ht="13.5" customHeight="1">
      <c r="B617" s="51"/>
      <c r="C617" s="52"/>
    </row>
    <row r="618" spans="2:3" ht="13.5" customHeight="1">
      <c r="B618" s="51"/>
      <c r="C618" s="52"/>
    </row>
    <row r="619" spans="2:3" ht="13.5" customHeight="1">
      <c r="B619" s="51"/>
      <c r="C619" s="52"/>
    </row>
    <row r="620" spans="2:3" ht="13.5" customHeight="1">
      <c r="B620" s="51"/>
      <c r="C620" s="52"/>
    </row>
    <row r="621" spans="2:3" ht="13.5" customHeight="1">
      <c r="B621" s="51"/>
      <c r="C621" s="52"/>
    </row>
    <row r="622" spans="2:3" ht="13.5" customHeight="1">
      <c r="B622" s="51"/>
      <c r="C622" s="52"/>
    </row>
    <row r="623" spans="2:3" ht="13.5" customHeight="1">
      <c r="B623" s="51"/>
      <c r="C623" s="52"/>
    </row>
    <row r="624" spans="2:3" ht="13.5" customHeight="1">
      <c r="B624" s="51"/>
      <c r="C624" s="52"/>
    </row>
    <row r="625" spans="2:3" ht="13.5" customHeight="1">
      <c r="B625" s="51"/>
      <c r="C625" s="52"/>
    </row>
    <row r="626" spans="2:3" ht="13.5" customHeight="1">
      <c r="B626" s="51"/>
      <c r="C626" s="52"/>
    </row>
    <row r="627" spans="2:3" ht="13.5" customHeight="1">
      <c r="B627" s="51"/>
      <c r="C627" s="52"/>
    </row>
    <row r="628" spans="2:3" ht="13.5" customHeight="1">
      <c r="B628" s="51"/>
      <c r="C628" s="52"/>
    </row>
    <row r="629" spans="2:3" ht="13.5" customHeight="1">
      <c r="B629" s="51"/>
      <c r="C629" s="52"/>
    </row>
    <row r="630" spans="2:3" ht="13.5" customHeight="1">
      <c r="B630" s="51"/>
      <c r="C630" s="52"/>
    </row>
    <row r="631" spans="2:3" ht="13.5" customHeight="1">
      <c r="B631" s="51"/>
      <c r="C631" s="52"/>
    </row>
    <row r="632" spans="2:3" ht="13.5" customHeight="1">
      <c r="B632" s="51"/>
      <c r="C632" s="52"/>
    </row>
    <row r="633" spans="2:3" ht="13.5" customHeight="1">
      <c r="B633" s="51"/>
      <c r="C633" s="52"/>
    </row>
    <row r="634" spans="2:3" ht="13.5" customHeight="1">
      <c r="B634" s="51"/>
      <c r="C634" s="52"/>
    </row>
    <row r="635" spans="2:3" ht="13.5" customHeight="1">
      <c r="B635" s="51"/>
      <c r="C635" s="52"/>
    </row>
    <row r="636" spans="2:3" ht="13.5" customHeight="1">
      <c r="B636" s="51"/>
      <c r="C636" s="52"/>
    </row>
    <row r="637" spans="2:3" ht="13.5" customHeight="1">
      <c r="B637" s="51"/>
      <c r="C637" s="52"/>
    </row>
    <row r="638" spans="2:3" ht="13.5" customHeight="1">
      <c r="B638" s="51"/>
      <c r="C638" s="52"/>
    </row>
    <row r="639" spans="2:3" ht="13.5" customHeight="1">
      <c r="B639" s="51"/>
      <c r="C639" s="52"/>
    </row>
    <row r="640" spans="2:3" ht="13.5" customHeight="1">
      <c r="B640" s="51"/>
      <c r="C640" s="52"/>
    </row>
    <row r="641" spans="2:3" ht="13.5" customHeight="1">
      <c r="B641" s="51"/>
      <c r="C641" s="52"/>
    </row>
    <row r="642" spans="2:3" ht="13.5" customHeight="1">
      <c r="B642" s="51"/>
      <c r="C642" s="52"/>
    </row>
    <row r="643" spans="2:3" ht="13.5" customHeight="1">
      <c r="B643" s="51"/>
      <c r="C643" s="52"/>
    </row>
    <row r="644" spans="2:3" ht="13.5" customHeight="1">
      <c r="B644" s="51"/>
      <c r="C644" s="52"/>
    </row>
    <row r="645" spans="2:3" ht="13.5" customHeight="1">
      <c r="B645" s="51"/>
      <c r="C645" s="52"/>
    </row>
    <row r="646" spans="2:3" ht="13.5" customHeight="1">
      <c r="B646" s="51"/>
      <c r="C646" s="52"/>
    </row>
    <row r="647" spans="2:3" ht="13.5" customHeight="1">
      <c r="B647" s="51"/>
      <c r="C647" s="52"/>
    </row>
    <row r="648" spans="2:3" ht="13.5" customHeight="1">
      <c r="B648" s="51"/>
      <c r="C648" s="52"/>
    </row>
    <row r="649" spans="2:3" ht="13.5" customHeight="1">
      <c r="B649" s="51"/>
      <c r="C649" s="52"/>
    </row>
    <row r="650" spans="2:3" ht="13.5" customHeight="1">
      <c r="B650" s="51"/>
      <c r="C650" s="52"/>
    </row>
    <row r="651" spans="2:3" ht="13.5" customHeight="1">
      <c r="B651" s="51"/>
      <c r="C651" s="52"/>
    </row>
    <row r="652" spans="2:3" ht="13.5" customHeight="1">
      <c r="B652" s="51"/>
      <c r="C652" s="52"/>
    </row>
    <row r="653" spans="2:3" ht="13.5" customHeight="1">
      <c r="B653" s="51"/>
      <c r="C653" s="52"/>
    </row>
    <row r="654" spans="2:3" ht="13.5" customHeight="1">
      <c r="B654" s="51"/>
      <c r="C654" s="52"/>
    </row>
    <row r="655" spans="2:3" ht="13.5" customHeight="1">
      <c r="B655" s="51"/>
      <c r="C655" s="52"/>
    </row>
    <row r="656" spans="2:3" ht="13.5" customHeight="1">
      <c r="B656" s="51"/>
      <c r="C656" s="52"/>
    </row>
    <row r="657" spans="2:3" ht="13.5" customHeight="1">
      <c r="B657" s="51"/>
      <c r="C657" s="52"/>
    </row>
    <row r="658" spans="2:3" ht="13.5" customHeight="1">
      <c r="B658" s="51"/>
      <c r="C658" s="52"/>
    </row>
    <row r="659" spans="2:3" ht="13.5" customHeight="1">
      <c r="B659" s="51"/>
      <c r="C659" s="52"/>
    </row>
    <row r="660" spans="2:3" ht="13.5" customHeight="1">
      <c r="B660" s="51"/>
      <c r="C660" s="52"/>
    </row>
    <row r="661" spans="2:3" ht="13.5" customHeight="1">
      <c r="B661" s="51"/>
      <c r="C661" s="52"/>
    </row>
    <row r="662" spans="2:3" ht="13.5" customHeight="1">
      <c r="B662" s="51"/>
      <c r="C662" s="52"/>
    </row>
    <row r="663" spans="2:3" ht="13.5" customHeight="1">
      <c r="B663" s="51"/>
      <c r="C663" s="52"/>
    </row>
    <row r="664" spans="2:3" ht="13.5" customHeight="1">
      <c r="B664" s="51"/>
      <c r="C664" s="52"/>
    </row>
    <row r="665" spans="2:3" ht="13.5" customHeight="1">
      <c r="B665" s="51"/>
      <c r="C665" s="52"/>
    </row>
    <row r="666" spans="2:3" ht="13.5" customHeight="1">
      <c r="B666" s="51"/>
      <c r="C666" s="52"/>
    </row>
    <row r="667" spans="2:3" ht="13.5" customHeight="1">
      <c r="B667" s="51"/>
      <c r="C667" s="52"/>
    </row>
    <row r="668" spans="2:3" ht="13.5" customHeight="1">
      <c r="B668" s="51"/>
      <c r="C668" s="52"/>
    </row>
    <row r="669" spans="2:3" ht="13.5" customHeight="1">
      <c r="B669" s="51"/>
      <c r="C669" s="52"/>
    </row>
    <row r="670" spans="2:3" ht="13.5" customHeight="1">
      <c r="B670" s="51"/>
      <c r="C670" s="52"/>
    </row>
    <row r="671" spans="2:3" ht="13.5" customHeight="1">
      <c r="B671" s="51"/>
      <c r="C671" s="52"/>
    </row>
    <row r="672" spans="2:3" ht="13.5" customHeight="1">
      <c r="B672" s="51"/>
      <c r="C672" s="52"/>
    </row>
    <row r="673" spans="2:3" ht="13.5" customHeight="1">
      <c r="B673" s="51"/>
      <c r="C673" s="52"/>
    </row>
    <row r="674" spans="2:3" ht="13.5" customHeight="1">
      <c r="B674" s="51"/>
      <c r="C674" s="52"/>
    </row>
    <row r="675" spans="2:3" ht="13.5" customHeight="1">
      <c r="B675" s="51"/>
      <c r="C675" s="52"/>
    </row>
    <row r="676" spans="2:3" ht="13.5" customHeight="1">
      <c r="B676" s="51"/>
      <c r="C676" s="52"/>
    </row>
    <row r="677" spans="2:3" ht="13.5" customHeight="1">
      <c r="B677" s="51"/>
      <c r="C677" s="52"/>
    </row>
    <row r="678" spans="2:3" ht="13.5" customHeight="1">
      <c r="B678" s="51"/>
      <c r="C678" s="52"/>
    </row>
    <row r="679" spans="2:3" ht="13.5" customHeight="1">
      <c r="B679" s="51"/>
      <c r="C679" s="52"/>
    </row>
    <row r="680" spans="2:3" ht="13.5" customHeight="1">
      <c r="B680" s="51"/>
      <c r="C680" s="52"/>
    </row>
    <row r="681" spans="2:3" ht="13.5" customHeight="1">
      <c r="B681" s="51"/>
      <c r="C681" s="52"/>
    </row>
    <row r="682" spans="2:3" ht="13.5" customHeight="1">
      <c r="B682" s="51"/>
      <c r="C682" s="52"/>
    </row>
    <row r="683" spans="2:3" ht="13.5" customHeight="1">
      <c r="B683" s="51"/>
      <c r="C683" s="52"/>
    </row>
    <row r="684" spans="2:3" ht="13.5" customHeight="1">
      <c r="B684" s="51"/>
      <c r="C684" s="52"/>
    </row>
    <row r="685" spans="2:3" ht="13.5" customHeight="1">
      <c r="B685" s="51"/>
      <c r="C685" s="52"/>
    </row>
    <row r="686" spans="2:3" ht="13.5" customHeight="1">
      <c r="B686" s="51"/>
      <c r="C686" s="52"/>
    </row>
    <row r="687" spans="2:3" ht="13.5" customHeight="1">
      <c r="B687" s="51"/>
      <c r="C687" s="52"/>
    </row>
    <row r="688" spans="2:3" ht="13.5" customHeight="1">
      <c r="B688" s="51"/>
      <c r="C688" s="52"/>
    </row>
    <row r="689" spans="2:3" ht="13.5" customHeight="1">
      <c r="B689" s="51"/>
      <c r="C689" s="52"/>
    </row>
    <row r="690" spans="2:3" ht="13.5" customHeight="1">
      <c r="B690" s="51"/>
      <c r="C690" s="52"/>
    </row>
    <row r="691" spans="2:3" ht="13.5" customHeight="1">
      <c r="B691" s="51"/>
      <c r="C691" s="52"/>
    </row>
    <row r="692" spans="2:3" ht="13.5" customHeight="1">
      <c r="B692" s="51"/>
      <c r="C692" s="52"/>
    </row>
    <row r="693" spans="2:3" ht="13.5" customHeight="1">
      <c r="B693" s="51"/>
      <c r="C693" s="52"/>
    </row>
    <row r="694" spans="2:3" ht="13.5" customHeight="1">
      <c r="B694" s="51"/>
      <c r="C694" s="52"/>
    </row>
    <row r="695" spans="2:3" ht="13.5" customHeight="1">
      <c r="B695" s="51"/>
      <c r="C695" s="52"/>
    </row>
    <row r="696" spans="2:3" ht="13.5" customHeight="1">
      <c r="B696" s="51"/>
      <c r="C696" s="52"/>
    </row>
    <row r="697" spans="2:3" ht="13.5" customHeight="1">
      <c r="B697" s="51"/>
      <c r="C697" s="52"/>
    </row>
    <row r="698" spans="2:3" ht="13.5" customHeight="1">
      <c r="B698" s="51"/>
      <c r="C698" s="52"/>
    </row>
    <row r="699" spans="2:3" ht="13.5" customHeight="1">
      <c r="B699" s="51"/>
      <c r="C699" s="52"/>
    </row>
    <row r="700" spans="2:3" ht="13.5" customHeight="1">
      <c r="B700" s="51"/>
      <c r="C700" s="52"/>
    </row>
    <row r="701" spans="2:3" ht="13.5" customHeight="1">
      <c r="B701" s="51"/>
      <c r="C701" s="52"/>
    </row>
    <row r="702" spans="2:3" ht="13.5" customHeight="1">
      <c r="B702" s="51"/>
      <c r="C702" s="52"/>
    </row>
    <row r="703" spans="2:3" ht="13.5" customHeight="1">
      <c r="B703" s="51"/>
      <c r="C703" s="52"/>
    </row>
    <row r="704" spans="2:3" ht="13.5" customHeight="1">
      <c r="B704" s="51"/>
      <c r="C704" s="52"/>
    </row>
    <row r="705" spans="2:3" ht="13.5" customHeight="1">
      <c r="B705" s="51"/>
      <c r="C705" s="52"/>
    </row>
    <row r="706" spans="2:3" ht="13.5" customHeight="1">
      <c r="B706" s="51"/>
      <c r="C706" s="52"/>
    </row>
    <row r="707" spans="2:3" ht="13.5" customHeight="1">
      <c r="B707" s="51"/>
      <c r="C707" s="52"/>
    </row>
    <row r="708" spans="2:3" ht="13.5" customHeight="1">
      <c r="B708" s="51"/>
      <c r="C708" s="52"/>
    </row>
    <row r="709" spans="2:3" ht="13.5" customHeight="1">
      <c r="B709" s="51"/>
      <c r="C709" s="52"/>
    </row>
    <row r="710" spans="2:3" ht="13.5" customHeight="1">
      <c r="B710" s="51"/>
      <c r="C710" s="52"/>
    </row>
    <row r="711" spans="2:3" ht="13.5" customHeight="1">
      <c r="B711" s="51"/>
      <c r="C711" s="52"/>
    </row>
    <row r="712" spans="2:3" ht="13.5" customHeight="1">
      <c r="B712" s="51"/>
      <c r="C712" s="52"/>
    </row>
    <row r="713" spans="2:3" ht="13.5" customHeight="1">
      <c r="B713" s="51"/>
      <c r="C713" s="52"/>
    </row>
    <row r="714" spans="2:3" ht="13.5" customHeight="1">
      <c r="B714" s="51"/>
      <c r="C714" s="52"/>
    </row>
    <row r="715" spans="2:3" ht="13.5" customHeight="1">
      <c r="B715" s="51"/>
      <c r="C715" s="52"/>
    </row>
    <row r="716" spans="2:3" ht="13.5" customHeight="1">
      <c r="B716" s="51"/>
      <c r="C716" s="52"/>
    </row>
    <row r="717" spans="2:3" ht="13.5" customHeight="1">
      <c r="B717" s="51"/>
      <c r="C717" s="52"/>
    </row>
    <row r="718" spans="2:3" ht="13.5" customHeight="1">
      <c r="B718" s="51"/>
      <c r="C718" s="52"/>
    </row>
    <row r="719" spans="2:3" ht="13.5" customHeight="1">
      <c r="B719" s="51"/>
      <c r="C719" s="52"/>
    </row>
    <row r="720" spans="2:3" ht="13.5" customHeight="1">
      <c r="B720" s="51"/>
      <c r="C720" s="52"/>
    </row>
    <row r="721" spans="2:3" ht="13.5" customHeight="1">
      <c r="B721" s="51"/>
      <c r="C721" s="52"/>
    </row>
    <row r="722" spans="2:3" ht="13.5" customHeight="1">
      <c r="B722" s="51"/>
      <c r="C722" s="52"/>
    </row>
    <row r="723" spans="2:3" ht="13.5" customHeight="1">
      <c r="B723" s="51"/>
      <c r="C723" s="52"/>
    </row>
    <row r="724" spans="2:3" ht="13.5" customHeight="1">
      <c r="B724" s="51"/>
      <c r="C724" s="52"/>
    </row>
    <row r="725" spans="2:3" ht="13.5" customHeight="1">
      <c r="B725" s="51"/>
      <c r="C725" s="52"/>
    </row>
    <row r="726" spans="2:3" ht="13.5" customHeight="1">
      <c r="B726" s="51"/>
      <c r="C726" s="52"/>
    </row>
    <row r="727" spans="2:3" ht="13.5" customHeight="1">
      <c r="B727" s="51"/>
      <c r="C727" s="52"/>
    </row>
    <row r="728" spans="2:3" ht="13.5" customHeight="1">
      <c r="B728" s="51"/>
      <c r="C728" s="52"/>
    </row>
    <row r="729" spans="2:3" ht="13.5" customHeight="1">
      <c r="B729" s="51"/>
      <c r="C729" s="52"/>
    </row>
    <row r="730" spans="2:3" ht="13.5" customHeight="1">
      <c r="B730" s="51"/>
      <c r="C730" s="52"/>
    </row>
    <row r="731" spans="2:3" ht="13.5" customHeight="1">
      <c r="B731" s="51"/>
      <c r="C731" s="52"/>
    </row>
    <row r="732" spans="2:3" ht="13.5" customHeight="1">
      <c r="B732" s="51"/>
      <c r="C732" s="52"/>
    </row>
    <row r="733" spans="2:3" ht="13.5" customHeight="1">
      <c r="B733" s="51"/>
      <c r="C733" s="52"/>
    </row>
    <row r="734" spans="2:3" ht="13.5" customHeight="1">
      <c r="B734" s="51"/>
      <c r="C734" s="52"/>
    </row>
    <row r="735" spans="2:3" ht="13.5" customHeight="1">
      <c r="B735" s="51"/>
      <c r="C735" s="52"/>
    </row>
    <row r="736" spans="2:3" ht="13.5" customHeight="1">
      <c r="B736" s="51"/>
      <c r="C736" s="52"/>
    </row>
    <row r="737" spans="2:3" ht="13.5" customHeight="1">
      <c r="B737" s="51"/>
      <c r="C737" s="52"/>
    </row>
    <row r="738" spans="2:3" ht="13.5" customHeight="1">
      <c r="B738" s="51"/>
      <c r="C738" s="52"/>
    </row>
    <row r="739" spans="2:3" ht="13.5" customHeight="1">
      <c r="B739" s="51"/>
      <c r="C739" s="52"/>
    </row>
    <row r="740" spans="2:3" ht="13.5" customHeight="1">
      <c r="B740" s="51"/>
      <c r="C740" s="52"/>
    </row>
    <row r="741" spans="2:3" ht="13.5" customHeight="1">
      <c r="B741" s="51"/>
      <c r="C741" s="52"/>
    </row>
    <row r="742" spans="2:3" ht="13.5" customHeight="1">
      <c r="B742" s="51"/>
      <c r="C742" s="52"/>
    </row>
    <row r="743" spans="2:3" ht="13.5" customHeight="1">
      <c r="B743" s="51"/>
      <c r="C743" s="52"/>
    </row>
    <row r="744" spans="2:3" ht="13.5" customHeight="1">
      <c r="B744" s="51"/>
      <c r="C744" s="52"/>
    </row>
    <row r="745" spans="2:3" ht="13.5" customHeight="1">
      <c r="B745" s="51"/>
      <c r="C745" s="52"/>
    </row>
    <row r="746" spans="2:3" ht="13.5" customHeight="1">
      <c r="B746" s="51"/>
      <c r="C746" s="52"/>
    </row>
    <row r="747" spans="2:3" ht="13.5" customHeight="1">
      <c r="B747" s="51"/>
      <c r="C747" s="52"/>
    </row>
    <row r="748" spans="2:3" ht="13.5" customHeight="1">
      <c r="B748" s="51"/>
      <c r="C748" s="52"/>
    </row>
    <row r="749" spans="2:3" ht="13.5" customHeight="1">
      <c r="B749" s="51"/>
      <c r="C749" s="52"/>
    </row>
    <row r="750" spans="2:3" ht="13.5" customHeight="1">
      <c r="B750" s="51"/>
      <c r="C750" s="52"/>
    </row>
    <row r="751" spans="2:3" ht="13.5" customHeight="1">
      <c r="B751" s="51"/>
      <c r="C751" s="52"/>
    </row>
    <row r="752" spans="2:3" ht="13.5" customHeight="1">
      <c r="B752" s="51"/>
      <c r="C752" s="52"/>
    </row>
    <row r="753" spans="2:3" ht="13.5" customHeight="1">
      <c r="B753" s="51"/>
      <c r="C753" s="52"/>
    </row>
    <row r="754" spans="2:3" ht="13.5" customHeight="1">
      <c r="B754" s="51"/>
      <c r="C754" s="52"/>
    </row>
    <row r="755" spans="2:3" ht="13.5" customHeight="1">
      <c r="B755" s="51"/>
      <c r="C755" s="52"/>
    </row>
    <row r="756" spans="2:3" ht="13.5" customHeight="1">
      <c r="B756" s="51"/>
      <c r="C756" s="52"/>
    </row>
    <row r="757" spans="2:3" ht="13.5" customHeight="1">
      <c r="B757" s="51"/>
      <c r="C757" s="52"/>
    </row>
    <row r="758" spans="2:3" ht="13.5" customHeight="1">
      <c r="B758" s="51"/>
      <c r="C758" s="52"/>
    </row>
    <row r="759" spans="2:3" ht="13.5" customHeight="1">
      <c r="B759" s="51"/>
      <c r="C759" s="52"/>
    </row>
    <row r="760" spans="2:3" ht="13.5" customHeight="1">
      <c r="B760" s="51"/>
      <c r="C760" s="52"/>
    </row>
    <row r="761" spans="2:3" ht="13.5" customHeight="1">
      <c r="B761" s="51"/>
      <c r="C761" s="52"/>
    </row>
    <row r="762" spans="2:3" ht="13.5" customHeight="1">
      <c r="B762" s="51"/>
      <c r="C762" s="52"/>
    </row>
    <row r="763" spans="2:3" ht="13.5" customHeight="1">
      <c r="B763" s="51"/>
      <c r="C763" s="52"/>
    </row>
    <row r="764" spans="2:3" ht="13.5" customHeight="1">
      <c r="B764" s="51"/>
      <c r="C764" s="52"/>
    </row>
    <row r="765" spans="2:3" ht="13.5" customHeight="1">
      <c r="B765" s="51"/>
      <c r="C765" s="52"/>
    </row>
    <row r="766" spans="2:3" ht="13.5" customHeight="1">
      <c r="B766" s="51"/>
      <c r="C766" s="52"/>
    </row>
    <row r="767" spans="2:3" ht="13.5" customHeight="1">
      <c r="B767" s="51"/>
      <c r="C767" s="52"/>
    </row>
    <row r="768" spans="2:3" ht="13.5" customHeight="1">
      <c r="B768" s="51"/>
      <c r="C768" s="52"/>
    </row>
    <row r="769" spans="2:3" ht="13.5" customHeight="1">
      <c r="B769" s="51"/>
      <c r="C769" s="52"/>
    </row>
    <row r="770" spans="2:3" ht="13.5" customHeight="1">
      <c r="B770" s="51"/>
      <c r="C770" s="52"/>
    </row>
    <row r="771" spans="2:3" ht="13.5" customHeight="1">
      <c r="B771" s="51"/>
      <c r="C771" s="52"/>
    </row>
    <row r="772" spans="2:3" ht="13.5" customHeight="1">
      <c r="B772" s="51"/>
      <c r="C772" s="52"/>
    </row>
    <row r="773" spans="2:3" ht="13.5" customHeight="1">
      <c r="B773" s="51"/>
      <c r="C773" s="52"/>
    </row>
    <row r="774" spans="2:3" ht="13.5" customHeight="1">
      <c r="B774" s="51"/>
      <c r="C774" s="52"/>
    </row>
    <row r="775" spans="2:3" ht="13.5" customHeight="1">
      <c r="B775" s="51"/>
      <c r="C775" s="52"/>
    </row>
    <row r="776" spans="2:3" ht="13.5" customHeight="1">
      <c r="B776" s="51"/>
      <c r="C776" s="52"/>
    </row>
    <row r="777" spans="2:3" ht="13.5" customHeight="1">
      <c r="B777" s="51"/>
      <c r="C777" s="52"/>
    </row>
    <row r="778" spans="2:3" ht="13.5" customHeight="1">
      <c r="B778" s="51"/>
      <c r="C778" s="52"/>
    </row>
    <row r="779" spans="2:3" ht="13.5" customHeight="1">
      <c r="B779" s="51"/>
      <c r="C779" s="52"/>
    </row>
    <row r="780" spans="2:3" ht="13.5" customHeight="1">
      <c r="B780" s="51"/>
      <c r="C780" s="52"/>
    </row>
    <row r="781" spans="2:3" ht="13.5" customHeight="1">
      <c r="B781" s="51"/>
      <c r="C781" s="52"/>
    </row>
    <row r="782" spans="2:3" ht="13.5" customHeight="1">
      <c r="B782" s="51"/>
      <c r="C782" s="52"/>
    </row>
    <row r="783" spans="2:3" ht="13.5" customHeight="1">
      <c r="B783" s="51"/>
      <c r="C783" s="52"/>
    </row>
    <row r="784" spans="2:3" ht="13.5" customHeight="1">
      <c r="B784" s="51"/>
      <c r="C784" s="52"/>
    </row>
    <row r="785" spans="2:3" ht="13.5" customHeight="1">
      <c r="B785" s="51"/>
      <c r="C785" s="52"/>
    </row>
    <row r="786" spans="2:3" ht="13.5" customHeight="1">
      <c r="B786" s="51"/>
      <c r="C786" s="52"/>
    </row>
    <row r="787" spans="2:3" ht="13.5" customHeight="1">
      <c r="B787" s="51"/>
      <c r="C787" s="52"/>
    </row>
    <row r="788" spans="2:3" ht="13.5" customHeight="1">
      <c r="B788" s="51"/>
      <c r="C788" s="52"/>
    </row>
    <row r="789" spans="2:3" ht="13.5" customHeight="1">
      <c r="B789" s="51"/>
      <c r="C789" s="52"/>
    </row>
    <row r="790" spans="2:3" ht="13.5" customHeight="1">
      <c r="B790" s="51"/>
      <c r="C790" s="52"/>
    </row>
    <row r="791" spans="2:3" ht="13.5" customHeight="1">
      <c r="B791" s="51"/>
      <c r="C791" s="52"/>
    </row>
    <row r="792" spans="2:3" ht="13.5" customHeight="1">
      <c r="B792" s="51"/>
      <c r="C792" s="52"/>
    </row>
    <row r="793" spans="2:3" ht="13.5" customHeight="1">
      <c r="B793" s="51"/>
      <c r="C793" s="52"/>
    </row>
    <row r="794" spans="2:3" ht="13.5" customHeight="1">
      <c r="B794" s="51"/>
      <c r="C794" s="52"/>
    </row>
    <row r="795" spans="2:3" ht="13.5" customHeight="1">
      <c r="B795" s="51"/>
      <c r="C795" s="52"/>
    </row>
    <row r="796" spans="2:3" ht="13.5" customHeight="1">
      <c r="B796" s="51"/>
      <c r="C796" s="52"/>
    </row>
    <row r="797" spans="2:3" ht="13.5" customHeight="1">
      <c r="B797" s="51"/>
      <c r="C797" s="52"/>
    </row>
    <row r="798" spans="2:3" ht="13.5" customHeight="1">
      <c r="B798" s="51"/>
      <c r="C798" s="52"/>
    </row>
    <row r="799" spans="2:3" ht="13.5" customHeight="1">
      <c r="B799" s="51"/>
      <c r="C799" s="52"/>
    </row>
    <row r="800" spans="2:3" ht="13.5" customHeight="1">
      <c r="B800" s="51"/>
      <c r="C800" s="52"/>
    </row>
    <row r="801" spans="2:3" ht="13.5" customHeight="1">
      <c r="B801" s="51"/>
      <c r="C801" s="52"/>
    </row>
    <row r="802" spans="2:3" ht="13.5" customHeight="1">
      <c r="B802" s="51"/>
      <c r="C802" s="52"/>
    </row>
    <row r="803" spans="2:3" ht="13.5" customHeight="1">
      <c r="B803" s="51"/>
      <c r="C803" s="52"/>
    </row>
    <row r="804" spans="2:3" ht="13.5" customHeight="1">
      <c r="B804" s="51"/>
      <c r="C804" s="52"/>
    </row>
    <row r="805" spans="2:3" ht="13.5" customHeight="1">
      <c r="B805" s="51"/>
      <c r="C805" s="52"/>
    </row>
    <row r="806" spans="2:3" ht="13.5" customHeight="1">
      <c r="B806" s="51"/>
      <c r="C806" s="52"/>
    </row>
    <row r="807" spans="2:3" ht="13.5" customHeight="1">
      <c r="B807" s="51"/>
      <c r="C807" s="52"/>
    </row>
    <row r="808" spans="2:3" ht="13.5" customHeight="1">
      <c r="B808" s="51"/>
      <c r="C808" s="52"/>
    </row>
    <row r="809" spans="2:3" ht="13.5" customHeight="1">
      <c r="B809" s="51"/>
      <c r="C809" s="52"/>
    </row>
    <row r="810" spans="2:3" ht="13.5" customHeight="1">
      <c r="B810" s="51"/>
      <c r="C810" s="52"/>
    </row>
    <row r="811" spans="2:3" ht="13.5" customHeight="1">
      <c r="B811" s="51"/>
      <c r="C811" s="52"/>
    </row>
    <row r="812" spans="2:3" ht="13.5" customHeight="1">
      <c r="B812" s="51"/>
      <c r="C812" s="52"/>
    </row>
    <row r="813" spans="2:3" ht="13.5" customHeight="1">
      <c r="B813" s="51"/>
      <c r="C813" s="52"/>
    </row>
    <row r="814" spans="2:3" ht="13.5" customHeight="1">
      <c r="B814" s="51"/>
      <c r="C814" s="52"/>
    </row>
    <row r="815" spans="2:3" ht="13.5" customHeight="1">
      <c r="B815" s="51"/>
      <c r="C815" s="52"/>
    </row>
    <row r="816" spans="2:3" ht="13.5" customHeight="1">
      <c r="B816" s="51"/>
      <c r="C816" s="52"/>
    </row>
    <row r="817" spans="2:3" ht="13.5" customHeight="1">
      <c r="B817" s="51"/>
      <c r="C817" s="52"/>
    </row>
    <row r="818" spans="2:3" ht="13.5" customHeight="1">
      <c r="B818" s="51"/>
      <c r="C818" s="52"/>
    </row>
    <row r="819" spans="2:3" ht="13.5" customHeight="1">
      <c r="B819" s="51"/>
      <c r="C819" s="52"/>
    </row>
    <row r="820" spans="2:3" ht="13.5" customHeight="1">
      <c r="B820" s="51"/>
      <c r="C820" s="52"/>
    </row>
    <row r="821" spans="2:3" ht="13.5" customHeight="1">
      <c r="B821" s="51"/>
      <c r="C821" s="52"/>
    </row>
    <row r="822" spans="2:3" ht="13.5" customHeight="1">
      <c r="B822" s="51"/>
      <c r="C822" s="52"/>
    </row>
    <row r="823" spans="2:3" ht="13.5" customHeight="1">
      <c r="B823" s="51"/>
      <c r="C823" s="52"/>
    </row>
    <row r="824" spans="2:3" ht="13.5" customHeight="1">
      <c r="B824" s="51"/>
      <c r="C824" s="52"/>
    </row>
    <row r="825" spans="2:3" ht="13.5" customHeight="1">
      <c r="B825" s="51"/>
      <c r="C825" s="52"/>
    </row>
    <row r="826" spans="2:3" ht="13.5" customHeight="1">
      <c r="B826" s="51"/>
      <c r="C826" s="52"/>
    </row>
    <row r="827" spans="2:3" ht="13.5" customHeight="1">
      <c r="B827" s="51"/>
      <c r="C827" s="52"/>
    </row>
    <row r="828" spans="2:3" ht="13.5" customHeight="1">
      <c r="B828" s="51"/>
      <c r="C828" s="52"/>
    </row>
    <row r="829" spans="2:3" ht="13.5" customHeight="1">
      <c r="B829" s="51"/>
      <c r="C829" s="52"/>
    </row>
    <row r="830" spans="2:3" ht="13.5" customHeight="1">
      <c r="B830" s="51"/>
      <c r="C830" s="52"/>
    </row>
    <row r="831" spans="2:3" ht="13.5" customHeight="1">
      <c r="B831" s="51"/>
      <c r="C831" s="52"/>
    </row>
    <row r="832" spans="2:3" ht="13.5" customHeight="1">
      <c r="B832" s="51"/>
      <c r="C832" s="52"/>
    </row>
    <row r="833" spans="2:3" ht="13.5" customHeight="1">
      <c r="B833" s="51"/>
      <c r="C833" s="52"/>
    </row>
    <row r="834" spans="2:3" ht="13.5" customHeight="1">
      <c r="B834" s="51"/>
      <c r="C834" s="52"/>
    </row>
    <row r="835" spans="2:3" ht="13.5" customHeight="1">
      <c r="B835" s="51"/>
      <c r="C835" s="52"/>
    </row>
    <row r="836" spans="2:3" ht="13.5" customHeight="1">
      <c r="B836" s="51"/>
      <c r="C836" s="52"/>
    </row>
    <row r="837" spans="2:3" ht="13.5" customHeight="1">
      <c r="B837" s="51"/>
      <c r="C837" s="52"/>
    </row>
    <row r="838" spans="2:3" ht="13.5" customHeight="1">
      <c r="B838" s="51"/>
      <c r="C838" s="52"/>
    </row>
    <row r="839" spans="2:3" ht="13.5" customHeight="1">
      <c r="B839" s="51"/>
      <c r="C839" s="52"/>
    </row>
    <row r="840" spans="2:3" ht="13.5" customHeight="1">
      <c r="B840" s="51"/>
      <c r="C840" s="52"/>
    </row>
    <row r="841" spans="2:3" ht="13.5" customHeight="1">
      <c r="B841" s="51"/>
      <c r="C841" s="52"/>
    </row>
    <row r="842" spans="2:3" ht="13.5" customHeight="1">
      <c r="B842" s="51"/>
      <c r="C842" s="52"/>
    </row>
    <row r="843" spans="2:3" ht="13.5" customHeight="1">
      <c r="B843" s="51"/>
      <c r="C843" s="52"/>
    </row>
    <row r="844" spans="2:3" ht="13.5" customHeight="1">
      <c r="B844" s="51"/>
      <c r="C844" s="52"/>
    </row>
    <row r="845" spans="2:3" ht="13.5" customHeight="1">
      <c r="B845" s="51"/>
      <c r="C845" s="52"/>
    </row>
    <row r="846" spans="2:3" ht="13.5" customHeight="1">
      <c r="B846" s="51"/>
      <c r="C846" s="52"/>
    </row>
    <row r="847" spans="2:3" ht="13.5" customHeight="1">
      <c r="B847" s="51"/>
      <c r="C847" s="52"/>
    </row>
    <row r="848" spans="2:3" ht="13.5" customHeight="1">
      <c r="B848" s="51"/>
      <c r="C848" s="52"/>
    </row>
    <row r="849" spans="2:3" ht="13.5" customHeight="1">
      <c r="B849" s="51"/>
      <c r="C849" s="52"/>
    </row>
    <row r="850" spans="2:3" ht="13.5" customHeight="1">
      <c r="B850" s="51"/>
      <c r="C850" s="52"/>
    </row>
    <row r="851" spans="2:3" ht="13.5" customHeight="1">
      <c r="B851" s="51"/>
      <c r="C851" s="52"/>
    </row>
    <row r="852" spans="2:3" ht="13.5" customHeight="1">
      <c r="B852" s="51"/>
      <c r="C852" s="52"/>
    </row>
    <row r="853" spans="2:3" ht="13.5" customHeight="1">
      <c r="B853" s="51"/>
      <c r="C853" s="52"/>
    </row>
    <row r="854" spans="2:3" ht="13.5" customHeight="1">
      <c r="B854" s="51"/>
      <c r="C854" s="52"/>
    </row>
    <row r="855" spans="2:3" ht="13.5" customHeight="1">
      <c r="B855" s="51"/>
      <c r="C855" s="52"/>
    </row>
    <row r="856" spans="2:3" ht="13.5" customHeight="1">
      <c r="B856" s="51"/>
      <c r="C856" s="52"/>
    </row>
    <row r="857" spans="2:3" ht="13.5" customHeight="1">
      <c r="B857" s="51"/>
      <c r="C857" s="52"/>
    </row>
    <row r="858" spans="2:3" ht="13.5" customHeight="1">
      <c r="B858" s="51"/>
      <c r="C858" s="52"/>
    </row>
    <row r="859" spans="2:3" ht="13.5" customHeight="1">
      <c r="B859" s="51"/>
      <c r="C859" s="52"/>
    </row>
    <row r="860" spans="2:3" ht="13.5" customHeight="1">
      <c r="B860" s="51"/>
      <c r="C860" s="52"/>
    </row>
    <row r="861" spans="2:3" ht="13.5" customHeight="1">
      <c r="B861" s="51"/>
      <c r="C861" s="52"/>
    </row>
    <row r="862" spans="2:3" ht="13.5" customHeight="1">
      <c r="B862" s="51"/>
      <c r="C862" s="52"/>
    </row>
    <row r="863" spans="2:3" ht="13.5" customHeight="1">
      <c r="B863" s="51"/>
      <c r="C863" s="52"/>
    </row>
    <row r="864" spans="2:3" ht="13.5" customHeight="1">
      <c r="B864" s="51"/>
      <c r="C864" s="52"/>
    </row>
    <row r="865" spans="2:3" ht="13.5" customHeight="1">
      <c r="B865" s="51"/>
      <c r="C865" s="52"/>
    </row>
    <row r="866" spans="2:3" ht="13.5" customHeight="1">
      <c r="B866" s="51"/>
      <c r="C866" s="52"/>
    </row>
    <row r="867" spans="2:3" ht="13.5" customHeight="1">
      <c r="B867" s="51"/>
      <c r="C867" s="52"/>
    </row>
    <row r="868" spans="2:3" ht="13.5" customHeight="1">
      <c r="B868" s="51"/>
      <c r="C868" s="52"/>
    </row>
    <row r="869" spans="2:3" ht="13.5" customHeight="1">
      <c r="B869" s="51"/>
      <c r="C869" s="52"/>
    </row>
    <row r="870" spans="2:3" ht="13.5" customHeight="1">
      <c r="B870" s="51"/>
      <c r="C870" s="52"/>
    </row>
    <row r="871" spans="2:3" ht="13.5" customHeight="1">
      <c r="B871" s="51"/>
      <c r="C871" s="52"/>
    </row>
    <row r="872" spans="2:3" ht="13.5" customHeight="1">
      <c r="B872" s="51"/>
      <c r="C872" s="52"/>
    </row>
    <row r="873" spans="2:3" ht="13.5" customHeight="1">
      <c r="B873" s="51"/>
      <c r="C873" s="52"/>
    </row>
    <row r="874" spans="2:3" ht="13.5" customHeight="1">
      <c r="B874" s="51"/>
      <c r="C874" s="52"/>
    </row>
    <row r="875" spans="2:3" ht="13.5" customHeight="1">
      <c r="B875" s="51"/>
      <c r="C875" s="52"/>
    </row>
    <row r="876" spans="2:3" ht="13.5" customHeight="1">
      <c r="B876" s="51"/>
      <c r="C876" s="52"/>
    </row>
    <row r="877" spans="2:3" ht="13.5" customHeight="1">
      <c r="B877" s="51"/>
      <c r="C877" s="52"/>
    </row>
    <row r="878" spans="2:3" ht="13.5" customHeight="1">
      <c r="B878" s="51"/>
      <c r="C878" s="52"/>
    </row>
    <row r="879" spans="2:3" ht="13.5" customHeight="1">
      <c r="B879" s="51"/>
      <c r="C879" s="52"/>
    </row>
    <row r="880" spans="2:3" ht="13.5" customHeight="1">
      <c r="B880" s="51"/>
      <c r="C880" s="52"/>
    </row>
    <row r="881" spans="2:3" ht="13.5" customHeight="1">
      <c r="B881" s="51"/>
      <c r="C881" s="52"/>
    </row>
    <row r="882" spans="2:3" ht="13.5" customHeight="1">
      <c r="B882" s="51"/>
      <c r="C882" s="52"/>
    </row>
    <row r="883" spans="2:3" ht="13.5" customHeight="1">
      <c r="B883" s="51"/>
      <c r="C883" s="52"/>
    </row>
    <row r="884" spans="2:3" ht="13.5" customHeight="1">
      <c r="B884" s="51"/>
      <c r="C884" s="52"/>
    </row>
    <row r="885" spans="2:3" ht="13.5" customHeight="1">
      <c r="B885" s="51"/>
      <c r="C885" s="52"/>
    </row>
    <row r="886" spans="2:3" ht="13.5" customHeight="1">
      <c r="B886" s="51"/>
      <c r="C886" s="52"/>
    </row>
    <row r="887" spans="2:3" ht="13.5" customHeight="1">
      <c r="B887" s="51"/>
      <c r="C887" s="52"/>
    </row>
    <row r="888" spans="2:3" ht="13.5" customHeight="1">
      <c r="B888" s="51"/>
      <c r="C888" s="52"/>
    </row>
    <row r="889" spans="2:3" ht="13.5" customHeight="1">
      <c r="B889" s="51"/>
      <c r="C889" s="52"/>
    </row>
    <row r="890" spans="2:3" ht="13.5" customHeight="1">
      <c r="B890" s="51"/>
      <c r="C890" s="52"/>
    </row>
    <row r="891" spans="2:3" ht="13.5" customHeight="1">
      <c r="B891" s="51"/>
      <c r="C891" s="52"/>
    </row>
    <row r="892" spans="2:3" ht="13.5" customHeight="1">
      <c r="B892" s="51"/>
      <c r="C892" s="52"/>
    </row>
    <row r="893" spans="2:3" ht="13.5" customHeight="1">
      <c r="B893" s="51"/>
      <c r="C893" s="52"/>
    </row>
    <row r="894" spans="2:3" ht="13.5" customHeight="1">
      <c r="B894" s="51"/>
      <c r="C894" s="52"/>
    </row>
    <row r="895" spans="2:3" ht="13.5" customHeight="1">
      <c r="B895" s="51"/>
      <c r="C895" s="52"/>
    </row>
    <row r="896" spans="2:3" ht="13.5" customHeight="1">
      <c r="B896" s="51"/>
      <c r="C896" s="52"/>
    </row>
    <row r="897" spans="2:3" ht="13.5" customHeight="1">
      <c r="B897" s="51"/>
      <c r="C897" s="52"/>
    </row>
    <row r="898" spans="2:3" ht="13.5" customHeight="1">
      <c r="B898" s="51"/>
      <c r="C898" s="52"/>
    </row>
    <row r="899" spans="2:3" ht="13.5" customHeight="1">
      <c r="B899" s="51"/>
      <c r="C899" s="52"/>
    </row>
    <row r="900" spans="2:3" ht="13.5" customHeight="1">
      <c r="B900" s="51"/>
      <c r="C900" s="52"/>
    </row>
    <row r="901" spans="2:3" ht="13.5" customHeight="1">
      <c r="B901" s="51"/>
      <c r="C901" s="52"/>
    </row>
    <row r="902" spans="2:3" ht="13.5" customHeight="1">
      <c r="B902" s="51"/>
      <c r="C902" s="52"/>
    </row>
    <row r="903" spans="2:3" ht="13.5" customHeight="1">
      <c r="B903" s="51"/>
      <c r="C903" s="52"/>
    </row>
    <row r="904" spans="2:3" ht="13.5" customHeight="1">
      <c r="B904" s="51"/>
      <c r="C904" s="52"/>
    </row>
    <row r="905" spans="2:3" ht="13.5" customHeight="1">
      <c r="B905" s="51"/>
      <c r="C905" s="52"/>
    </row>
    <row r="906" spans="2:3" ht="13.5" customHeight="1">
      <c r="B906" s="51"/>
      <c r="C906" s="52"/>
    </row>
    <row r="907" spans="2:3" ht="13.5" customHeight="1">
      <c r="B907" s="51"/>
      <c r="C907" s="52"/>
    </row>
    <row r="908" spans="2:3" ht="13.5" customHeight="1">
      <c r="B908" s="51"/>
      <c r="C908" s="52"/>
    </row>
    <row r="909" spans="2:3" ht="13.5" customHeight="1">
      <c r="B909" s="51"/>
      <c r="C909" s="52"/>
    </row>
    <row r="910" spans="2:3" ht="13.5" customHeight="1">
      <c r="B910" s="51"/>
      <c r="C910" s="52"/>
    </row>
    <row r="911" spans="2:3" ht="13.5" customHeight="1">
      <c r="B911" s="51"/>
      <c r="C911" s="52"/>
    </row>
    <row r="912" spans="2:3" ht="13.5" customHeight="1">
      <c r="B912" s="51"/>
      <c r="C912" s="52"/>
    </row>
    <row r="913" spans="2:3" ht="13.5" customHeight="1">
      <c r="B913" s="51"/>
      <c r="C913" s="52"/>
    </row>
    <row r="914" spans="2:3" ht="13.5" customHeight="1">
      <c r="B914" s="51"/>
      <c r="C914" s="52"/>
    </row>
    <row r="915" spans="2:3" ht="13.5" customHeight="1">
      <c r="B915" s="51"/>
      <c r="C915" s="52"/>
    </row>
    <row r="916" spans="2:3" ht="13.5" customHeight="1">
      <c r="B916" s="51"/>
      <c r="C916" s="52"/>
    </row>
    <row r="917" spans="2:3" ht="13.5" customHeight="1">
      <c r="B917" s="51"/>
      <c r="C917" s="52"/>
    </row>
    <row r="918" spans="2:3" ht="13.5" customHeight="1">
      <c r="B918" s="51"/>
      <c r="C918" s="52"/>
    </row>
    <row r="919" spans="2:3" ht="13.5" customHeight="1">
      <c r="B919" s="51"/>
      <c r="C919" s="52"/>
    </row>
    <row r="920" spans="2:3" ht="13.5" customHeight="1">
      <c r="B920" s="51"/>
      <c r="C920" s="52"/>
    </row>
    <row r="921" spans="2:3" ht="13.5" customHeight="1">
      <c r="B921" s="51"/>
      <c r="C921" s="52"/>
    </row>
    <row r="922" spans="2:3" ht="13.5" customHeight="1">
      <c r="B922" s="51"/>
      <c r="C922" s="52"/>
    </row>
    <row r="923" spans="2:3" ht="13.5" customHeight="1">
      <c r="B923" s="51"/>
      <c r="C923" s="52"/>
    </row>
    <row r="924" spans="2:3" ht="13.5" customHeight="1">
      <c r="B924" s="51"/>
      <c r="C924" s="52"/>
    </row>
    <row r="925" spans="2:3" ht="13.5" customHeight="1">
      <c r="B925" s="51"/>
      <c r="C925" s="52"/>
    </row>
    <row r="926" spans="2:3" ht="13.5" customHeight="1">
      <c r="B926" s="51"/>
      <c r="C926" s="52"/>
    </row>
    <row r="927" spans="2:3" ht="13.5" customHeight="1">
      <c r="B927" s="51"/>
      <c r="C927" s="52"/>
    </row>
    <row r="928" spans="2:3" ht="13.5" customHeight="1">
      <c r="B928" s="51"/>
      <c r="C928" s="52"/>
    </row>
    <row r="929" spans="2:3" ht="13.5" customHeight="1">
      <c r="B929" s="51"/>
      <c r="C929" s="52"/>
    </row>
    <row r="930" spans="2:3" ht="13.5" customHeight="1">
      <c r="B930" s="51"/>
      <c r="C930" s="52"/>
    </row>
    <row r="931" spans="2:3" ht="13.5" customHeight="1">
      <c r="B931" s="51"/>
      <c r="C931" s="52"/>
    </row>
    <row r="932" spans="2:3" ht="13.5" customHeight="1">
      <c r="B932" s="51"/>
      <c r="C932" s="52"/>
    </row>
    <row r="933" spans="2:3" ht="13.5" customHeight="1">
      <c r="B933" s="51"/>
      <c r="C933" s="52"/>
    </row>
    <row r="934" spans="2:3" ht="13.5" customHeight="1">
      <c r="B934" s="51"/>
      <c r="C934" s="52"/>
    </row>
    <row r="935" spans="2:3" ht="13.5" customHeight="1">
      <c r="B935" s="51"/>
      <c r="C935" s="52"/>
    </row>
    <row r="936" spans="2:3" ht="13.5" customHeight="1">
      <c r="B936" s="51"/>
      <c r="C936" s="52"/>
    </row>
    <row r="937" spans="2:3" ht="13.5" customHeight="1">
      <c r="B937" s="51"/>
      <c r="C937" s="52"/>
    </row>
    <row r="938" spans="2:3" ht="13.5" customHeight="1">
      <c r="B938" s="51"/>
      <c r="C938" s="52"/>
    </row>
    <row r="939" spans="2:3" ht="13.5" customHeight="1">
      <c r="B939" s="51"/>
      <c r="C939" s="52"/>
    </row>
    <row r="940" spans="2:3" ht="13.5" customHeight="1">
      <c r="B940" s="51"/>
      <c r="C940" s="52"/>
    </row>
    <row r="941" spans="2:3" ht="13.5" customHeight="1">
      <c r="B941" s="51"/>
      <c r="C941" s="52"/>
    </row>
    <row r="942" spans="2:3" ht="13.5" customHeight="1">
      <c r="B942" s="51"/>
      <c r="C942" s="52"/>
    </row>
    <row r="943" spans="2:3" ht="13.5" customHeight="1">
      <c r="B943" s="51"/>
      <c r="C943" s="52"/>
    </row>
    <row r="944" spans="2:3" ht="13.5" customHeight="1">
      <c r="B944" s="51"/>
      <c r="C944" s="52"/>
    </row>
    <row r="945" spans="2:3" ht="13.5" customHeight="1">
      <c r="B945" s="51"/>
      <c r="C945" s="52"/>
    </row>
    <row r="946" spans="2:3" ht="13.5" customHeight="1">
      <c r="B946" s="51"/>
      <c r="C946" s="52"/>
    </row>
    <row r="947" spans="2:3" ht="13.5" customHeight="1">
      <c r="B947" s="51"/>
      <c r="C947" s="52"/>
    </row>
    <row r="948" spans="2:3" ht="13.5" customHeight="1">
      <c r="B948" s="51"/>
      <c r="C948" s="52"/>
    </row>
    <row r="949" spans="2:3" ht="13.5" customHeight="1">
      <c r="B949" s="51"/>
      <c r="C949" s="52"/>
    </row>
    <row r="950" spans="2:3" ht="13.5" customHeight="1">
      <c r="B950" s="51"/>
      <c r="C950" s="52"/>
    </row>
    <row r="951" spans="2:3" ht="13.5" customHeight="1">
      <c r="B951" s="51"/>
      <c r="C951" s="52"/>
    </row>
    <row r="952" spans="2:3" ht="13.5" customHeight="1">
      <c r="B952" s="51"/>
      <c r="C952" s="52"/>
    </row>
    <row r="953" spans="2:3" ht="13.5" customHeight="1">
      <c r="B953" s="51"/>
      <c r="C953" s="52"/>
    </row>
    <row r="954" spans="2:3" ht="13.5" customHeight="1">
      <c r="B954" s="51"/>
      <c r="C954" s="52"/>
    </row>
    <row r="955" spans="2:3" ht="13.5" customHeight="1">
      <c r="B955" s="51"/>
      <c r="C955" s="52"/>
    </row>
    <row r="956" spans="2:3" ht="13.5" customHeight="1">
      <c r="B956" s="51"/>
      <c r="C956" s="52"/>
    </row>
    <row r="957" spans="2:3" ht="13.5" customHeight="1">
      <c r="B957" s="51"/>
      <c r="C957" s="52"/>
    </row>
    <row r="958" spans="2:3" ht="13.5" customHeight="1">
      <c r="B958" s="51"/>
      <c r="C958" s="52"/>
    </row>
    <row r="959" spans="2:3" ht="13.5" customHeight="1">
      <c r="B959" s="51"/>
      <c r="C959" s="52"/>
    </row>
    <row r="960" spans="2:3" ht="13.5" customHeight="1">
      <c r="B960" s="51"/>
      <c r="C960" s="52"/>
    </row>
    <row r="961" spans="2:3" ht="13.5" customHeight="1">
      <c r="B961" s="51"/>
      <c r="C961" s="52"/>
    </row>
    <row r="962" spans="2:3" ht="13.5" customHeight="1">
      <c r="B962" s="51"/>
      <c r="C962" s="52"/>
    </row>
    <row r="963" spans="2:3" ht="13.5" customHeight="1">
      <c r="B963" s="51"/>
      <c r="C963" s="52"/>
    </row>
    <row r="964" spans="2:3" ht="13.5" customHeight="1">
      <c r="B964" s="51"/>
      <c r="C964" s="52"/>
    </row>
    <row r="965" spans="2:3" ht="13.5" customHeight="1">
      <c r="B965" s="51"/>
      <c r="C965" s="52"/>
    </row>
    <row r="966" spans="2:3" ht="13.5" customHeight="1">
      <c r="B966" s="51"/>
      <c r="C966" s="52"/>
    </row>
    <row r="967" spans="2:3" ht="13.5" customHeight="1">
      <c r="B967" s="51"/>
      <c r="C967" s="52"/>
    </row>
    <row r="968" spans="2:3" ht="13.5" customHeight="1">
      <c r="B968" s="51"/>
      <c r="C968" s="52"/>
    </row>
    <row r="969" spans="2:3" ht="13.5" customHeight="1">
      <c r="B969" s="51"/>
      <c r="C969" s="52"/>
    </row>
    <row r="970" spans="2:3" ht="13.5" customHeight="1">
      <c r="B970" s="51"/>
      <c r="C970" s="52"/>
    </row>
    <row r="971" spans="2:3" ht="13.5" customHeight="1">
      <c r="B971" s="51"/>
      <c r="C971" s="52"/>
    </row>
    <row r="972" spans="2:3" ht="13.5" customHeight="1">
      <c r="B972" s="51"/>
      <c r="C972" s="52"/>
    </row>
    <row r="973" spans="2:3" ht="13.5" customHeight="1">
      <c r="B973" s="51"/>
      <c r="C973" s="52"/>
    </row>
    <row r="974" spans="2:3" ht="13.5" customHeight="1">
      <c r="B974" s="51"/>
      <c r="C974" s="52"/>
    </row>
    <row r="975" spans="2:3" ht="13.5" customHeight="1">
      <c r="B975" s="51"/>
      <c r="C975" s="52"/>
    </row>
    <row r="976" spans="2:3" ht="13.5" customHeight="1">
      <c r="B976" s="51"/>
      <c r="C976" s="52"/>
    </row>
    <row r="977" spans="2:3" ht="13.5" customHeight="1">
      <c r="B977" s="51"/>
      <c r="C977" s="52"/>
    </row>
    <row r="978" spans="2:3" ht="13.5" customHeight="1">
      <c r="B978" s="51"/>
      <c r="C978" s="52"/>
    </row>
    <row r="979" spans="2:3" ht="13.5" customHeight="1">
      <c r="B979" s="51"/>
      <c r="C979" s="52"/>
    </row>
    <row r="980" spans="2:3" ht="13.5" customHeight="1">
      <c r="B980" s="51"/>
      <c r="C980" s="52"/>
    </row>
    <row r="981" spans="2:3" ht="13.5" customHeight="1">
      <c r="B981" s="51"/>
      <c r="C981" s="52"/>
    </row>
    <row r="982" spans="2:3" ht="13.5" customHeight="1">
      <c r="B982" s="51"/>
      <c r="C982" s="52"/>
    </row>
    <row r="983" spans="2:3" ht="13.5" customHeight="1">
      <c r="B983" s="51"/>
      <c r="C983" s="52"/>
    </row>
    <row r="984" spans="2:3" ht="13.5" customHeight="1">
      <c r="B984" s="51"/>
      <c r="C984" s="52"/>
    </row>
    <row r="985" spans="2:3" ht="13.5" customHeight="1">
      <c r="B985" s="51"/>
      <c r="C985" s="52"/>
    </row>
    <row r="986" spans="2:3" ht="13.5" customHeight="1">
      <c r="B986" s="51"/>
      <c r="C986" s="52"/>
    </row>
    <row r="987" spans="2:3" ht="13.5" customHeight="1">
      <c r="B987" s="51"/>
      <c r="C987" s="52"/>
    </row>
    <row r="988" spans="2:3" ht="13.5" customHeight="1"/>
    <row r="989" spans="2:3" ht="13.5" customHeight="1"/>
    <row r="990" spans="2:3" ht="13.5" customHeight="1"/>
    <row r="991" spans="2:3" ht="13.5" customHeight="1"/>
    <row r="992" spans="2:3" ht="13.5" customHeight="1"/>
    <row r="993" ht="13.5" customHeight="1"/>
    <row r="994" ht="13.5" customHeight="1"/>
  </sheetData>
  <mergeCells count="16">
    <mergeCell ref="J33:K33"/>
    <mergeCell ref="J34:K34"/>
    <mergeCell ref="J35:K35"/>
    <mergeCell ref="J36:K36"/>
    <mergeCell ref="B5:C5"/>
    <mergeCell ref="F5:F6"/>
    <mergeCell ref="J31:K31"/>
    <mergeCell ref="E4:E6"/>
    <mergeCell ref="G4:G6"/>
    <mergeCell ref="AA31:AB31"/>
    <mergeCell ref="J32:K32"/>
    <mergeCell ref="H2:H6"/>
    <mergeCell ref="K3:K6"/>
    <mergeCell ref="L3:U6"/>
    <mergeCell ref="I4:I6"/>
    <mergeCell ref="J4:J6"/>
  </mergeCell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1000"/>
  <sheetViews>
    <sheetView showGridLines="0" zoomScaleNormal="100" workbookViewId="0">
      <selection activeCell="L38" sqref="L38"/>
    </sheetView>
  </sheetViews>
  <sheetFormatPr defaultColWidth="14.42578125" defaultRowHeight="13.9"/>
  <cols>
    <col min="1" max="1" width="5.7109375" customWidth="1"/>
    <col min="2" max="26" width="8.7109375" customWidth="1"/>
  </cols>
  <sheetData>
    <row r="1" spans="2:11" ht="13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13.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3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3.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3.5" customHeight="1">
      <c r="B5" s="75" t="s">
        <v>347</v>
      </c>
      <c r="C5" s="1"/>
      <c r="D5" s="1"/>
      <c r="E5" s="1"/>
      <c r="F5" s="1"/>
      <c r="G5" s="1"/>
      <c r="H5" s="1"/>
      <c r="I5" s="1"/>
      <c r="J5" s="1"/>
      <c r="K5" s="1"/>
    </row>
    <row r="6" spans="2:11" ht="13.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13.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3.5" customHeight="1">
      <c r="B8" s="76" t="s">
        <v>348</v>
      </c>
      <c r="C8" s="1"/>
      <c r="D8" s="1"/>
      <c r="E8" s="1"/>
      <c r="F8" s="1"/>
      <c r="G8" s="1"/>
      <c r="H8" s="1"/>
      <c r="I8" s="1"/>
      <c r="J8" s="1"/>
      <c r="K8" s="76" t="s">
        <v>349</v>
      </c>
    </row>
    <row r="9" spans="2:11" ht="13.5" customHeight="1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ht="13.5" customHeight="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 ht="13.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3.5" customHeight="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ht="13.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3.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13.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D965"/>
  </sheetPr>
  <dimension ref="B1:L1000"/>
  <sheetViews>
    <sheetView showGridLines="0" zoomScaleNormal="100" workbookViewId="0">
      <selection activeCell="J12" sqref="J12"/>
    </sheetView>
  </sheetViews>
  <sheetFormatPr defaultColWidth="14.42578125" defaultRowHeight="13.15"/>
  <cols>
    <col min="1" max="1" width="5.42578125" style="2" customWidth="1"/>
    <col min="2" max="2" width="9.140625" style="2" customWidth="1"/>
    <col min="3" max="3" width="37.5703125" style="2" customWidth="1"/>
    <col min="4" max="4" width="15" style="2" customWidth="1"/>
    <col min="5" max="5" width="13.28515625" style="2" customWidth="1"/>
    <col min="6" max="6" width="14" style="2" hidden="1" customWidth="1"/>
    <col min="7" max="7" width="19.85546875" style="2" hidden="1" customWidth="1"/>
    <col min="8" max="9" width="17.7109375" style="2" customWidth="1"/>
    <col min="10" max="10" width="49.28515625" style="2" customWidth="1"/>
    <col min="11" max="11" width="12.140625" style="2" customWidth="1"/>
    <col min="12" max="12" width="46.7109375" style="2" hidden="1" customWidth="1"/>
    <col min="13" max="26" width="8.7109375" style="2" customWidth="1"/>
    <col min="27" max="16384" width="14.42578125" style="2"/>
  </cols>
  <sheetData>
    <row r="1" spans="2:12" ht="13.5" customHeight="1"/>
    <row r="2" spans="2:12" ht="13.5" customHeight="1"/>
    <row r="3" spans="2:12" ht="13.5" customHeight="1"/>
    <row r="4" spans="2:12" ht="13.5" customHeight="1"/>
    <row r="5" spans="2:12" ht="13.5" customHeight="1">
      <c r="B5" s="3" t="s">
        <v>510</v>
      </c>
      <c r="D5" s="80"/>
      <c r="E5" s="80"/>
      <c r="F5" s="80"/>
      <c r="G5" s="80"/>
      <c r="H5" s="114" t="s">
        <v>511</v>
      </c>
      <c r="I5" s="115" t="s">
        <v>512</v>
      </c>
      <c r="J5" s="80"/>
    </row>
    <row r="6" spans="2:12" ht="13.5" customHeight="1">
      <c r="B6" s="3"/>
      <c r="D6" s="80"/>
      <c r="E6" s="81" t="s">
        <v>513</v>
      </c>
      <c r="F6" s="80"/>
      <c r="G6" s="80"/>
      <c r="H6" s="114"/>
      <c r="I6" s="114"/>
      <c r="J6" s="80"/>
      <c r="K6" s="52" t="s">
        <v>513</v>
      </c>
    </row>
    <row r="7" spans="2:12" ht="13.5" customHeight="1">
      <c r="B7" s="54" t="s">
        <v>18</v>
      </c>
      <c r="C7" s="54" t="s">
        <v>19</v>
      </c>
      <c r="D7" s="54" t="s">
        <v>514</v>
      </c>
      <c r="E7" s="54" t="s">
        <v>515</v>
      </c>
      <c r="F7" s="54" t="s">
        <v>516</v>
      </c>
      <c r="G7" s="54" t="s">
        <v>517</v>
      </c>
      <c r="H7" s="54" t="s">
        <v>50</v>
      </c>
      <c r="I7" s="54" t="s">
        <v>22</v>
      </c>
      <c r="J7" s="54" t="s">
        <v>518</v>
      </c>
      <c r="K7" s="54" t="s">
        <v>519</v>
      </c>
      <c r="L7" s="24"/>
    </row>
    <row r="8" spans="2:12" ht="13.5" customHeight="1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2:12" ht="13.5" customHeight="1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</row>
    <row r="10" spans="2:12" ht="13.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2:12" ht="13.5" customHeight="1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2:12" ht="13.5" customHeight="1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2:12" ht="13.5" customHeight="1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13.5" customHeight="1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2:12" ht="13.5" customHeight="1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2:12" ht="13.5" customHeight="1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2:12" ht="13.5" customHeight="1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2:12" ht="13.5" customHeight="1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2:12" ht="13.5" customHeight="1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2:12" ht="13.5" customHeight="1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2:12" ht="13.5" customHeight="1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2:12" ht="13.5" customHeight="1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2:12" ht="13.5" customHeight="1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2:12" ht="13.5" customHeight="1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12" ht="13.5" customHeight="1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2" ht="13.5" customHeight="1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2:12" ht="13.5" customHeight="1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2:12" ht="13.5" customHeight="1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2:12" ht="13.5" customHeight="1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2:12" ht="13.5" customHeight="1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2:12" ht="13.5" customHeight="1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2:12" ht="13.5" customHeight="1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2:12" ht="13.5" customHeight="1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2" ht="13.5" customHeight="1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2:12" ht="13.5" customHeight="1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2:12" ht="13.5" customHeight="1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2:12" ht="13.5" customHeight="1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2:12" ht="13.5" customHeight="1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2:12" ht="13.5" customHeight="1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2:12" ht="13.5" customHeight="1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2:12" ht="13.5" customHeight="1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2:12" ht="13.5" customHeight="1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2:12" ht="13.5" customHeight="1">
      <c r="B43" s="24"/>
      <c r="C43" s="24"/>
    </row>
    <row r="44" spans="2:12" ht="13.5" customHeight="1">
      <c r="B44" s="24"/>
      <c r="C44" s="24"/>
    </row>
    <row r="45" spans="2:12" ht="13.5" customHeight="1"/>
    <row r="46" spans="2:12" ht="13.5" customHeight="1"/>
    <row r="47" spans="2:12" ht="13.5" customHeight="1"/>
    <row r="48" spans="2:1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H5:H6"/>
    <mergeCell ref="I5:I6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8C8C8"/>
  </sheetPr>
  <dimension ref="B1:I1000"/>
  <sheetViews>
    <sheetView showGridLines="0" topLeftCell="C1" zoomScale="95" zoomScaleNormal="95" workbookViewId="0"/>
  </sheetViews>
  <sheetFormatPr defaultColWidth="14.42578125" defaultRowHeight="13.9"/>
  <cols>
    <col min="1" max="3" width="8.7109375" customWidth="1"/>
    <col min="4" max="4" width="13.42578125" hidden="1" customWidth="1"/>
    <col min="5" max="5" width="14" customWidth="1"/>
    <col min="6" max="9" width="54.42578125" customWidth="1"/>
    <col min="10" max="26" width="8.7109375" customWidth="1"/>
  </cols>
  <sheetData>
    <row r="1" spans="2:9" ht="13.5" customHeight="1">
      <c r="B1" s="1"/>
      <c r="C1" s="1"/>
      <c r="D1" s="1"/>
      <c r="E1" s="1"/>
      <c r="F1" s="1"/>
      <c r="G1" s="1"/>
      <c r="H1" s="1"/>
      <c r="I1" s="1"/>
    </row>
    <row r="2" spans="2:9" ht="13.5" customHeight="1">
      <c r="B2" s="1"/>
      <c r="C2" s="1"/>
      <c r="D2" s="1"/>
      <c r="E2" s="1"/>
      <c r="F2" s="1"/>
      <c r="G2" s="1"/>
      <c r="H2" s="1"/>
      <c r="I2" s="1"/>
    </row>
    <row r="3" spans="2:9" ht="13.5" customHeight="1">
      <c r="B3" s="1"/>
      <c r="C3" s="1"/>
      <c r="D3" s="1"/>
      <c r="E3" s="1"/>
      <c r="F3" s="116" t="s">
        <v>520</v>
      </c>
      <c r="G3" s="1"/>
      <c r="H3" s="1"/>
      <c r="I3" s="1"/>
    </row>
    <row r="4" spans="2:9" ht="12.75" customHeight="1">
      <c r="B4" s="1"/>
      <c r="C4" s="1"/>
      <c r="D4" s="1"/>
      <c r="E4" s="1"/>
      <c r="F4" s="116"/>
      <c r="G4" s="1"/>
      <c r="H4" s="1"/>
      <c r="I4" s="1"/>
    </row>
    <row r="5" spans="2:9" ht="13.5" customHeight="1">
      <c r="B5" s="82" t="s">
        <v>521</v>
      </c>
      <c r="C5" s="82"/>
      <c r="D5" s="1"/>
      <c r="E5" s="1"/>
      <c r="F5" s="116"/>
      <c r="G5" s="1"/>
      <c r="H5" s="1"/>
      <c r="I5" s="1"/>
    </row>
    <row r="6" spans="2:9" ht="13.5" customHeight="1">
      <c r="B6" s="118" t="s">
        <v>522</v>
      </c>
      <c r="C6" s="118" t="s">
        <v>523</v>
      </c>
      <c r="D6" s="1"/>
      <c r="E6" s="117" t="s">
        <v>524</v>
      </c>
      <c r="F6" s="116"/>
      <c r="G6" s="1"/>
      <c r="H6" s="1"/>
      <c r="I6" s="1"/>
    </row>
    <row r="7" spans="2:9" ht="13.5" customHeight="1">
      <c r="B7" s="118"/>
      <c r="C7" s="118"/>
      <c r="D7" s="1"/>
      <c r="E7" s="117"/>
      <c r="F7" s="117"/>
      <c r="G7" s="1"/>
      <c r="H7" s="1"/>
      <c r="I7" s="1"/>
    </row>
    <row r="8" spans="2:9" ht="13.5" customHeight="1">
      <c r="B8" s="118"/>
      <c r="C8" s="118"/>
      <c r="D8" s="1"/>
      <c r="E8" s="117"/>
      <c r="F8" s="117"/>
      <c r="G8" s="1"/>
      <c r="H8" s="1"/>
      <c r="I8" s="1"/>
    </row>
    <row r="9" spans="2:9" ht="13.5" customHeight="1">
      <c r="B9" s="83" t="s">
        <v>516</v>
      </c>
      <c r="C9" s="83" t="s">
        <v>516</v>
      </c>
      <c r="D9" s="83" t="s">
        <v>513</v>
      </c>
      <c r="E9" s="83" t="s">
        <v>50</v>
      </c>
      <c r="F9" s="83" t="s">
        <v>525</v>
      </c>
      <c r="G9" s="83" t="s">
        <v>526</v>
      </c>
      <c r="H9" s="83" t="s">
        <v>527</v>
      </c>
      <c r="I9" s="83" t="s">
        <v>23</v>
      </c>
    </row>
    <row r="10" spans="2:9" ht="13.5" customHeight="1">
      <c r="B10" s="84"/>
      <c r="C10" s="84"/>
      <c r="D10" s="84"/>
      <c r="E10" s="84"/>
      <c r="F10" s="84"/>
      <c r="G10" s="84"/>
      <c r="H10" s="84"/>
      <c r="I10" s="84"/>
    </row>
    <row r="11" spans="2:9" ht="13.5" customHeight="1">
      <c r="B11" s="84"/>
      <c r="C11" s="84"/>
      <c r="D11" s="84"/>
      <c r="E11" s="84"/>
      <c r="F11" s="84"/>
      <c r="G11" s="84"/>
      <c r="H11" s="84"/>
      <c r="I11" s="84"/>
    </row>
    <row r="12" spans="2:9" ht="13.5" customHeight="1">
      <c r="B12" s="84"/>
      <c r="C12" s="84"/>
      <c r="D12" s="84"/>
      <c r="E12" s="84"/>
      <c r="F12" s="84"/>
      <c r="G12" s="84"/>
      <c r="H12" s="84"/>
      <c r="I12" s="84"/>
    </row>
    <row r="13" spans="2:9" ht="13.5" customHeight="1">
      <c r="B13" s="84"/>
      <c r="C13" s="84"/>
      <c r="D13" s="84"/>
      <c r="E13" s="84"/>
      <c r="F13" s="84"/>
      <c r="G13" s="84"/>
      <c r="H13" s="84"/>
      <c r="I13" s="84"/>
    </row>
    <row r="14" spans="2:9" ht="13.5" customHeight="1">
      <c r="B14" s="84"/>
      <c r="C14" s="84"/>
      <c r="D14" s="84"/>
      <c r="E14" s="84"/>
      <c r="F14" s="84"/>
      <c r="G14" s="84"/>
      <c r="H14" s="84"/>
      <c r="I14" s="84"/>
    </row>
    <row r="15" spans="2:9" ht="13.5" customHeight="1">
      <c r="B15" s="84"/>
      <c r="C15" s="84"/>
      <c r="D15" s="84"/>
      <c r="E15" s="84"/>
      <c r="F15" s="84"/>
      <c r="G15" s="84"/>
      <c r="H15" s="84"/>
      <c r="I15" s="84"/>
    </row>
    <row r="16" spans="2:9" ht="13.5" customHeight="1">
      <c r="B16" s="84"/>
      <c r="C16" s="84"/>
      <c r="D16" s="84"/>
      <c r="E16" s="84"/>
      <c r="F16" s="84"/>
      <c r="G16" s="84"/>
      <c r="H16" s="84"/>
      <c r="I16" s="84"/>
    </row>
    <row r="17" spans="2:9" ht="13.5" customHeight="1">
      <c r="B17" s="84"/>
      <c r="C17" s="84"/>
      <c r="D17" s="84"/>
      <c r="E17" s="84"/>
      <c r="F17" s="84"/>
      <c r="G17" s="84"/>
      <c r="H17" s="84"/>
      <c r="I17" s="84"/>
    </row>
    <row r="18" spans="2:9" ht="13.5" customHeight="1">
      <c r="B18" s="84"/>
      <c r="C18" s="84"/>
      <c r="D18" s="84"/>
      <c r="E18" s="84"/>
      <c r="F18" s="84"/>
      <c r="G18" s="84"/>
      <c r="H18" s="84"/>
      <c r="I18" s="84"/>
    </row>
    <row r="19" spans="2:9" ht="13.5" customHeight="1">
      <c r="B19" s="84"/>
      <c r="C19" s="84"/>
      <c r="D19" s="84"/>
      <c r="E19" s="84"/>
      <c r="F19" s="84"/>
      <c r="G19" s="84"/>
      <c r="H19" s="84"/>
      <c r="I19" s="84"/>
    </row>
    <row r="20" spans="2:9" ht="13.5" customHeight="1">
      <c r="B20" s="84"/>
      <c r="C20" s="84"/>
      <c r="D20" s="84"/>
      <c r="E20" s="84"/>
      <c r="F20" s="84"/>
      <c r="G20" s="84"/>
      <c r="H20" s="84"/>
      <c r="I20" s="84"/>
    </row>
    <row r="21" spans="2:9" ht="13.5" customHeight="1">
      <c r="B21" s="84"/>
      <c r="C21" s="84"/>
      <c r="D21" s="84"/>
      <c r="E21" s="84"/>
      <c r="F21" s="84"/>
      <c r="G21" s="84"/>
      <c r="H21" s="84"/>
      <c r="I21" s="84"/>
    </row>
    <row r="22" spans="2:9" ht="13.5" customHeight="1">
      <c r="B22" s="84"/>
      <c r="C22" s="84"/>
      <c r="D22" s="84"/>
      <c r="E22" s="84"/>
      <c r="F22" s="84"/>
      <c r="G22" s="84"/>
      <c r="H22" s="84"/>
      <c r="I22" s="84"/>
    </row>
    <row r="23" spans="2:9" ht="13.5" customHeight="1">
      <c r="B23" s="84"/>
      <c r="C23" s="84"/>
      <c r="D23" s="84"/>
      <c r="E23" s="84"/>
      <c r="F23" s="84"/>
      <c r="G23" s="84"/>
      <c r="H23" s="84"/>
      <c r="I23" s="84"/>
    </row>
    <row r="24" spans="2:9" ht="13.5" customHeight="1">
      <c r="B24" s="84"/>
      <c r="C24" s="84"/>
      <c r="D24" s="84"/>
      <c r="E24" s="84"/>
      <c r="F24" s="84"/>
      <c r="G24" s="84"/>
      <c r="H24" s="84"/>
      <c r="I24" s="84"/>
    </row>
    <row r="25" spans="2:9" ht="13.5" customHeight="1">
      <c r="B25" s="84"/>
      <c r="C25" s="84"/>
      <c r="D25" s="84"/>
      <c r="E25" s="84"/>
      <c r="F25" s="84"/>
      <c r="G25" s="84"/>
      <c r="H25" s="84"/>
      <c r="I25" s="84"/>
    </row>
    <row r="26" spans="2:9" ht="13.5" customHeight="1">
      <c r="B26" s="84"/>
      <c r="C26" s="84"/>
      <c r="D26" s="84"/>
      <c r="E26" s="84"/>
      <c r="F26" s="84"/>
      <c r="G26" s="84"/>
      <c r="H26" s="84"/>
      <c r="I26" s="84"/>
    </row>
    <row r="27" spans="2:9" ht="13.5" customHeight="1">
      <c r="B27" s="84"/>
      <c r="C27" s="84"/>
      <c r="D27" s="84"/>
      <c r="E27" s="84"/>
      <c r="F27" s="84"/>
      <c r="G27" s="84"/>
      <c r="H27" s="84"/>
      <c r="I27" s="84"/>
    </row>
    <row r="28" spans="2:9" ht="13.5" customHeight="1">
      <c r="B28" s="84"/>
      <c r="C28" s="84"/>
      <c r="D28" s="84"/>
      <c r="E28" s="84"/>
      <c r="F28" s="84"/>
      <c r="G28" s="84"/>
      <c r="H28" s="84"/>
      <c r="I28" s="84"/>
    </row>
    <row r="29" spans="2:9" ht="13.5" customHeight="1">
      <c r="B29" s="84"/>
      <c r="C29" s="84"/>
      <c r="D29" s="84"/>
      <c r="E29" s="84"/>
      <c r="F29" s="84"/>
      <c r="G29" s="84"/>
      <c r="H29" s="84"/>
      <c r="I29" s="84"/>
    </row>
    <row r="30" spans="2:9" ht="13.5" customHeight="1">
      <c r="B30" s="84"/>
      <c r="C30" s="84"/>
      <c r="D30" s="84"/>
      <c r="E30" s="84"/>
      <c r="F30" s="84"/>
      <c r="G30" s="84"/>
      <c r="H30" s="84"/>
      <c r="I30" s="84"/>
    </row>
    <row r="31" spans="2:9" ht="13.5" customHeight="1">
      <c r="B31" s="84"/>
      <c r="C31" s="84"/>
      <c r="D31" s="84"/>
      <c r="E31" s="84"/>
      <c r="F31" s="84"/>
      <c r="G31" s="84"/>
      <c r="H31" s="84"/>
      <c r="I31" s="84"/>
    </row>
    <row r="32" spans="2:9" ht="13.5" customHeight="1">
      <c r="B32" s="84"/>
      <c r="C32" s="84"/>
      <c r="D32" s="84"/>
      <c r="E32" s="84"/>
      <c r="F32" s="84"/>
      <c r="G32" s="84"/>
      <c r="H32" s="84"/>
      <c r="I32" s="84"/>
    </row>
    <row r="33" spans="2:9" ht="13.5" customHeight="1">
      <c r="B33" s="84"/>
      <c r="C33" s="84"/>
      <c r="D33" s="84"/>
      <c r="E33" s="84"/>
      <c r="F33" s="84"/>
      <c r="G33" s="84"/>
      <c r="H33" s="84"/>
      <c r="I33" s="84"/>
    </row>
    <row r="34" spans="2:9" ht="13.5" customHeight="1">
      <c r="B34" s="84"/>
      <c r="C34" s="84"/>
      <c r="D34" s="84"/>
      <c r="E34" s="84"/>
      <c r="F34" s="84"/>
      <c r="G34" s="84"/>
      <c r="H34" s="84"/>
      <c r="I34" s="84"/>
    </row>
    <row r="35" spans="2:9" ht="13.5" customHeight="1">
      <c r="B35" s="84"/>
      <c r="C35" s="84"/>
      <c r="D35" s="84"/>
      <c r="E35" s="84"/>
      <c r="F35" s="84"/>
      <c r="G35" s="84"/>
      <c r="H35" s="84"/>
      <c r="I35" s="84"/>
    </row>
    <row r="36" spans="2:9" ht="13.5" customHeight="1">
      <c r="B36" s="84"/>
      <c r="C36" s="84"/>
      <c r="D36" s="84"/>
      <c r="E36" s="84"/>
      <c r="F36" s="84"/>
      <c r="G36" s="84"/>
      <c r="H36" s="84"/>
      <c r="I36" s="84"/>
    </row>
    <row r="37" spans="2:9" ht="13.5" customHeight="1">
      <c r="B37" s="84"/>
      <c r="C37" s="84"/>
      <c r="D37" s="84"/>
      <c r="E37" s="84"/>
      <c r="F37" s="1"/>
      <c r="G37" s="84"/>
      <c r="H37" s="1"/>
      <c r="I37" s="1"/>
    </row>
    <row r="38" spans="2:9" ht="13.5" customHeight="1">
      <c r="B38" s="84"/>
      <c r="C38" s="84"/>
      <c r="D38" s="84"/>
      <c r="E38" s="84"/>
      <c r="F38" s="1"/>
      <c r="G38" s="84"/>
      <c r="H38" s="1"/>
      <c r="I38" s="1"/>
    </row>
    <row r="39" spans="2:9" ht="13.5" customHeight="1">
      <c r="B39" s="1"/>
      <c r="C39" s="1"/>
      <c r="D39" s="1"/>
      <c r="E39" s="1"/>
      <c r="F39" s="1"/>
      <c r="G39" s="1"/>
      <c r="H39" s="1"/>
      <c r="I39" s="1"/>
    </row>
    <row r="40" spans="2:9" ht="13.5" customHeight="1">
      <c r="B40" s="1"/>
      <c r="C40" s="1"/>
      <c r="D40" s="1"/>
      <c r="E40" s="1"/>
      <c r="F40" s="1"/>
      <c r="G40" s="1"/>
      <c r="H40" s="1"/>
      <c r="I40" s="1"/>
    </row>
    <row r="41" spans="2:9" ht="13.5" customHeight="1">
      <c r="B41" s="1"/>
      <c r="C41" s="1"/>
      <c r="D41" s="1"/>
      <c r="E41" s="1"/>
      <c r="F41" s="1"/>
      <c r="G41" s="1"/>
      <c r="H41" s="1"/>
      <c r="I41" s="1"/>
    </row>
    <row r="42" spans="2:9" ht="13.5" customHeight="1">
      <c r="B42" s="1"/>
      <c r="C42" s="1"/>
      <c r="D42" s="1"/>
      <c r="E42" s="1"/>
      <c r="F42" s="1"/>
      <c r="G42" s="1"/>
      <c r="H42" s="1"/>
      <c r="I42" s="1"/>
    </row>
    <row r="43" spans="2:9" ht="13.5" customHeight="1">
      <c r="B43" s="1"/>
      <c r="C43" s="1"/>
      <c r="D43" s="1"/>
      <c r="E43" s="1"/>
      <c r="F43" s="1"/>
      <c r="G43" s="1"/>
      <c r="H43" s="1"/>
      <c r="I43" s="1"/>
    </row>
    <row r="44" spans="2:9" ht="13.5" customHeight="1">
      <c r="B44" s="1"/>
      <c r="C44" s="1"/>
      <c r="D44" s="1"/>
      <c r="E44" s="1"/>
      <c r="F44" s="1"/>
      <c r="G44" s="1"/>
      <c r="H44" s="1"/>
      <c r="I44" s="1"/>
    </row>
    <row r="45" spans="2:9" ht="13.5" customHeight="1">
      <c r="B45" s="1"/>
      <c r="C45" s="1"/>
      <c r="D45" s="1"/>
      <c r="E45" s="1"/>
      <c r="F45" s="1"/>
      <c r="G45" s="1"/>
      <c r="H45" s="1"/>
      <c r="I45" s="1"/>
    </row>
    <row r="46" spans="2:9" ht="13.5" customHeight="1">
      <c r="B46" s="1"/>
      <c r="C46" s="1"/>
      <c r="D46" s="1"/>
      <c r="E46" s="1"/>
      <c r="F46" s="1"/>
      <c r="G46" s="1"/>
      <c r="H46" s="1"/>
      <c r="I46" s="1"/>
    </row>
    <row r="47" spans="2:9" ht="13.5" customHeight="1">
      <c r="B47" s="1"/>
      <c r="C47" s="1"/>
      <c r="D47" s="1"/>
      <c r="E47" s="1"/>
      <c r="F47" s="1"/>
      <c r="G47" s="1"/>
      <c r="H47" s="1"/>
      <c r="I47" s="1"/>
    </row>
    <row r="48" spans="2:9" ht="13.5" customHeight="1">
      <c r="B48" s="1"/>
      <c r="C48" s="1"/>
      <c r="D48" s="1"/>
      <c r="E48" s="1"/>
      <c r="F48" s="1"/>
      <c r="G48" s="1"/>
      <c r="H48" s="1"/>
      <c r="I48" s="1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F3:F8"/>
    <mergeCell ref="B6:B8"/>
    <mergeCell ref="C6:C8"/>
    <mergeCell ref="E6:E8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1000"/>
  <sheetViews>
    <sheetView showGridLines="0" zoomScaleNormal="100" workbookViewId="0"/>
  </sheetViews>
  <sheetFormatPr defaultColWidth="14.42578125" defaultRowHeight="13.9"/>
  <cols>
    <col min="1" max="1" width="4.7109375" customWidth="1"/>
    <col min="2" max="2" width="21.7109375" customWidth="1"/>
    <col min="3" max="3" width="54" customWidth="1"/>
    <col min="4" max="4" width="8.7109375" customWidth="1"/>
    <col min="5" max="5" width="34.5703125" customWidth="1"/>
    <col min="6" max="6" width="53.28515625" customWidth="1"/>
    <col min="7" max="26" width="8.7109375" customWidth="1"/>
  </cols>
  <sheetData>
    <row r="1" spans="2:6" ht="13.5" customHeight="1">
      <c r="B1" s="1"/>
      <c r="C1" s="1"/>
      <c r="D1" s="1"/>
      <c r="E1" s="1"/>
      <c r="F1" s="1"/>
    </row>
    <row r="2" spans="2:6" ht="13.5" customHeight="1">
      <c r="B2" s="1"/>
      <c r="C2" s="1"/>
      <c r="D2" s="1"/>
      <c r="E2" s="1"/>
      <c r="F2" s="1"/>
    </row>
    <row r="3" spans="2:6" ht="13.5" customHeight="1">
      <c r="B3" s="1"/>
      <c r="C3" s="1"/>
      <c r="D3" s="1"/>
      <c r="E3" s="1"/>
      <c r="F3" s="1"/>
    </row>
    <row r="4" spans="2:6" ht="13.5" customHeight="1">
      <c r="B4" s="1"/>
      <c r="C4" s="1"/>
      <c r="D4" s="1"/>
      <c r="E4" s="1"/>
      <c r="F4" s="1"/>
    </row>
    <row r="5" spans="2:6" ht="13.5" customHeight="1">
      <c r="B5" s="85" t="s">
        <v>528</v>
      </c>
      <c r="C5" s="1"/>
      <c r="D5" s="1"/>
      <c r="E5" s="1"/>
      <c r="F5" s="1"/>
    </row>
    <row r="6" spans="2:6" ht="13.5" customHeight="1">
      <c r="B6" s="1"/>
      <c r="C6" s="1"/>
      <c r="D6" s="1"/>
      <c r="E6" s="1"/>
      <c r="F6" s="1"/>
    </row>
    <row r="7" spans="2:6" ht="13.5" customHeight="1">
      <c r="B7" s="86" t="s">
        <v>529</v>
      </c>
      <c r="C7" s="1"/>
      <c r="D7" s="1"/>
      <c r="E7" s="86" t="s">
        <v>530</v>
      </c>
      <c r="F7" s="1"/>
    </row>
    <row r="8" spans="2:6" ht="13.5" customHeight="1">
      <c r="B8" s="87" t="s">
        <v>19</v>
      </c>
      <c r="C8" s="87" t="s">
        <v>531</v>
      </c>
      <c r="D8" s="1"/>
      <c r="E8" s="87" t="s">
        <v>19</v>
      </c>
      <c r="F8" s="87" t="s">
        <v>531</v>
      </c>
    </row>
    <row r="9" spans="2:6" ht="13.5" customHeight="1">
      <c r="B9" s="88" t="s">
        <v>532</v>
      </c>
      <c r="C9" s="89" t="s">
        <v>533</v>
      </c>
      <c r="D9" s="1"/>
      <c r="E9" s="88"/>
      <c r="F9" s="89"/>
    </row>
    <row r="10" spans="2:6" ht="13.5" customHeight="1">
      <c r="B10" s="88"/>
      <c r="C10" s="88"/>
      <c r="D10" s="1"/>
      <c r="E10" s="88"/>
      <c r="F10" s="88"/>
    </row>
    <row r="11" spans="2:6" ht="13.5" customHeight="1">
      <c r="B11" s="88"/>
      <c r="C11" s="88"/>
      <c r="D11" s="1"/>
      <c r="E11" s="88"/>
      <c r="F11" s="88"/>
    </row>
    <row r="12" spans="2:6" ht="13.5" customHeight="1">
      <c r="B12" s="88"/>
      <c r="C12" s="88"/>
      <c r="D12" s="1"/>
      <c r="E12" s="88"/>
      <c r="F12" s="88"/>
    </row>
    <row r="13" spans="2:6" ht="13.5" customHeight="1">
      <c r="B13" s="88"/>
      <c r="C13" s="88"/>
      <c r="D13" s="1"/>
      <c r="E13" s="88"/>
      <c r="F13" s="88"/>
    </row>
    <row r="14" spans="2:6" ht="13.5" customHeight="1">
      <c r="B14" s="88"/>
      <c r="C14" s="88"/>
      <c r="D14" s="1"/>
      <c r="E14" s="88"/>
      <c r="F14" s="88"/>
    </row>
    <row r="15" spans="2:6" ht="13.5" customHeight="1">
      <c r="B15" s="88"/>
      <c r="C15" s="88"/>
      <c r="D15" s="1"/>
      <c r="E15" s="88"/>
      <c r="F15" s="88"/>
    </row>
    <row r="16" spans="2:6" ht="13.5" customHeight="1">
      <c r="B16" s="88"/>
      <c r="C16" s="88"/>
      <c r="D16" s="1"/>
      <c r="E16" s="88"/>
      <c r="F16" s="88"/>
    </row>
    <row r="17" spans="2:6" ht="13.5" customHeight="1">
      <c r="B17" s="88"/>
      <c r="C17" s="88"/>
      <c r="D17" s="1"/>
      <c r="E17" s="88"/>
      <c r="F17" s="88"/>
    </row>
    <row r="18" spans="2:6" ht="13.5" customHeight="1">
      <c r="B18" s="88"/>
      <c r="C18" s="88"/>
      <c r="D18" s="1"/>
      <c r="E18" s="88"/>
      <c r="F18" s="88"/>
    </row>
    <row r="19" spans="2:6" ht="13.5" customHeight="1">
      <c r="B19" s="88"/>
      <c r="C19" s="88"/>
      <c r="D19" s="1"/>
      <c r="E19" s="88"/>
      <c r="F19" s="88"/>
    </row>
    <row r="20" spans="2:6" ht="13.5" customHeight="1">
      <c r="B20" s="88"/>
      <c r="C20" s="88"/>
      <c r="D20" s="1"/>
      <c r="E20" s="88"/>
      <c r="F20" s="88"/>
    </row>
    <row r="21" spans="2:6" ht="13.5" customHeight="1">
      <c r="B21" s="88"/>
      <c r="C21" s="88"/>
      <c r="D21" s="1"/>
      <c r="E21" s="88"/>
      <c r="F21" s="88"/>
    </row>
    <row r="22" spans="2:6" ht="13.5" customHeight="1">
      <c r="B22" s="88"/>
      <c r="C22" s="88"/>
      <c r="D22" s="1"/>
      <c r="E22" s="88"/>
      <c r="F22" s="88"/>
    </row>
    <row r="23" spans="2:6" ht="13.5" customHeight="1">
      <c r="B23" s="88"/>
      <c r="C23" s="88"/>
      <c r="D23" s="1"/>
      <c r="E23" s="88"/>
      <c r="F23" s="88"/>
    </row>
    <row r="24" spans="2:6" ht="13.5" customHeight="1">
      <c r="B24" s="88"/>
      <c r="C24" s="88"/>
      <c r="D24" s="1"/>
      <c r="E24" s="88"/>
      <c r="F24" s="88"/>
    </row>
    <row r="25" spans="2:6" ht="13.5" customHeight="1">
      <c r="B25" s="88"/>
      <c r="C25" s="88"/>
      <c r="D25" s="1"/>
      <c r="E25" s="88"/>
      <c r="F25" s="88"/>
    </row>
    <row r="26" spans="2:6" ht="13.5" customHeight="1">
      <c r="B26" s="90"/>
      <c r="C26" s="90"/>
      <c r="D26" s="1"/>
      <c r="E26" s="90"/>
      <c r="F26" s="90"/>
    </row>
    <row r="27" spans="2:6" ht="13.5" customHeight="1">
      <c r="B27" s="84"/>
      <c r="C27" s="84"/>
      <c r="D27" s="1"/>
      <c r="E27" s="84"/>
      <c r="F27" s="84"/>
    </row>
    <row r="28" spans="2:6" ht="13.5" customHeight="1">
      <c r="B28" s="84"/>
      <c r="C28" s="84"/>
      <c r="D28" s="1"/>
      <c r="E28" s="84"/>
      <c r="F28" s="84"/>
    </row>
    <row r="29" spans="2:6" ht="13.5" customHeight="1">
      <c r="B29" s="84"/>
      <c r="C29" s="84"/>
      <c r="D29" s="1"/>
      <c r="E29" s="84"/>
      <c r="F29" s="84"/>
    </row>
    <row r="30" spans="2:6" ht="13.5" customHeight="1">
      <c r="B30" s="84"/>
      <c r="C30" s="84"/>
      <c r="D30" s="1"/>
      <c r="E30" s="84"/>
      <c r="F30" s="84"/>
    </row>
    <row r="31" spans="2:6" ht="13.5" customHeight="1">
      <c r="B31" s="84"/>
      <c r="C31" s="84"/>
      <c r="D31" s="1"/>
      <c r="E31" s="84"/>
      <c r="F31" s="84"/>
    </row>
    <row r="32" spans="2:6" ht="13.5" customHeight="1">
      <c r="B32" s="84"/>
      <c r="C32" s="84"/>
      <c r="D32" s="1"/>
      <c r="E32" s="84"/>
      <c r="F32" s="84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ef="C9" r:id="rId1" xr:uid="{00000000-0004-0000-1000-000000000000}"/>
  </hyperlinks>
  <pageMargins left="0.7" right="0.7" top="0.75" bottom="0.75" header="0.511811023622047" footer="0.511811023622047"/>
  <pageSetup orientation="landscape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Prashanth Krishnamurthy</dc:creator>
  <cp:keywords/>
  <dc:description/>
  <cp:lastModifiedBy>Ngọc Phúc Nguyễn</cp:lastModifiedBy>
  <cp:revision>9</cp:revision>
  <dcterms:created xsi:type="dcterms:W3CDTF">2018-12-26T04:30:06Z</dcterms:created>
  <dcterms:modified xsi:type="dcterms:W3CDTF">2026-09-18T02:08:22Z</dcterms:modified>
  <cp:category/>
  <cp:contentStatus/>
</cp:coreProperties>
</file>