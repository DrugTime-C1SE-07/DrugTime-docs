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Lịch sử tuân thủ người thân" sheetId="21" state="visible" r:id="rId21"/>
    <sheet name="Report" sheetId="22" state="visible" r:id="rId22"/>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mục'!$A$8:$I$60</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'Report'!$A$11:$A$31</f>
            </numRef>
          </cat>
          <val>
            <numRef>
              <f>'Report'!$D$11:$D$31</f>
            </numRef>
          </val>
        </ser>
        <ser>
          <idx val="1"/>
          <order val="1"/>
          <tx>
            <strRef>
              <f>'Report'!E10</f>
            </strRef>
          </tx>
          <spPr>
            <a:ln>
              <a:prstDash val="solid"/>
            </a:ln>
          </spPr>
          <cat>
            <numRef>
              <f>'Report'!$A$11:$A$31</f>
            </numRef>
          </cat>
          <val>
            <numRef>
              <f>'Report'!$E$11:$E$31</f>
            </numRef>
          </val>
        </ser>
        <ser>
          <idx val="2"/>
          <order val="2"/>
          <tx>
            <strRef>
              <f>'Report'!F10</f>
            </strRef>
          </tx>
          <spPr>
            <a:ln>
              <a:prstDash val="solid"/>
            </a:ln>
          </spPr>
          <cat>
            <numRef>
              <f>'Report'!$A$11:$A$31</f>
            </numRef>
          </cat>
          <val>
            <numRef>
              <f>'Report'!$F$11:$F$31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33</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6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Sau khi chạm thuốc, kiểm tra vùng Thông tin thuốc đã chọn; bấm Xác nhận thuốc để trả về form.
4. Quan sát form và số lần gọi add.</t>
        </is>
      </c>
      <c r="E9" s="8" t="inlineStr">
        <is>
          <t>Thuốc: chưa chọn</t>
        </is>
      </c>
      <c r="F9" s="8" t="inlineStr">
        <is>
          <t>Sheet mở; thuốc trở về form, không mở tra cứu/chi tiết và chưa tự lưu. Chạm dòng chỉ chọn; chỉ Xác nhận thuốc mới đóng sheet và trả lựa chọn.</t>
        </is>
      </c>
      <c r="G9" s="8" t="inlineStr">
        <is>
          <t>Chạy lại 2026-10-27: assertion tương ứng đạt trong medication 172/172; evidence/test-medication.log. Nguồn là fake/widget, không phải API/DB thật.</t>
        </is>
      </c>
      <c r="H9" s="7" t="inlineStr">
        <is>
          <t>Pass</t>
        </is>
      </c>
      <c r="I9" s="8" t="inlineStr">
        <is>
          <t>Task 3.05: AC1, AC5 · Chuyển trạng thái form → sheet → form · 3.05: hủy/chọn lại giữ dữ liệu sử dụng, chưa tự lưu và đúng catalog id · Task 4.16: hồi quy · evidence/test-medication.log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Chạy lại 2026-10-27: assertion tương ứng đạt trong medication 172/172; evidence/test-medication.log. Nguồn là fake/widget, không phải API/DB thật.</t>
        </is>
      </c>
      <c r="H10" s="7" t="inlineStr">
        <is>
          <t>Pass</t>
        </is>
      </c>
      <c r="I10" s="8" t="inlineStr">
        <is>
          <t>Task 3.05: AC2 · EP (3); BVA (min-1=0) · sheet danh mục: chưa gõ thì gợi ý, không tìm · Task 4.16: hồi quy · evidence/test-medication.log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Chạy lại 2026-10-27: assertion tương ứng đạt trong medication 172/172; evidence/test-medication.log. Nguồn là fake/widget, không phải API/DB thật.</t>
        </is>
      </c>
      <c r="H11" s="7" t="inlineStr">
        <is>
          <t>Pass</t>
        </is>
      </c>
      <c r="I11" s="8" t="inlineStr">
        <is>
          <t>Task 3.05: AC2 · EP (3) · empty whitespace, debounce 299/300ms and trimmed final query · Task 4.16: hồi quy · evidence/test-medication.log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Chạy lại 2026-10-27: assertion tương ứng đạt trong medication 172/172; evidence/test-medication.log. Nguồn là fake/widget, không phải API/DB thật.</t>
        </is>
      </c>
      <c r="H12" s="7" t="inlineStr">
        <is>
          <t>Pass</t>
        </is>
      </c>
      <c r="I12" s="8" t="inlineStr">
        <is>
          <t>Task 3.05: AC3 · EP (1); BVA (min=1) · empty whitespace, debounce 299/300ms and trimmed final query · Task 4.16: hồi quy · evidence/test-medication.log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Chạy lại 2026-10-27: assertion tương ứng đạt trong medication 172/172; evidence/test-medication.log. Nguồn là fake/widget, không phải API/DB thật.</t>
        </is>
      </c>
      <c r="H13" s="7" t="inlineStr">
        <is>
          <t>Pass</t>
        </is>
      </c>
      <c r="I13" s="8" t="inlineStr">
        <is>
          <t>Task 3.05: AC3 · EP (1) · empty whitespace, debounce 299/300ms and trimmed final query · Task 4.16: hồi quy · evidence/test-medication.log</t>
        </is>
      </c>
      <c r="Q13" s="10" t="inlineStr">
        <is>
          <t>Hiện lỗi, cho retry</t>
        </is>
      </c>
      <c r="R13" s="11" t="inlineStr"/>
      <c r="S13" s="11" t="inlineStr"/>
      <c r="T13" s="11" t="inlineStr">
        <is>
          <t>X</t>
        </is>
      </c>
      <c r="U13" s="11" t="inlineStr"/>
    </row>
    <row r="14" ht="107"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Chạy lại 2026-10-27: assertion tương ứng đạt trong medication 172/172; evidence/test-medication.log. Nguồn là fake/widget, không phải API/DB thật.</t>
        </is>
      </c>
      <c r="H14" s="7" t="inlineStr">
        <is>
          <t>Pass</t>
        </is>
      </c>
      <c r="I14" s="8" t="inlineStr">
        <is>
          <t>Task 3.05: AC2, AC9 · Chuyển trạng thái loading → initial · clear invalidates request and dispose cancels timer or ignores response · Task 4.16: hồi quy · evidence/test-medication.log</t>
        </is>
      </c>
      <c r="Q14" s="10" t="inlineStr">
        <is>
          <t>Xử lý phiên chung, không retry tìm</t>
        </is>
      </c>
      <c r="R14" s="11" t="inlineStr"/>
      <c r="S14" s="11" t="inlineStr"/>
      <c r="T14" s="11" t="inlineStr"/>
      <c r="U14" s="11" t="inlineStr">
        <is>
          <t>X</t>
        </is>
      </c>
    </row>
    <row r="15" ht="107"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Chạy lại 2026-10-27: assertion tương ứng đạt trong medication 172/172; evidence/test-medication.log. Nguồn là fake/widget, không phải API/DB thật.</t>
        </is>
      </c>
      <c r="H15" s="7" t="inlineStr">
        <is>
          <t>Pass</t>
        </is>
      </c>
      <c r="I15" s="8" t="inlineStr">
        <is>
          <t>Task 3.05: AC9 · Đoán lỗi response sai thứ tự · A B A: only current generation can update, including stale error · Task 4.16: hồi quy · evidence/test-medication.log</t>
        </is>
      </c>
    </row>
    <row r="16" ht="107"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Chạy lại 2026-10-27: assertion tương ứng đạt trong medication 172/172; evidence/test-medication.log. Nguồn là fake/widget, không phải API/DB thật.</t>
        </is>
      </c>
      <c r="H16" s="7" t="inlineStr">
        <is>
          <t>Pass</t>
        </is>
      </c>
      <c r="I16" s="8" t="inlineStr">
        <is>
          <t>Task 3.05: AC9 · Chuyển trạng thái sheet → disposed · clear invalidates request and dispose cancels timer or ignores response · Task 4.16: hồi quy · evidence/test-medication.log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Chạy lại 2026-10-27: assertion tương ứng đạt trong medication 172/172; evidence/test-medication.log. Nguồn là fake/widget, không phải API/DB thật.</t>
        </is>
      </c>
      <c r="H17" s="7" t="inlineStr">
        <is>
          <t>Pass</t>
        </is>
      </c>
      <c r="I17" s="8" t="inlineStr">
        <is>
          <t>Task 3.05: AC10 · EP (1) · BVA (max-1=99) · scratch/catalog_boundary_test.dart; Flutter drive Android · Task 4.16: hồi quy · evidence/test-medication.log</t>
        </is>
      </c>
      <c r="Q17" s="4" t="inlineStr">
        <is>
          <t>Cho phép xác nhận (4.16)</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Chạy lại 2026-10-27: assertion tương ứng đạt trong medication 172/172; evidence/test-medication.log. Nguồn là fake/widget, không phải API/DB thật.</t>
        </is>
      </c>
      <c r="H18" s="7" t="inlineStr">
        <is>
          <t>Pass</t>
        </is>
      </c>
      <c r="I18" s="8" t="inlineStr">
        <is>
          <t>Task 3.05: AC10 · EP (1); BVA (max=100) · trimmed Unicode limit 100 allowed, 101 blocked: á · Task 4.16: hồi quy · evidence/test-medication.log</t>
        </is>
      </c>
      <c r="Q18" s="6" t="inlineStr">
        <is>
          <t>Rule</t>
        </is>
      </c>
      <c r="R18" s="5" t="inlineStr">
        <is>
          <t>R1</t>
        </is>
      </c>
      <c r="S18" s="5" t="inlineStr">
        <is>
          <t>R2</t>
        </is>
      </c>
      <c r="T18" s="5" t="inlineStr">
        <is>
          <t>R3</t>
        </is>
      </c>
      <c r="U18" s="5" t="inlineStr">
        <is>
          <t>R4</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Chạy lại 2026-10-27: assertion tương ứng đạt trong medication 172/172; evidence/test-medication.log. Nguồn là fake/widget, không phải API/DB thật.</t>
        </is>
      </c>
      <c r="H19" s="7" t="inlineStr">
        <is>
          <t>Pass</t>
        </is>
      </c>
      <c r="I19" s="8" t="inlineStr">
        <is>
          <t>Task 3.05: AC9, AC10 · EP (4); BVA (max+1=101) · trimmed Unicode limit 100 allowed, 101 blocked: á · Task 4.16: hồi quy · evidence/test-medication.log</t>
        </is>
      </c>
      <c r="Q19" s="10" t="inlineStr">
        <is>
          <t>Có ứng viên?</t>
        </is>
      </c>
      <c r="R19" s="11" t="inlineStr">
        <is>
          <t>No</t>
        </is>
      </c>
      <c r="S19" s="11" t="inlineStr">
        <is>
          <t>Yes</t>
        </is>
      </c>
      <c r="T19" s="11" t="inlineStr">
        <is>
          <t>Yes</t>
        </is>
      </c>
      <c r="U19" s="11" t="inlineStr">
        <is>
          <t>Yes</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Chạy lại 2026-10-27: assertion tương ứng đạt trong medication 172/172; evidence/test-medication.log. Nguồn là fake/widget, không phải API/DB thật.</t>
        </is>
      </c>
      <c r="H20" s="7" t="inlineStr">
        <is>
          <t>Pass</t>
        </is>
      </c>
      <c r="I20" s="8" t="inlineStr">
        <is>
          <t>Task 3.05: AC10 · EP (1,4); BVA (max=100,max+1=101) · trimmed Unicode limit 100 allowed, 101 blocked: 😀 · Task 4.16: hồi quy · evidence/test-medication.log</t>
        </is>
      </c>
      <c r="Q20" s="10" t="inlineStr">
        <is>
          <t>Đã chọn mục thuộc danh sách hiện tại?</t>
        </is>
      </c>
      <c r="R20" s="11" t="inlineStr">
        <is>
          <t>No</t>
        </is>
      </c>
      <c r="S20" s="11" t="inlineStr">
        <is>
          <t>No</t>
        </is>
      </c>
      <c r="T20" s="11" t="inlineStr">
        <is>
          <t>Yes</t>
        </is>
      </c>
      <c r="U20" s="11" t="inlineStr">
        <is>
          <t>No sau thay dữ liệu</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Chạy lại 2026-10-27: assertion tương ứng đạt trong medication 172/172; evidence/test-medication.log. Nguồn là fake/widget, không phải API/DB thật.</t>
        </is>
      </c>
      <c r="H21" s="7" t="inlineStr">
        <is>
          <t>Pass</t>
        </is>
      </c>
      <c r="I21" s="8" t="inlineStr">
        <is>
          <t>Task 3.05: AC7 · Decision Table (R2) · network retry uses current query once and clears old error · Task 4.16: hồi quy · evidence/test-medication.log</t>
        </is>
      </c>
      <c r="Q21" s="6" t="inlineStr">
        <is>
          <t>Action</t>
        </is>
      </c>
      <c r="R21" s="5" t="inlineStr">
        <is>
          <t>R1</t>
        </is>
      </c>
      <c r="S21" s="5" t="inlineStr">
        <is>
          <t>R2</t>
        </is>
      </c>
      <c r="T21" s="5" t="inlineStr">
        <is>
          <t>R3</t>
        </is>
      </c>
      <c r="U21" s="5" t="inlineStr">
        <is>
          <t>R4</t>
        </is>
      </c>
    </row>
    <row r="22" ht="107"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Chạy lại 2026-10-27: assertion tương ứng đạt trong medication 172/172; evidence/test-medication.log. Nguồn là fake/widget, không phải API/DB thật.</t>
        </is>
      </c>
      <c r="H22" s="7" t="inlineStr">
        <is>
          <t>Pass</t>
        </is>
      </c>
      <c r="I22" s="8" t="inlineStr">
        <is>
          <t>Task 3.05: AC8 · EP (5); Decision Table (R3) · network retry uses current query once and clears old error · Task 4.16: hồi quy · evidence/test-medication.log</t>
        </is>
      </c>
      <c r="Q22" s="10" t="inlineStr">
        <is>
          <t>Chỉ cho tìm lại/hủy</t>
        </is>
      </c>
      <c r="R22" s="11" t="inlineStr">
        <is>
          <t>X</t>
        </is>
      </c>
      <c r="S22" s="11" t="inlineStr"/>
      <c r="T22" s="11" t="inlineStr"/>
      <c r="U22" s="11" t="inlineStr"/>
    </row>
    <row r="23" ht="107"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Chạy lại 2026-10-27: assertion tương ứng đạt trong medication 172/172; evidence/test-medication.log. Nguồn là fake/widget, không phải API/DB thật.</t>
        </is>
      </c>
      <c r="H23" s="7" t="inlineStr">
        <is>
          <t>Pass</t>
        </is>
      </c>
      <c r="I23" s="8" t="inlineStr">
        <is>
          <t>Task 3.05: AC10 · EP (5); Decision Table (R3) · failure MedicationFailureKind.validation is not empty success · Task 4.16: hồi quy · evidence/test-medication.log</t>
        </is>
      </c>
      <c r="Q23" s="10" t="inlineStr">
        <is>
          <t>Không cho xác nhận</t>
        </is>
      </c>
      <c r="R23" s="11" t="inlineStr"/>
      <c r="S23" s="11" t="inlineStr">
        <is>
          <t>X</t>
        </is>
      </c>
      <c r="T23" s="11" t="inlineStr"/>
      <c r="U23" s="11" t="inlineStr">
        <is>
          <t>X</t>
        </is>
      </c>
    </row>
    <row r="24" ht="140"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Chạy lại 2026-10-27: assertion tương ứng đạt trong medication 172/172; evidence/test-medication.log. Nguồn là fake/widget, không phải API/DB thật.</t>
        </is>
      </c>
      <c r="H24" s="7" t="inlineStr">
        <is>
          <t>Pass</t>
        </is>
      </c>
      <c r="I24" s="8" t="inlineStr">
        <is>
          <t>Task 3.05: AC11 · EP (5); Decision Table (R4) · 3.05 search 401 throws failure rather than empty success; failure MedicationFailureKind.unauthorized is not empty success · Task 4.16: hồi quy · evidence/test-medication.log</t>
        </is>
      </c>
      <c r="Q24" s="10" t="inlineStr">
        <is>
          <t>Cho xác nhận đúng một lần</t>
        </is>
      </c>
      <c r="R24" s="11" t="inlineStr"/>
      <c r="S24" s="11" t="inlineStr"/>
      <c r="T24" s="11" t="inlineStr">
        <is>
          <t>X</t>
        </is>
      </c>
      <c r="U24" s="11" t="inlineStr"/>
    </row>
    <row r="25" ht="107"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Chạy lại 2026-10-27: assertion tương ứng đạt trong medication 172/172; evidence/test-medication.log. Nguồn là fake/widget, không phải API/DB thật.</t>
        </is>
      </c>
      <c r="H25" s="7" t="inlineStr">
        <is>
          <t>Pass</t>
        </is>
      </c>
      <c r="I25" s="8" t="inlineStr">
        <is>
          <t>Task 3.05: AC8 · EP (5); Decision Table (R3) · 3.05 search 408/500/503 throws failure rather than empty success · Task 4.16: hồi quy · evidence/test-medication.log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Chạy lại 2026-10-27: assertion tương ứng đạt trong medication 172/172; evidence/test-medication.log. Nguồn là fake/widget, không phải API/DB thật.</t>
        </is>
      </c>
      <c r="H26" s="7" t="inlineStr">
        <is>
          <t>Pass</t>
        </is>
      </c>
      <c r="I26" s="8" t="inlineStr">
        <is>
          <t>Task 3.05: AC8 · EP (5) · 3.05 search socket failure is network error · Task 4.16: hồi quy · evidence/test-medication.log</t>
        </is>
      </c>
    </row>
    <row r="27" ht="107"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Chạy lại 2026-10-27: assertion tương ứng đạt trong medication 172/172; evidence/test-medication.log. Nguồn là fake/widget, không phải API/DB thật.</t>
        </is>
      </c>
      <c r="H27" s="7" t="inlineStr">
        <is>
          <t>Pass</t>
        </is>
      </c>
      <c r="I27" s="8" t="inlineStr">
        <is>
          <t>Task 3.05: AC5, AC6 · EP (2); Decision Table (R1) · strength, missing fields and same name distinct ids keep original item · Task 4.16: hồi quy · evidence/test-medication.log</t>
        </is>
      </c>
    </row>
    <row r="28" ht="107"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Sau khi chạm thuốc, kiểm tra vùng Thông tin thuốc đã chọn; bấm Xác nhận thuốc để trả về form.
4. Quan sát form trước Lưu.</t>
        </is>
      </c>
      <c r="E28" s="8" t="inlineStr">
        <is>
          <t>Cùng tên: id=1, id=200; chọn item thứ hai nullable</t>
        </is>
      </c>
      <c r="F28" s="8" t="inlineStr">
        <is>
          <t>Form nhận nguyên item id=200; hàm lượng trống, không tự điền y khoa, không tự lưu. Chạm dòng chỉ chọn; chỉ Xác nhận thuốc mới đóng sheet và trả lựa chọn.</t>
        </is>
      </c>
      <c r="G28" s="8" t="inlineStr">
        <is>
          <t>Chạy lại 2026-10-27: assertion tương ứng đạt trong medication 172/172; evidence/test-medication.log. Nguồn là fake/widget, không phải API/DB thật.</t>
        </is>
      </c>
      <c r="H28" s="7" t="inlineStr">
        <is>
          <t>Pass</t>
        </is>
      </c>
      <c r="I28" s="8" t="inlineStr">
        <is>
          <t>Task 3.05: AC5, AC6 · EP (2) · 3.05: chọn đúng item cùng tên, thiếu thông tin giữ trường trống không tự lưu · Task 4.16: hồi quy · evidence/test-medication.log</t>
        </is>
      </c>
    </row>
    <row r="29" ht="140"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Sau khi chạm thuốc, kiểm tra vùng Thông tin thuốc đã chọn; bấm Xác nhận thuốc để trả về form.
4.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 Chạm dòng chỉ chọn; chỉ Xác nhận thuốc mới đóng sheet và trả lựa chọn.</t>
        </is>
      </c>
      <c r="G29" s="8" t="inlineStr">
        <is>
          <t>Chạy lại 2026-10-27: assertion tương ứng đạt trong medication 172/172; evidence/test-medication.log. Nguồn là fake/widget, không phải API/DB thật.</t>
        </is>
      </c>
      <c r="H29" s="7" t="inlineStr">
        <is>
          <t>Pass</t>
        </is>
      </c>
      <c r="I29" s="8" t="inlineStr">
        <is>
          <t>Task 3.05: AC12, AC5 · Chuyển trạng thái chọn → hủy → chọn lại · 3.05: hủy/chọn lại giữ dữ liệu sử dụng, chưa tự lưu và đúng catalog id · Task 4.16: hồi quy · evidence/test-medication.log</t>
        </is>
      </c>
    </row>
    <row r="30" ht="107"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Sau khi chạm thuốc, kiểm tra vùng Thông tin thuốc đã chọn; bấm Xác nhận thuốc để trả về form.
4. Quan sát form.</t>
        </is>
      </c>
      <c r="E30" s="8" t="inlineStr">
        <is>
          <t>Losartan 50mg đã có trong danh sách</t>
        </is>
      </c>
      <c r="F30" s="8" t="inlineStr">
        <is>
          <t>Giữ nhãn Đang dùng và cảnh báo đã có trong danh sách đang dùng; vẫn chọn được. Chạm dòng chỉ chọn; chỉ Xác nhận thuốc mới đóng sheet và trả lựa chọn.</t>
        </is>
      </c>
      <c r="G30" s="8" t="inlineStr">
        <is>
          <t>Chạy lại 2026-10-27: assertion tương ứng đạt trong medication 172/172; evidence/test-medication.log. Nguồn là fake/widget, không phải API/DB thật.</t>
        </is>
      </c>
      <c r="H30" s="7" t="inlineStr">
        <is>
          <t>Pass</t>
        </is>
      </c>
      <c r="I30" s="8" t="inlineStr">
        <is>
          <t>Task 3.05: AC13 · Decision Table (R1) · 3.05: hủy/chọn lại giữ dữ liệu sử dụng, chưa tự lưu và đúng catalog id · Task 4.16: hồi quy · evidence/test-medication.log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Chạy lại 2026-10-27: assertion tương ứng đạt trong medication 172/172; evidence/test-medication.log. Nguồn là fake/widget, không phải API/DB thật.</t>
        </is>
      </c>
      <c r="H31" s="7" t="inlineStr">
        <is>
          <t>Pass</t>
        </is>
      </c>
      <c r="I31" s="8" t="inlineStr">
        <is>
          <t>Task 3.05: AC3, AC5, AC6 · EP (1,2) · 3.05 search GET trim, server order, nullable and exact ids · Task 4.16: hồi quy · evidence/test-medication.log</t>
        </is>
      </c>
    </row>
    <row r="32" ht="107"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Chạy lại 2026-10-27: assertion tương ứng đạt trong medication 172/172; evidence/test-medication.log. Nguồn là fake/widget, không phải API/DB thật.</t>
        </is>
      </c>
      <c r="H32" s="7" t="inlineStr">
        <is>
          <t>Pass</t>
        </is>
      </c>
      <c r="I32" s="8" t="inlineStr">
        <is>
          <t>Task 3.05: AC14 · Đoán lỗi layout · small screen large text with keyboard: states scroll and retry remains reachable · Task 4.16: hồi quy · evidence/test-medication.log</t>
        </is>
      </c>
    </row>
    <row r="33" ht="107"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2026-10-28: Pass với PostgreSQL Supabase local sau reset. Tên/hoạt chất có dấu, không dấu và hoa thường trả HTTP 200, đúng thuốc qua cả /catalog/medications và /medications/search. Suite catalog: 43 pass, 0 fail, 0 skip (9.86s).</t>
        </is>
      </c>
      <c r="H33" s="7" t="inlineStr">
        <is>
          <t>Pass</t>
        </is>
      </c>
      <c r="I33" s="8" t="inlineStr">
        <is>
          <t>Task 3.05: AC4 · EP (1); tích hợp DB thật · pytest tests/integration/test_catalog_search.py · Đã chạy lại 2026-10-28: evidence/test-pending-catalog-search-rerun.log</t>
        </is>
      </c>
    </row>
    <row r="34" ht="107"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2026-10-28: Pass trên DB local thật: loại thuốc deleted_at khác null; đúng 5 trường schema; limit=1; ưu tiên tiền tố tên rồi thứ tự tên. Các test tương ứng pass cho cả hai route; suite 43 pass.</t>
        </is>
      </c>
      <c r="H34" s="7" t="inlineStr">
        <is>
          <t>Pass</t>
        </is>
      </c>
      <c r="I34" s="8" t="inlineStr">
        <is>
          <t>Task 3.05: AC4 · EP (1); tích hợp DB thật · pytest tests/integration/test_catalog_search.py · Đã chạy lại 2026-10-28: evidence/test-pending-catalog-search-rerun.log</t>
        </is>
      </c>
    </row>
    <row r="35" ht="156.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Sau khi chạm thuốc, kiểm tra vùng Thông tin thuốc đã chọn; bấm Xác nhận thuốc để trả về form.
4.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 Chạm dòng chỉ chọn; chỉ Xác nhận thuốc mới đóng sheet và trả lựa chọn.</t>
        </is>
      </c>
      <c r="G35" s="8" t="inlineStr">
        <is>
          <t>2026-10-28: Pass trên LM G710 Android 13/font1.0 với Backend API và PostgreSQL local thật. Cả 5 query có dấu/không dấu/hoa thường/tên/hoạt chất trả đúng id=153, loại id đã gỡ=154. Chạm chỉ chọn, form giữ nguyên đến Xác nhận thuốc; ID/tên/hoạt chất/hàm lượng/dạng bào chế khớp. add_calls=0; DB meds/schedules/prescriptions giữ 0/0/0.</t>
        </is>
      </c>
      <c r="H35" s="7" t="inlineStr">
        <is>
          <t>Pass</t>
        </is>
      </c>
      <c r="I35" s="8" t="inlineStr">
        <is>
          <t>Task 3.05: AC4, AC5 · Flutter drive thiết bị thật + Backend API thật + PostgreSQL local; session từ fixture, không test login · Đã chạy lại 2026-10-28; evidence/test-pending-device-response.json</t>
        </is>
      </c>
    </row>
    <row r="36" ht="173"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E36" s="8" t="inlineStr">
        <is>
          <t>Điện thoại LM G710 Android 13; cỡ chữ lớn; bàn phím mở</t>
        </is>
      </c>
      <c r="F36" s="8" t="inlineStr">
        <is>
          <t>Nội dung đọc/cuộn được; bàn phím không che thao tác; chọn trả đúng thuốc về form. Chạm dòng chỉ chọn; chỉ Xác nhận thuốc mới đóng sheet và trả lựa chọn.</t>
        </is>
      </c>
      <c r="G36" s="8"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H36" s="7" t="inlineStr">
        <is>
          <t>Fail</t>
        </is>
      </c>
      <c r="I36" s="8" t="inlineStr">
        <is>
          <t>Task 3.05: AC14 · Flutter drive trên thiết bị thật + agent kiểm ảnh; thay thao tác tay bằng cùng luồng tự động, không giả lập viewInsets · 2026-10-28 Fail cùng lỗi layout BUG-MEDPICK-51 · evidence/test-pending-TC28-android-confirmed.log · Lỗi đã biết được người dùng chấp nhận, hoãn sửa (2026-10-28)</t>
        </is>
      </c>
    </row>
    <row r="37" ht="107"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2026-10-28: Pass trên DB local thật: %, _ và backslash được tìm nguyên văn; query % hoặc _ không khớp mọi thuốc. Test literal wildcard pass cho cả hai route; suite 43 pass.</t>
        </is>
      </c>
      <c r="H37" s="7" t="inlineStr">
        <is>
          <t>Pass</t>
        </is>
      </c>
      <c r="I37" s="8" t="inlineStr">
        <is>
          <t>Task 3.05: AC4 · Đoán lỗi SQL wildcard; tích hợp DB thật · pytest tests/integration/test_catalog_search.py · Đã chạy lại 2026-10-28: evidence/test-pending-catalog-search-rerun.log</t>
        </is>
      </c>
    </row>
    <row r="38" ht="107" customHeight="1">
      <c r="A38" s="7" t="inlineStr">
        <is>
          <t>TC-MEDPICK-30</t>
        </is>
      </c>
      <c r="B38" s="7" t="inlineStr">
        <is>
          <t>Dùng chung màn chọn cho OCR và tìm kiếm</t>
        </is>
      </c>
      <c r="C38" s="8" t="inlineStr">
        <is>
          <t>Bản debug preview DrugTime; mở Thêm thuốc mới → Mẫu · Xem thử chọn và xác nhận thuốc. Test tự động dùng fixture/harness tương ứng, không ảnh OCR hoặc dữ liệu người bệnh thật.</t>
        </is>
      </c>
      <c r="D38" s="8" t="inlineStr">
        <is>
          <t>1. Mở OCR · Có kết quả.
2. Hủy; mở Tìm kiếm · Có kết quả.
3. Chọn và xác nhận một ứng viên ở mỗi nguồn.</t>
        </is>
      </c>
      <c r="E38" s="8" t="inlineStr">
        <is>
          <t>demo-500 và demo-250</t>
        </is>
      </c>
      <c r="F38" s="8" t="inlineStr">
        <is>
          <t>Cùng DrugSelectionPanel và quy tắc chọn/xác nhận; trả đúng đối tượng gốc.</t>
        </is>
      </c>
      <c r="G38" s="8" t="inlineStr">
        <is>
          <t>Đạt assertion same panel, explicit confirm returns original item; chạy 2026-10-27; evidence/test-medication.log.</t>
        </is>
      </c>
      <c r="H38" s="7" t="inlineStr">
        <is>
          <t>Pass</t>
        </is>
      </c>
      <c r="I38" s="8" t="inlineStr">
        <is>
          <t>Task 4.16: AC1 · Chuyển trạng thái · same panel, explicit confirm returns original item · evidence/test-medication.log</t>
        </is>
      </c>
    </row>
    <row r="39" ht="107" customHeight="1">
      <c r="A39" s="7" t="inlineStr">
        <is>
          <t>TC-MEDPICK-31</t>
        </is>
      </c>
      <c r="B39" s="7" t="inlineStr">
        <is>
          <t>Giữ thứ tự, định danh và hàm lượng khi trùng tên</t>
        </is>
      </c>
      <c r="C39" s="8" t="inlineStr">
        <is>
          <t>Bản debug preview DrugTime; mở Thêm thuốc mới → Mẫu · Xem thử chọn và xác nhận thuốc. Test tự động dùng fixture/harness tương ứng, không ảnh OCR hoặc dữ liệu người bệnh thật.</t>
        </is>
      </c>
      <c r="D39" s="8" t="inlineStr">
        <is>
          <t>1. Mở OCR · Có kết quả.
2. Đọc hai dòng cùng tên theo thứ tự.
3. Chọn dòng 250 mg; xác nhận.</t>
        </is>
      </c>
      <c r="E39" s="8" t="inlineStr">
        <is>
          <t>demo-500: 500 mg/Viên nén/viên; demo-250: 250 mg/Gói bột/gói</t>
        </is>
      </c>
      <c r="F39" s="8" t="inlineStr">
        <is>
          <t>500 mg trước 250 mg; kết quả demo-250 giữ nguyên metadata, không xếp hạng lại.</t>
        </is>
      </c>
      <c r="G39" s="8" t="inlineStr">
        <is>
          <t>Đạt assertion order, identity, tap only selects; confirm returns latest once; chạy 2026-10-27; evidence/test-medication.log.</t>
        </is>
      </c>
      <c r="H39" s="7" t="inlineStr">
        <is>
          <t>Pass</t>
        </is>
      </c>
      <c r="I39" s="8" t="inlineStr">
        <is>
          <t>Task 4.16: AC2 · EP (2) · order, identity, tap only selects; confirm returns latest once · evidence/test-medication.log</t>
        </is>
      </c>
    </row>
    <row r="40" ht="107" customHeight="1">
      <c r="A40" s="7" t="inlineStr">
        <is>
          <t>TC-MEDPICK-32</t>
        </is>
      </c>
      <c r="B40" s="7" t="inlineStr">
        <is>
          <t>Chặn xác nhận khi chưa chọn thuốc</t>
        </is>
      </c>
      <c r="C40" s="8" t="inlineStr">
        <is>
          <t>Bản debug preview DrugTime; mở Thêm thuốc mới → Mẫu · Xem thử chọn và xác nhận thuốc. Test tự động dùng fixture/harness tương ứng, không ảnh OCR hoặc dữ liệu người bệnh thật.</t>
        </is>
      </c>
      <c r="D40" s="8" t="inlineStr">
        <is>
          <t>1. Mở preset có kết quả.
2. Quan sát và thử nút Xác nhận thuốc trước khi chạm dòng.</t>
        </is>
      </c>
      <c r="E40" s="8" t="inlineStr">
        <is>
          <t>Hai ứng viên; selected=null</t>
        </is>
      </c>
      <c r="F40" s="8" t="inlineStr">
        <is>
          <t>Nút vô hiệu; không trả lựa chọn hay tạo thuốc.</t>
        </is>
      </c>
      <c r="G40" s="8" t="inlineStr">
        <is>
          <t>Đạt assertion order, identity, tap only selects; confirm returns latest once; chạy 2026-10-27; evidence/test-medication.log.</t>
        </is>
      </c>
      <c r="H40" s="7" t="inlineStr">
        <is>
          <t>Pass</t>
        </is>
      </c>
      <c r="I40" s="8" t="inlineStr">
        <is>
          <t>Task 4.16: AC3 · Decision Table Cho phép xác nhận (R2) · order, identity, tap only selects; confirm returns latest once · evidence/test-medication.log</t>
        </is>
      </c>
    </row>
    <row r="41" ht="107" customHeight="1">
      <c r="A41" s="7" t="inlineStr">
        <is>
          <t>TC-MEDPICK-33</t>
        </is>
      </c>
      <c r="B41" s="7" t="inlineStr">
        <is>
          <t>Chỉ cập nhật xem lại khi chạm dòng</t>
        </is>
      </c>
      <c r="C41" s="8" t="inlineStr">
        <is>
          <t>Bản debug preview DrugTime; mở Thêm thuốc mới → Mẫu · Xem thử chọn và xác nhận thuốc. Test tự động dùng fixture/harness tương ứng, không ảnh OCR hoặc dữ liệu người bệnh thật.</t>
        </is>
      </c>
      <c r="D41" s="8" t="inlineStr">
        <is>
          <t>1. Mở OCR · Có kết quả.
2. Chạm dòng demo-500.
3. Đọc vùng Thông tin thuốc đã chọn; chưa bấm xác nhận.</t>
        </is>
      </c>
      <c r="E41" s="8" t="inlineStr">
        <is>
          <t>demo-500</t>
        </is>
      </c>
      <c r="F41" s="8" t="inlineStr">
        <is>
          <t>Hiện Tên thuốc/Hoạt chất/Hàm lượng/Dạng bào chế/Đơn vị; màn vẫn mở, caller chưa nhận kết quả.</t>
        </is>
      </c>
      <c r="G41" s="8" t="inlineStr">
        <is>
          <t>Đạt assertion same panel, explicit confirm returns original item; chạy 2026-10-27; evidence/test-medication.log.</t>
        </is>
      </c>
      <c r="H41" s="7" t="inlineStr">
        <is>
          <t>Pass</t>
        </is>
      </c>
      <c r="I41" s="8" t="inlineStr">
        <is>
          <t>Task 4.16: AC3 · Chuyển trạng thái chưa chọn → đã chọn · same panel, explicit confirm returns original item · evidence/test-medication.log</t>
        </is>
      </c>
    </row>
    <row r="42" ht="107" customHeight="1">
      <c r="A42" s="7" t="inlineStr">
        <is>
          <t>TC-MEDPICK-34</t>
        </is>
      </c>
      <c r="B42" s="7" t="inlineStr">
        <is>
          <t>Đổi lựa chọn và xác nhận một lần</t>
        </is>
      </c>
      <c r="C42" s="8" t="inlineStr">
        <is>
          <t>Bản debug preview DrugTime; mở Thêm thuốc mới → Mẫu · Xem thử chọn và xác nhận thuốc. Test tự động dùng fixture/harness tương ứng, không ảnh OCR hoặc dữ liệu người bệnh thật.</t>
        </is>
      </c>
      <c r="D42" s="8" t="inlineStr">
        <is>
          <t>1. Chọn demo-500.
2. Cuộn xuống và chọn demo-250.
3. Bấm Xác nhận thuốc hai lần liên tiếp.</t>
        </is>
      </c>
      <c r="E42" s="8" t="inlineStr">
        <is>
          <t>500 mg → 250 mg</t>
        </is>
      </c>
      <c r="F42" s="8" t="inlineStr">
        <is>
          <t>Chỉ trả demo-250 một lần; khóa callback xác nhận lặp.</t>
        </is>
      </c>
      <c r="G42" s="8" t="inlineStr">
        <is>
          <t>Đạt assertion order, identity, tap only selects; confirm returns latest once; chạy 2026-10-27; evidence/test-medication.log.</t>
        </is>
      </c>
      <c r="H42" s="7" t="inlineStr">
        <is>
          <t>Pass</t>
        </is>
      </c>
      <c r="I42" s="8" t="inlineStr">
        <is>
          <t>Task 4.16: AC3, AC4 · Decision Table Cho phép xác nhận (R3); đoán lỗi double tap · order, identity, tap only selects; confirm returns latest once · evidence/test-medication.log</t>
        </is>
      </c>
    </row>
    <row r="43" ht="107" customHeight="1">
      <c r="A43" s="7" t="inlineStr">
        <is>
          <t>TC-MEDPICK-35</t>
        </is>
      </c>
      <c r="B43" s="7" t="inlineStr">
        <is>
          <t>Hủy lựa chọn từ cả hai nguồn</t>
        </is>
      </c>
      <c r="C43" s="8" t="inlineStr">
        <is>
          <t>Bản debug preview DrugTime; mở Thêm thuốc mới → Mẫu · Xem thử chọn và xác nhận thuốc. Test tự động dùng fixture/harness tương ứng, không ảnh OCR hoặc dữ liệu người bệnh thật.</t>
        </is>
      </c>
      <c r="D43" s="8" t="inlineStr">
        <is>
          <t>1. Mở lần lượt OCR/Tìm kiếm · Có kết quả.
2. Chọn một dòng; bấm Hủy.
3. Kiểm caller không nhận thuốc.</t>
        </is>
      </c>
      <c r="E43" s="8" t="inlineStr">
        <is>
          <t>Hai nguồn, demo-500</t>
        </is>
      </c>
      <c r="F43" s="8" t="inlineStr">
        <is>
          <t>Trả null; không biến chọn tạm thành xác nhận.</t>
        </is>
      </c>
      <c r="G43" s="8" t="inlineStr">
        <is>
          <t>Đạt assertion cancel returns null; chạy 2026-10-27; evidence/test-medication.log.</t>
        </is>
      </c>
      <c r="H43" s="7" t="inlineStr">
        <is>
          <t>Pass</t>
        </is>
      </c>
      <c r="I43" s="8" t="inlineStr">
        <is>
          <t>Task 4.16: AC4 · Chuyển trạng thái đã chọn → hủy · cancel returns null · evidence/test-medication.log</t>
        </is>
      </c>
    </row>
    <row r="44" ht="107" customHeight="1">
      <c r="A44" s="7" t="inlineStr">
        <is>
          <t>TC-MEDPICK-36</t>
        </is>
      </c>
      <c r="B44" s="7" t="inlineStr">
        <is>
          <t>Dùng Back sau khi chọn từ cả hai nguồn</t>
        </is>
      </c>
      <c r="C44" s="8" t="inlineStr">
        <is>
          <t>Bản debug preview DrugTime; mở Thêm thuốc mới → Mẫu · Xem thử chọn và xác nhận thuốc. Test tự động dùng fixture/harness tương ứng, không ảnh OCR hoặc dữ liệu người bệnh thật.</t>
        </is>
      </c>
      <c r="D44" s="8" t="inlineStr">
        <is>
          <t>1. Mở lần lượt hai nguồn có kết quả.
2. Chọn demo-500 rồi dùng Back.
3. Kiểm kết quả caller.</t>
        </is>
      </c>
      <c r="E44" s="8" t="inlineStr">
        <is>
          <t>System Back</t>
        </is>
      </c>
      <c r="F44" s="8" t="inlineStr">
        <is>
          <t>Trả null, không xác nhận/lưu.</t>
        </is>
      </c>
      <c r="G44" s="8" t="inlineStr">
        <is>
          <t>Đạt assertion system Back returns null; chạy 2026-10-27; evidence/test-medication.log.</t>
        </is>
      </c>
      <c r="H44" s="7" t="inlineStr">
        <is>
          <t>Pass</t>
        </is>
      </c>
      <c r="I44" s="8" t="inlineStr">
        <is>
          <t>Task 4.16: AC4 · Chuyển trạng thái đã chọn → Back · system Back returns null · evidence/test-medication.log</t>
        </is>
      </c>
    </row>
    <row r="45" ht="107" customHeight="1">
      <c r="A45" s="7" t="inlineStr">
        <is>
          <t>TC-MEDPICK-37</t>
        </is>
      </c>
      <c r="B45" s="7" t="inlineStr">
        <is>
          <t>Tìm thủ công từ OCR rỗng và trả đúng caller</t>
        </is>
      </c>
      <c r="C45" s="8" t="inlineStr">
        <is>
          <t>Bản debug preview DrugTime; mở Thêm thuốc mới → Mẫu · Xem thử chọn và xác nhận thuốc. Test tự động dùng fixture/harness tương ứng, không ảnh OCR hoặc dữ liệu người bệnh thật.</t>
        </is>
      </c>
      <c r="D45" s="8" t="inlineStr">
        <is>
          <t>1. Mở OCR · Không có kết quả.
2. Bấm Tìm kiếm thủ công; nhập Paracetamol.
3. Chọn dòng 250 mg; bấm Xác nhận thuốc.</t>
        </is>
      </c>
      <c r="E45" s="8" t="inlineStr">
        <is>
          <t>items=[] → q=Paracetamol → demo-250</t>
        </is>
      </c>
      <c r="F45" s="8" t="inlineStr">
        <is>
          <t>Không tự chọn khi rỗng; sau confirm đóng sheet/màn gốc, caller nhận đúng một demo-250.</t>
        </is>
      </c>
      <c r="G45" s="8" t="inlineStr">
        <is>
          <t>Đạt assertion ocr empty manual search confirm reaches original caller once; chạy 2026-10-27; evidence/test-medication.log.</t>
        </is>
      </c>
      <c r="H45" s="7" t="inlineStr">
        <is>
          <t>Pass</t>
        </is>
      </c>
      <c r="I45" s="8" t="inlineStr">
        <is>
          <t>Task 4.16: AC5 · Decision Table Cho phép xác nhận (R1); chuyển trạng thái · ocr empty manual search confirm reaches original caller once · evidence/test-medication.log</t>
        </is>
      </c>
    </row>
    <row r="46" ht="107" customHeight="1">
      <c r="A46" s="7" t="inlineStr">
        <is>
          <t>TC-MEDPICK-38</t>
        </is>
      </c>
      <c r="B46" s="7" t="inlineStr">
        <is>
          <t>Sửa từ khóa ngay trong sheet khi tìm rỗng</t>
        </is>
      </c>
      <c r="C46" s="8" t="inlineStr">
        <is>
          <t>Bản debug preview DrugTime; mở Thêm thuốc mới → Mẫu · Xem thử chọn và xác nhận thuốc. Test tự động dùng fixture/harness tương ứng, không ảnh OCR hoặc dữ liệu người bệnh thật.</t>
        </is>
      </c>
      <c r="D46" s="8" t="inlineStr">
        <is>
          <t>1. Mở Tìm kiếm · Không có kết quả.
2. Tìm thủ công; nhập unknown.
3. Bấm Tìm kiếm thủ công một lần nữa; thay từ khóa.</t>
        </is>
      </c>
      <c r="E46" s="8" t="inlineStr">
        <is>
          <t>unknown → Paracetamol</t>
        </is>
      </c>
      <c r="F46" s="8" t="inlineStr">
        <is>
          <t>Chỉ một sheet; focus và chọn nội dung ô nhập hiện tại; cho tìm lại, không tới Admin hay tạo thuốc ngoài danh mục.</t>
        </is>
      </c>
      <c r="G46" s="8" t="inlineStr">
        <is>
          <t>Đạt assertion empty action focuses and selects current query on same route; chạy 2026-10-27; evidence/test-medication.log.</t>
        </is>
      </c>
      <c r="H46" s="7" t="inlineStr">
        <is>
          <t>Pass</t>
        </is>
      </c>
      <c r="I46" s="8" t="inlineStr">
        <is>
          <t>Task 4.16: AC6 · Decision Table Kết quả tìm kiếm (R2) · empty action focuses and selects current query on same route · evidence/test-medication.log</t>
        </is>
      </c>
    </row>
    <row r="47" ht="107" customHeight="1">
      <c r="A47" s="7" t="inlineStr">
        <is>
          <t>TC-MEDPICK-39</t>
        </is>
      </c>
      <c r="B47" s="7" t="inlineStr">
        <is>
          <t>Lặp tìm rỗng, hủy sheet rồi tìm lại</t>
        </is>
      </c>
      <c r="C47" s="8" t="inlineStr">
        <is>
          <t>Bản debug preview DrugTime; mở Thêm thuốc mới → Mẫu · Xem thử chọn và xác nhận thuốc. Test tự động dùng fixture/harness tương ứng, không ảnh OCR hoặc dữ liệu người bệnh thật.</t>
        </is>
      </c>
      <c r="D47" s="8" t="inlineStr">
        <is>
          <t>1. Mở preset rỗng.
2. Hai lần mở tìm thủ công, nhập no-match, bấm tìm lại và dùng Back đóng sheet.
3. Hủy màn gốc.</t>
        </is>
      </c>
      <c r="E47" s="8" t="inlineStr">
        <is>
          <t>no-match, lặp 2 lần; cả OCR/search</t>
        </is>
      </c>
      <c r="F47" s="8" t="inlineStr">
        <is>
          <t>Sheet không lồng vô hạn; Back về màn gốc; hủy trả null.</t>
        </is>
      </c>
      <c r="G47" s="8" t="inlineStr">
        <is>
          <t>Đạt assertion repeated no-result focuses same field; cancel and retry; chạy 2026-10-27; evidence/test-medication.log.</t>
        </is>
      </c>
      <c r="H47" s="7" t="inlineStr">
        <is>
          <t>Pass</t>
        </is>
      </c>
      <c r="I47" s="8" t="inlineStr">
        <is>
          <t>Task 4.16: AC5, AC6 · Chuyển trạng thái empty → search → empty → cancel · repeated no-result focuses same field; cancel and retry · evidence/test-medication.log</t>
        </is>
      </c>
    </row>
    <row r="48" ht="107" customHeight="1">
      <c r="A48" s="7" t="inlineStr">
        <is>
          <t>TC-MEDPICK-40</t>
        </is>
      </c>
      <c r="B48" s="7" t="inlineStr">
        <is>
          <t>Xóa lựa chọn khi thay ứng viên hoặc metadata</t>
        </is>
      </c>
      <c r="C48" s="8" t="inlineStr">
        <is>
          <t>Bản debug preview DrugTime; mở Thêm thuốc mới → Mẫu · Xem thử chọn và xác nhận thuốc. Test tự động dùng fixture/harness tương ứng, không ảnh OCR hoặc dữ liệu người bệnh thật.</t>
        </is>
      </c>
      <c r="D48" s="8" t="inlineStr">
        <is>
          <t>1. Trong harness panel chọn A.
2. Thay danh sách bằng cùng id nhưng strength=Mới.
3. Chọn lại, rồi thay bằng danh sách rỗng.</t>
        </is>
      </c>
      <c r="E48" s="8" t="inlineStr">
        <is>
          <t>id giữ nguyên; strength cũ → Mới → items=[]</t>
        </is>
      </c>
      <c r="F48" s="8" t="inlineStr">
        <is>
          <t>Xóa vùng xem lại/lựa chọn mỗi lần thay; không confirm object cũ, kể cả cùng ID.</t>
        </is>
      </c>
      <c r="G48" s="8" t="inlineStr">
        <is>
          <t>Đạt assertion replacement, empty and same id changed metadata clear selection; chạy 2026-10-27; evidence/test-medication.log.</t>
        </is>
      </c>
      <c r="H48" s="7" t="inlineStr">
        <is>
          <t>Pass</t>
        </is>
      </c>
      <c r="I48" s="8" t="inlineStr">
        <is>
          <t>Task 4.16: AC7 · Decision Table Cho phép xác nhận (R4) · replacement, empty and same id changed metadata clear selection · evidence/test-medication.log</t>
        </is>
      </c>
    </row>
    <row r="49" ht="107" customHeight="1">
      <c r="A49" s="7" t="inlineStr">
        <is>
          <t>TC-MEDPICK-41</t>
        </is>
      </c>
      <c r="B49" s="7" t="inlineStr">
        <is>
          <t>Bỏ lựa chọn ngay khi đổi query và bỏ phản hồi cũ</t>
        </is>
      </c>
      <c r="C49" s="8" t="inlineStr">
        <is>
          <t>Bản debug preview DrugTime; mở Thêm thuốc mới → Mẫu · Xem thử chọn và xác nhận thuốc. Test tự động dùng fixture/harness tương ứng, không ảnh OCR hoặc dữ liệu người bệnh thật.</t>
        </is>
      </c>
      <c r="D49" s="8" t="inlineStr">
        <is>
          <t>1. Tìm A và chọn current.
2. Đổi B rồi A; trả new-current trước stale.
3. Quan sát nút và vùng xem lại.</t>
        </is>
      </c>
      <c r="E49" s="8" t="inlineStr">
        <is>
          <t>A → B → A; response đảo thứ tự</t>
        </is>
      </c>
      <c r="F49" s="8" t="inlineStr">
        <is>
          <t>Không còn lựa chọn cũ; stale không phục hồi lựa chọn; phải chọn lại.</t>
        </is>
      </c>
      <c r="G49" s="8" t="inlineStr">
        <is>
          <t>Đạt assertion query change removes selection immediately; stale response cannot restore it; chạy 2026-10-27; evidence/test-medication.log.</t>
        </is>
      </c>
      <c r="H49" s="7" t="inlineStr">
        <is>
          <t>Pass</t>
        </is>
      </c>
      <c r="I49" s="8" t="inlineStr">
        <is>
          <t>Task 4.16: AC7 · Chuyển trạng thái selected → loading; đoán lỗi race · query change removes selection immediately; stale response cannot restore it · evidence/test-medication.log</t>
        </is>
      </c>
    </row>
    <row r="50" ht="107" customHeight="1">
      <c r="A50" s="7" t="inlineStr">
        <is>
          <t>TC-MEDPICK-42</t>
        </is>
      </c>
      <c r="B50" s="7" t="inlineStr">
        <is>
          <t>Hiện trung thực metadata thiếu</t>
        </is>
      </c>
      <c r="C50" s="8" t="inlineStr">
        <is>
          <t>Bản debug preview DrugTime; mở Thêm thuốc mới → Mẫu · Xem thử chọn và xác nhận thuốc. Test tự động dùng fixture/harness tương ứng, không ảnh OCR hoặc dữ liệu người bệnh thật.</t>
        </is>
      </c>
      <c r="D50" s="8" t="inlineStr">
        <is>
          <t>1. Mở Thiếu thông tin.
2. Chạm dòng; đọc từng thuộc tính và xác nhận trong harness panel.</t>
        </is>
      </c>
      <c r="E50" s="8" t="inlineStr">
        <is>
          <t>demo-missing; hoạt chất/hàm lượng/dạng/đơn vị đều rỗng</t>
        </is>
      </c>
      <c r="F50" s="8" t="inlineStr">
        <is>
          <t>Chưa có thông tin; không null/crash, không bịa 500 mg hay đơn vị viên và không quy đổi.</t>
        </is>
      </c>
      <c r="G50" s="8" t="inlineStr">
        <is>
          <t>Đạt assertion missing fields are unknown without fabricated unit or strength; chạy 2026-10-27; evidence/test-medication.log.</t>
        </is>
      </c>
      <c r="H50" s="7" t="inlineStr">
        <is>
          <t>Pass</t>
        </is>
      </c>
      <c r="I50" s="8" t="inlineStr">
        <is>
          <t>Task 4.16: AC8 · EP (2) · missing fields are unknown without fabricated unit or strength · evidence/test-medication.log</t>
        </is>
      </c>
    </row>
    <row r="51" ht="107" customHeight="1">
      <c r="A51" s="7" t="inlineStr">
        <is>
          <t>TC-MEDPICK-43</t>
        </is>
      </c>
      <c r="B51" s="7" t="inlineStr">
        <is>
          <t>Cuộn danh sách dài và xem lại ở sáu cấu hình</t>
        </is>
      </c>
      <c r="C51" s="8" t="inlineStr">
        <is>
          <t>Bản debug preview DrugTime; mở Thêm thuốc mới → Mẫu · Xem thử chọn và xác nhận thuốc. Test tự động dùng fixture/harness tương ứng, không ảnh OCR hoặc dữ liệu người bệnh thật.</t>
        </is>
      </c>
      <c r="D51" s="8" t="inlineStr">
        <is>
          <t>1. Trong harness đặt lần lượt 320×568 và 375×812, scale 1/1.5/2.
2. Mở Tên dài và danh sách dài; cuộn dòng cuối.
3. Chọn dòng 29; xem lại và xác nhận.</t>
        </is>
      </c>
      <c r="E51" s="8" t="inlineStr">
        <is>
          <t>30 ứng viên; demo-long-29</t>
        </is>
      </c>
      <c r="F51" s="8" t="inlineStr">
        <is>
          <t>Đọc/cuộn/xác nhận được; trả đúng dòng cuối, không exception layout.</t>
        </is>
      </c>
      <c r="G51" s="8" t="inlineStr">
        <is>
          <t>Đạt assertion long list/name; chạy 2026-10-27; evidence/test-medication.log.</t>
        </is>
      </c>
      <c r="H51" s="7" t="inlineStr">
        <is>
          <t>Pass</t>
        </is>
      </c>
      <c r="I51" s="8" t="inlineStr">
        <is>
          <t>Task 4.16: AC10 · BVA danh sách dài; ma trận kích thước/chữ · long list/name · evidence/test-medication.log</t>
        </is>
      </c>
    </row>
    <row r="52" ht="107" customHeight="1">
      <c r="A52" s="7" t="inlineStr">
        <is>
          <t>TC-MEDPICK-44</t>
        </is>
      </c>
      <c r="B52" s="7" t="inlineStr">
        <is>
          <t>Giữ nút và semantics khi có bàn phím</t>
        </is>
      </c>
      <c r="C52" s="8" t="inlineStr">
        <is>
          <t>Bản debug preview DrugTime; mở Thêm thuốc mới → Mẫu · Xem thử chọn và xác nhận thuốc. Test tự động dùng fixture/harness tương ứng, không ảnh OCR hoặc dữ liệu người bệnh thật.</t>
        </is>
      </c>
      <c r="D52" s="8" t="inlineStr">
        <is>
          <t>1. Trong harness mở sheet với inset 220, hai kích thước và scale 1/1.5/2.
2. Tìm tên dài; chọn dòng.
3. Kiểm nhãn selected/button/enabled và nút xác nhận.</t>
        </is>
      </c>
      <c r="E52" s="8" t="inlineStr">
        <is>
          <t>320×568/375×812; 6 tổ hợp</t>
        </is>
      </c>
      <c r="F52" s="8" t="inlineStr">
        <is>
          <t>Không overflow; nút chạm được, semantics có nhãn và trạng thái chọn/khả dụng.</t>
        </is>
      </c>
      <c r="G52" s="8" t="inlineStr">
        <is>
          <t>Đạt assertion keyboard selection and semantics; semantics labels selected state and enabled confirm; chạy 2026-10-27; evidence/test-medication.log.</t>
        </is>
      </c>
      <c r="H52" s="7" t="inlineStr">
        <is>
          <t>Pass</t>
        </is>
      </c>
      <c r="I52" s="8" t="inlineStr">
        <is>
          <t>Task 4.16: AC10 · Ma trận layout và accessibility · keyboard selection and semantics; semantics labels selected state and enabled confirm · evidence/test-medication.log</t>
        </is>
      </c>
    </row>
    <row r="53" ht="107" customHeight="1">
      <c r="A53" s="7" t="inlineStr">
        <is>
          <t>TC-MEDPICK-45</t>
        </is>
      </c>
      <c r="B53" s="7" t="inlineStr">
        <is>
          <t>Đặt ô tìm và nút xác nhận trên bàn phím modal</t>
        </is>
      </c>
      <c r="C53" s="8" t="inlineStr">
        <is>
          <t>Bản debug preview DrugTime; mở Thêm thuốc mới → Mẫu · Xem thử chọn và xác nhận thuốc. Test tự động dùng fixture/harness tương ứng, không ảnh OCR hoặc dữ liệu người bệnh thật.</t>
        </is>
      </c>
      <c r="D53" s="8" t="inlineStr">
        <is>
          <t>1. Mở helper showDrugCatalogSheet ở 320×568, scale 2, inset 220.
2. Tìm modal; chọn và xác nhận.</t>
        </is>
      </c>
      <c r="E53" s="8" t="inlineStr">
        <is>
          <t>modal-item</t>
        </is>
      </c>
      <c r="F53" s="8" t="inlineStr">
        <is>
          <t>Đáy ô tìm và nút ≤348; trả đúng modal-item, không exception.</t>
        </is>
      </c>
      <c r="G53" s="8" t="inlineStr">
        <is>
          <t>Đạt assertion modal host places query and confirm above the keyboard; chạy 2026-10-27; evidence/test-medication.log.</t>
        </is>
      </c>
      <c r="H53" s="7" t="inlineStr">
        <is>
          <t>Pass</t>
        </is>
      </c>
      <c r="I53" s="8" t="inlineStr">
        <is>
          <t>Task 4.16: AC10 · BVA viewport · modal host places query and confirm above the keyboard · evidence/test-medication.log</t>
        </is>
      </c>
    </row>
    <row r="54" ht="123.5" customHeight="1">
      <c r="A54" s="7" t="inlineStr">
        <is>
          <t>TC-MEDPICK-46</t>
        </is>
      </c>
      <c r="B54" s="7" t="inlineStr">
        <is>
          <t>Chạy bốn preset offline và không lưu thuốc</t>
        </is>
      </c>
      <c r="C54" s="8" t="inlineStr">
        <is>
          <t>Bản debug preview DrugTime; mở Thêm thuốc mới → Mẫu · Xem thử chọn và xác nhận thuốc. Test tự động dùng fixture/harness tương ứng, không ảnh OCR hoặc dữ liệu người bệnh thật.</t>
        </is>
      </c>
      <c r="D54" s="8" t="inlineStr">
        <is>
          <t>1. Trong harness chặn mọi HttpClient ngoài dự kiến; gắn spy lưu.
2. Đi hết bốn preset, gồm no-result → tìm tay → confirm.
3. Mở Thiếu thông tin và hủy.</t>
        </is>
      </c>
      <c r="E54" s="8" t="inlineStr">
        <is>
          <t>OCR/search × có/rỗng; fixture tổng hợp</t>
        </is>
      </c>
      <c r="F54" s="8" t="inlineStr">
        <is>
          <t>Không HTTP/lưu; spy add=0; kết quả chỉ ở demo; không ảnh OCR hay dữ liệu người bệnh.</t>
        </is>
      </c>
      <c r="G54" s="8" t="inlineStr">
        <is>
          <t>Đạt assertion four presets run offline; manual search and result stay in demo; chạy 2026-10-27; evidence/test-medication.log.</t>
        </is>
      </c>
      <c r="H54" s="7" t="inlineStr">
        <is>
          <t>Pass</t>
        </is>
      </c>
      <c r="I54" s="8" t="inlineStr">
        <is>
          <t>Task 4.16: AC1, AC5, AC6, AC9 · Decision Table Kết quả tìm kiếm (R1,R2); đoán lỗi side effect · four presets run offline; manual search and result stay in demo · evidence/test-medication.log</t>
        </is>
      </c>
    </row>
    <row r="55" ht="107" customHeight="1">
      <c r="A55" s="7" t="inlineStr">
        <is>
          <t>TC-MEDPICK-47</t>
        </is>
      </c>
      <c r="B55" s="7" t="inlineStr">
        <is>
          <t>Chặn route demo khi không có preview</t>
        </is>
      </c>
      <c r="C55" s="8" t="inlineStr">
        <is>
          <t>Bản debug preview DrugTime; mở Thêm thuốc mới → Mẫu · Xem thử chọn và xác nhận thuốc. Test tự động dùng fixture/harness tương ứng, không ảnh OCR hoặc dữ liệu người bệnh thật.</t>
        </is>
      </c>
      <c r="D55" s="8" t="inlineStr">
        <is>
          <t>1. Trong harness gọi /medications/selection-demo lần lượt preview=true và false.
2. Quan sát màn kết quả.</t>
        </is>
      </c>
      <c r="E55" s="8" t="inlineStr">
        <is>
          <t>Debug, preview=true/false</t>
        </is>
      </c>
      <c r="F55" s="8" t="inlineStr">
        <is>
          <t>True cho demo; false hiện Bản xem thử không khả dụng; gate còn yêu cầu kDebugMode (chưa chạy binary release).</t>
        </is>
      </c>
      <c r="G55" s="8" t="inlineStr">
        <is>
          <t>Đạt assertion demo route requires preview and debug; chạy 2026-10-27; evidence/test-medication.log.</t>
        </is>
      </c>
      <c r="H55" s="7" t="inlineStr">
        <is>
          <t>Pass</t>
        </is>
      </c>
      <c r="I55" s="8" t="inlineStr">
        <is>
          <t>Task 4.16: AC9 · Bảng quyết định preview true/false · demo route requires preview and debug · evidence/test-medication.log</t>
        </is>
      </c>
    </row>
    <row r="56" ht="107" customHeight="1">
      <c r="A56" s="7" t="inlineStr">
        <is>
          <t>TC-MEDPICK-48</t>
        </is>
      </c>
      <c r="B56" s="7" t="inlineStr">
        <is>
          <t>Giữ nguyên thuốc và thông tin sử dụng khi hủy</t>
        </is>
      </c>
      <c r="C56" s="8" t="inlineStr">
        <is>
          <t>Bản debug preview DrugTime; mở Thêm thuốc mới → Mẫu · Xem thử chọn và xác nhận thuốc. Test tự động dùng fixture/harness tương ứng, không ảnh OCR hoặc dữ liệu người bệnh thật.</t>
        </is>
      </c>
      <c r="D56" s="8" t="inlineStr">
        <is>
          <t>1. Chọn và xác nhận Amlodipin; tăng liều 2, tần suất 3 lần/ngày.
2. Mở sheet, chọn Losartan nhưng Back.
3. Mở lại và xác nhận Losartan; kiểm form.</t>
        </is>
      </c>
      <c r="E56" s="8" t="inlineStr">
        <is>
          <t>amlodipin-5 → tạm losartan-50 → hủy → xác nhận</t>
        </is>
      </c>
      <c r="F56" s="8" t="inlineStr">
        <is>
          <t>Hủy vẫn Amlodipin; chỉ confirm mới đổi Losartan; liều/giờ/tần suất giữ đúng.</t>
        </is>
      </c>
      <c r="G56" s="8" t="inlineStr">
        <is>
          <t>Đạt assertion 3.05: hủy/chọn lại giữ dữ liệu sử dụng, chưa tự lưu và đúng catalog id; chạy 2026-10-27; evidence/test-medication.log.</t>
        </is>
      </c>
      <c r="H56" s="7" t="inlineStr">
        <is>
          <t>Pass</t>
        </is>
      </c>
      <c r="I56" s="8" t="inlineStr">
        <is>
          <t>Task 4.16: AC4, AC9 · Chuyển trạng thái form → chọn tạm → hủy · 3.05: hủy/chọn lại giữ dữ liệu sử dụng, chưa tự lưu và đúng catalog id · evidence/test-medication.log</t>
        </is>
      </c>
    </row>
    <row r="57" ht="123.5" customHeight="1">
      <c r="A57" s="7" t="inlineStr">
        <is>
          <t>TC-MEDPICK-49</t>
        </is>
      </c>
      <c r="B57" s="7" t="inlineStr">
        <is>
          <t>Giữ bước Lưu và validation tại form</t>
        </is>
      </c>
      <c r="C57" s="8" t="inlineStr">
        <is>
          <t>Bản debug preview DrugTime; mở Thêm thuốc mới → Mẫu · Xem thử chọn và xác nhận thuốc. Test tự động dùng fixture/harness tương ứng, không ảnh OCR hoặc dữ liệu người bệnh thật.</t>
        </is>
      </c>
      <c r="D57" s="8" t="inlineStr">
        <is>
          <t>1. Chọn thuốc, xem lại, confirm; kiểm spy add=0.
2. Thử lưu khi chưa chọn hoặc thiếu giờ theo test form.
3. Chỉ sau nút Lưu hợp lệ kiểm payload.</t>
        </is>
      </c>
      <c r="E57" s="8" t="inlineStr">
        <is>
          <t>catalog id đúng; liều 2; 3 lần/ngày</t>
        </is>
      </c>
      <c r="F57" s="8" t="inlineStr">
        <is>
          <t>Confirm không lưu thuốc/lịch; form vẫn kiểm liều/giờ; add chỉ ở Lưu, không đổi endpoint.</t>
        </is>
      </c>
      <c r="G57" s="8" t="inlineStr">
        <is>
          <t>Đạt assertion medication_screens_test.dart: bắt chọn thuốc trước khi lưu; hủy/chọn lại giữ dữ liệu sử dụng; chạy 2026-10-27; evidence/test-medication.log.</t>
        </is>
      </c>
      <c r="H57" s="7" t="inlineStr">
        <is>
          <t>Pass</t>
        </is>
      </c>
      <c r="I57" s="8" t="inlineStr">
        <is>
          <t>Task 4.16: AC3, AC9 · Chuyển trạng thái selected → confirmed → save · medication_screens_test.dart: bắt chọn thuốc trước khi lưu; hủy/chọn lại giữ dữ liệu sử dụng · evidence/test-medication.log</t>
        </is>
      </c>
    </row>
    <row r="58" ht="123.5" customHeight="1">
      <c r="A58" s="7" t="inlineStr">
        <is>
          <t>TC-MEDPICK-50</t>
        </is>
      </c>
      <c r="B58" s="7" t="inlineStr">
        <is>
          <t>Đi hết bốn preset trên Android thật</t>
        </is>
      </c>
      <c r="C58" s="8" t="inlineStr">
        <is>
          <t>Bản debug preview DrugTime; mở Thêm thuốc mới → Mẫu · Xem thử chọn và xác nhận thuốc. Test tự động dùng fixture/harness tương ứng, không ảnh OCR hoặc dữ liệu người bệnh thật.</t>
        </is>
      </c>
      <c r="D58" s="8" t="inlineStr">
        <is>
          <t>1. Kết nối LM G710; chạy scratch/selection_device_test.dart bằng Flutter drive.
2. Chạy OCR/search có/rỗng, chọn 500→250 mg, confirm.
3. Kiểm no-result→gõ lại, Back/Hủy và thiếu thông tin.</t>
        </is>
      </c>
      <c r="E58" s="8" t="inlineStr">
        <is>
          <t>Android 13, font 1.0, bàn phím thật</t>
        </is>
      </c>
      <c r="F58" s="8" t="inlineStr">
        <is>
          <t>Mọi preset trả demo-250; bàn phím inset &gt;0; CTA ở trên bàn phím; Back/Hủy không confirm.</t>
        </is>
      </c>
      <c r="G58" s="8" t="inlineStr">
        <is>
          <t>Chạy Android 13 LM G710 thật ngày 2026-10-27: 4 preset, đổi 500→250 mg, tìm tay, bàn phím thật, Back/Hủy, metadata thiếu và dòng 29 đều đạt; evidence/test-android-normal-v5.log. Đây là tự động trên thiết bị; TC-52 vẫn cần người kiểm.</t>
        </is>
      </c>
      <c r="H58" s="7" t="inlineStr">
        <is>
          <t>Pass</t>
        </is>
      </c>
      <c r="I58" s="8" t="inlineStr">
        <is>
          <t>Task 4.16: AC10, AC11 · Thiết bị thật; tự động, chưa thay đánh giá cảm nhận bằng tay · 4.16 Android: four presets, keyboard, Back, missing and long list · evidence/test-android-normal-v5.log</t>
        </is>
      </c>
    </row>
    <row r="59" ht="189.5" customHeight="1">
      <c r="A59" s="7" t="inlineStr">
        <is>
          <t>TC-MEDPICK-51</t>
        </is>
      </c>
      <c r="B59" s="7" t="inlineStr">
        <is>
          <t>Đọc vùng xem lại ở màn nhỏ, chữ lớn khi bàn phím mở</t>
        </is>
      </c>
      <c r="C59" s="8" t="inlineStr">
        <is>
          <t>Bản debug preview DrugTime; mở Thêm thuốc mới → Mẫu · Xem thử chọn và xác nhận thuốc. Test tự động dùng fixture/harness tương ứng, không ảnh OCR hoặc dữ liệu người bệnh thật.</t>
        </is>
      </c>
      <c r="D59" s="8"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E59" s="8" t="inlineStr">
        <is>
          <t>LM G710 Android 13; wm 720×1280, density 320, font 1.5</t>
        </is>
      </c>
      <c r="F59" s="8"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G59" s="8"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H59" s="7" t="inlineStr">
        <is>
          <t>Fail</t>
        </is>
      </c>
      <c r="I59" s="8" t="inlineStr">
        <is>
          <t>Task 4.16: AC10, AC11 · BVA viewport/chữ/bàn phím thật · REGRESSION AC10/AC11 · evidence/test-android-large-regression-v2.log · BUG-MEDPICK-51 · Lỗi đã biết được người dùng chấp nhận, hoãn sửa (2026-10-28)</t>
        </is>
      </c>
    </row>
    <row r="60" ht="189.5" customHeight="1">
      <c r="A60" s="7" t="inlineStr">
        <is>
          <t>TC-MEDPICK-52</t>
        </is>
      </c>
      <c r="B60" s="7" t="inlineStr">
        <is>
          <t>Đánh giá tiếng Việt, chạm/cuộn và TalkBack bằng tay</t>
        </is>
      </c>
      <c r="C60" s="8" t="inlineStr">
        <is>
          <t>Bản debug preview DrugTime; mở Thêm thuốc mới → Mẫu · Xem thử chọn và xác nhận thuốc. Test tự động dùng fixture/harness tương ứng, không ảnh OCR hoặc dữ liệu người bệnh thật.</t>
        </is>
      </c>
      <c r="D60" s="8" t="inlineStr">
        <is>
          <t>1. Người kiểm mở app debug preview trên Android.
2. Đi hai nguồn/no-result→tìm lại, Back/Hủy; nhận xét phân biệt chọn với xác nhận.
3. Kiểm vùng chạm, cuộn, bàn phím và đọc TalkBack nếu sẵn có; ghi phần chưa kiểm.</t>
        </is>
      </c>
      <c r="E60" s="8" t="inlineStr">
        <is>
          <t>Thiết bị thật; bốn preset, chữ lớn, danh sách dài</t>
        </is>
      </c>
      <c r="F60" s="8" t="inlineStr">
        <is>
          <t>Câu chữ dễ hiểu, điều khiển truy cập được; ghi rõ kết quả TalkBack và cảm nhận thực tế.</t>
        </is>
      </c>
      <c r="G60" s="8" t="inlineStr">
        <is>
          <t>2026-10-28: Người dùng kiểm trên LM G710 và xác nhận thao tác đạt; sau đó bổ sung nguyên văn: “talkback hoạt động bình thường”. TC-52 Pass gồm câu chữ/chọn/đổi/xem lại/xác nhận, hai nguồn/no-result→tìm lại, Back/Hủy, chạm/cuộn/bàn phím và TalkBack theo xác nhận người kiểm. Agent ghi nhận kết quả người dùng, không tự nhận đã thao tác TalkBack. Không đo riêng cấu hình màn/font trong lượt kiểm tay; không thay thế regression TC-28/51.</t>
        </is>
      </c>
      <c r="H60" s="7" t="inlineStr">
        <is>
          <t>Pass</t>
        </is>
      </c>
      <c r="I60" s="8" t="inlineStr">
        <is>
          <t>Task 4.16: AC11 · manual T21/T22 · Người dùng xác nhận thao tác và TalkBack đạt ngày 2026-10-28 · evidence/test-manual-selection.log</t>
        </is>
      </c>
    </row>
    <row r="61"/>
    <row r="62"/>
    <row r="63">
      <c r="G63" s="12" t="inlineStr">
        <is>
          <t>Pass</t>
        </is>
      </c>
      <c r="H63" s="13">
        <f>COUNTIF(H9:H60,"Pass")</f>
        <v/>
      </c>
    </row>
    <row r="64">
      <c r="G64" s="12" t="inlineStr">
        <is>
          <t>Fail</t>
        </is>
      </c>
      <c r="H64" s="13">
        <f>COUNTIF(H9:H60,"Fail")</f>
        <v/>
      </c>
    </row>
    <row r="65">
      <c r="G65" s="12" t="inlineStr">
        <is>
          <t>Pending</t>
        </is>
      </c>
      <c r="H65" s="13">
        <f>COUNTIF(H9:H60,"Pending")</f>
        <v/>
      </c>
    </row>
    <row r="66">
      <c r="G66" s="12" t="inlineStr">
        <is>
          <t>Total</t>
        </is>
      </c>
      <c r="H66" s="13">
        <f>SUM(H63:H65)</f>
        <v/>
      </c>
    </row>
  </sheetData>
  <autoFilter ref="A8:I60"/>
  <conditionalFormatting sqref="H9:H60">
    <cfRule type="cellIs" priority="1" operator="equal" dxfId="0">
      <formula>"Fail"</formula>
    </cfRule>
  </conditionalFormatting>
  <dataValidations count="1">
    <dataValidation sqref="H9:H60"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mục'!$H$63+'Hồi quy xác nhận liều'!$H$12+'Cảnh báo người thân'!$H$84+'FCM token Android'!$H$24+'Redeem flow E2E'!$H$34+'Lịch sử tuân thủ người thân'!$H$64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mục'!$H$64+'Hồi quy xác nhận liều'!$H$13+'Cảnh báo người thân'!$H$85+'FCM token Android'!$H$25+'Redeem flow E2E'!$H$35+'Lịch sử tuân thủ người thân'!$H$65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mục'!$H$65+'Hồi quy xác nhận liều'!$H$14+'Cảnh báo người thân'!$H$86+'FCM token Android'!$H$26+'Redeem flow E2E'!$H$36+'Lịch sử tuân thủ người thân'!$H$66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239" customHeight="1">
      <c r="A19" s="11" t="inlineStr">
        <is>
          <t>Tìm và chọn thuốc khi nhập thuốc</t>
        </is>
      </c>
      <c r="B19" s="10" t="inlineStr">
        <is>
          <t>UI chọn/xác nhận mock OCR 4.16; hồi quy tìm danh mục API/DB thật của 3.05; chưa tích hợp OCR 4.13/search 4.15.</t>
        </is>
      </c>
      <c r="C19" s="11" t="inlineStr">
        <is>
          <t>Chọn thuốc danh mục</t>
        </is>
      </c>
      <c r="D19" s="18">
        <f>IFERROR(('Chọn thuốc danh mục'!$H$66-'Chọn thuốc danh mục'!$H$65)/'Chọn thuốc danh mục'!$H$66,0)</f>
        <v/>
      </c>
      <c r="E19" s="18">
        <f>IFERROR('Chọn thuốc danh mục'!$H$63/'Chọn thuốc danh mục'!$H$66,0)</f>
        <v/>
      </c>
      <c r="F19" s="18">
        <f>IFERROR('Chọn thuốc danh mục'!$H$64/'Chọn thuốc danh mục'!$H$66,0)</f>
        <v/>
      </c>
      <c r="G19" s="11" t="inlineStr">
        <is>
          <t>High</t>
        </is>
      </c>
      <c r="H19" s="10" t="inlineStr">
        <is>
          <t>2026-10-28: 50 Pass, 2 Fail, 0 Pending. TC25/26/29: 43 pytest pass trên PostgreSQL local; TC27: 5 query Android + API/DB thật pass, không tạo bản ghi; TC52: người dùng xác nhận thao tác và TalkBack hoạt động bình thường. TC28 và TC51 cùng một lỗi layout màn nhỏ/chữ lớn. Các case khác giữ kết quả phiên 27/10; không coi là đã chạy lại hôm nay. 2026-10-28: người dùng chấp nhận lỗi layout Medium và hoãn sửa trong task 4.16; giữ Fail theo bằng chứng. Quyết định: evidence/test-layout-risk-acceptance.log.</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54">
      <c r="A54" s="19" t="inlineStr">
        <is>
          <t>Bug Report</t>
        </is>
      </c>
    </row>
    <row r="55">
      <c r="A55" s="20" t="inlineStr">
        <is>
          <t>Bug ID</t>
        </is>
      </c>
      <c r="B55" s="20" t="inlineStr">
        <is>
          <t>Description</t>
        </is>
      </c>
      <c r="C55" s="20" t="inlineStr">
        <is>
          <t>Steps to Reproduce</t>
        </is>
      </c>
      <c r="D55" s="20" t="inlineStr">
        <is>
          <t>Input Data</t>
        </is>
      </c>
      <c r="E55" s="20" t="inlineStr">
        <is>
          <t>Expected Result</t>
        </is>
      </c>
      <c r="F55" s="20" t="inlineStr">
        <is>
          <t>Actual Result</t>
        </is>
      </c>
      <c r="G55" s="20" t="inlineStr">
        <is>
          <t>Severity</t>
        </is>
      </c>
      <c r="H55" s="20" t="inlineStr">
        <is>
          <t>Name of Tester</t>
        </is>
      </c>
      <c r="I55" s="20" t="inlineStr">
        <is>
          <t>Logs</t>
        </is>
      </c>
    </row>
    <row r="56" ht="123.5" customHeight="1">
      <c r="A56" s="22" t="inlineStr">
        <is>
          <t>BUG-LOGIN-08</t>
        </is>
      </c>
      <c r="B56" s="22" t="inlineStr">
        <is>
          <t>Gửi số điện thoại có ký tự xuống dòng ở cuối</t>
        </is>
      </c>
      <c r="C56" s="22" t="inlineStr">
        <is>
          <t>1. POST /auth/mobile/otp {phone: "0900000001\n"}
2. POST /auth/mobile/verify {phone: "0900000001\n", token: 123456}</t>
        </is>
      </c>
      <c r="D56" s="22" t="inlineStr">
        <is>
          <t>phone: 0900000001 + ký tự \n</t>
        </is>
      </c>
      <c r="E56" s="22" t="inlineStr">
        <is>
          <t>422 {"detail":"invalid_phone"} (theo AC6 của 01-requirement)</t>
        </is>
      </c>
      <c r="F56" s="22" t="inlineStr">
        <is>
          <t>OTP 204, verify 200 và cấp phiên (backend bỏ ký tự trắng hai đầu)</t>
        </is>
      </c>
      <c r="G56" s="22" t="inlineStr">
        <is>
          <t>Low</t>
        </is>
      </c>
      <c r="H56" s="22" t="inlineStr">
        <is>
          <t>zannguyen</t>
        </is>
      </c>
      <c r="I56"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7" ht="123.5" customHeight="1">
      <c r="A57" s="22" t="inlineStr">
        <is>
          <t>BUG-LOGIN-11</t>
        </is>
      </c>
      <c r="B57" s="22" t="inlineStr">
        <is>
          <t>Gửi số điện thoại viết bằng chữ số Unicode</t>
        </is>
      </c>
      <c r="C57" s="22" t="inlineStr">
        <is>
          <t>1. POST /auth/mobile/otp {phone}
2. POST /auth/mobile/verify {phone, token: 123456}</t>
        </is>
      </c>
      <c r="D57" s="22" t="inlineStr">
        <is>
          <t>+８４９０００００００１ (full-width) | +٨٤٩٠٠٠٠٠٠٠١ (chữ số Ả Rập)</t>
        </is>
      </c>
      <c r="E57" s="22" t="inlineStr">
        <is>
          <t>422 {"detail":"invalid_phone"}, không gọi Supabase</t>
        </is>
      </c>
      <c r="F57" s="22" t="inlineStr">
        <is>
          <t>OTP 503 {"detail":"auth_provider_unavailable"}, verify 401 {"detail":"Invalid credentials"} — request đã tới Supabase</t>
        </is>
      </c>
      <c r="G57" s="22" t="inlineStr">
        <is>
          <t>Low</t>
        </is>
      </c>
      <c r="H57" s="22" t="inlineStr">
        <is>
          <t>zannguyen</t>
        </is>
      </c>
      <c r="I57"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8" ht="189.5" customHeight="1">
      <c r="A58" s="22" t="inlineStr">
        <is>
          <t>BUG-LOGIN-25</t>
        </is>
      </c>
      <c r="B58" s="22" t="inlineStr">
        <is>
          <t>Lưu họ tên có ký tự NUL</t>
        </is>
      </c>
      <c r="C58" s="22" t="inlineStr">
        <is>
          <t>1. POST /auth/profile {ho_ten: "abc\u0000def", ngày sinh, giới tính hợp lệ}</t>
        </is>
      </c>
      <c r="D58" s="22" t="inlineStr">
        <is>
          <t>ho_ten: abc\u0000def</t>
        </is>
      </c>
      <c r="E58" s="22" t="inlineStr">
        <is>
          <t>Không 5xx (từ chối 422 hoặc lưu được); không lộ chi tiết nội bộ</t>
        </is>
      </c>
      <c r="F58" s="22" t="inlineStr">
        <is>
          <t>500 Internal Server Error</t>
        </is>
      </c>
      <c r="G58" s="22" t="inlineStr">
        <is>
          <t>Medium</t>
        </is>
      </c>
      <c r="H58" s="22" t="inlineStr">
        <is>
          <t>zannguyen</t>
        </is>
      </c>
      <c r="I58"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9" ht="90.5" customHeight="1">
      <c r="A59" s="22" t="inlineStr">
        <is>
          <t>BUG-LOGIN-30</t>
        </is>
      </c>
      <c r="B59" s="22" t="inlineStr">
        <is>
          <t>Lưu họ tên dài 256 ký tự</t>
        </is>
      </c>
      <c r="C59" s="22" t="inlineStr">
        <is>
          <t>1. POST /auth/profile {ho_ten: A*256}</t>
        </is>
      </c>
      <c r="D59" s="22" t="inlineStr">
        <is>
          <t>A*256</t>
        </is>
      </c>
      <c r="E59" s="22" t="inlineStr">
        <is>
          <t>422; hồ sơ không đổi (giới hạn 255 theo Q4 của 01-requirement)</t>
        </is>
      </c>
      <c r="F59" s="22" t="inlineStr">
        <is>
          <t>204, đã lưu</t>
        </is>
      </c>
      <c r="G59" s="22" t="inlineStr">
        <is>
          <t>Low</t>
        </is>
      </c>
      <c r="H59" s="22" t="inlineStr">
        <is>
          <t>zannguyen</t>
        </is>
      </c>
      <c r="I59" s="22" t="inlineStr">
        <is>
          <t>Không có giới hạn độ dài họ tên: `_validate_profile` (sign_in.py) chỉ kiểm rỗng; cột users.full_name kiểu text không giới hạn
Log: evidence/test-integration.log</t>
        </is>
      </c>
    </row>
    <row r="60" ht="90.5" customHeight="1">
      <c r="A60" s="22" t="inlineStr">
        <is>
          <t>BUG-LOGIN-32</t>
        </is>
      </c>
      <c r="B60" s="22" t="inlineStr">
        <is>
          <t>Lưu ngày sinh trước 1900-01-01</t>
        </is>
      </c>
      <c r="C60" s="22" t="inlineStr">
        <is>
          <t>1. POST /auth/profile {ngay_sinh}</t>
        </is>
      </c>
      <c r="D60" s="22" t="inlineStr">
        <is>
          <t>1899-12-31 | 0001-01-01</t>
        </is>
      </c>
      <c r="E60" s="22" t="inlineStr">
        <is>
          <t>422; hồ sơ không đổi (cận dưới 1900-01-01 theo Q4)</t>
        </is>
      </c>
      <c r="F60" s="22" t="inlineStr">
        <is>
          <t>204 ở cả hai giá trị, đã lưu</t>
        </is>
      </c>
      <c r="G60" s="22" t="inlineStr">
        <is>
          <t>Low</t>
        </is>
      </c>
      <c r="H60" s="22" t="inlineStr">
        <is>
          <t>zannguyen</t>
        </is>
      </c>
      <c r="I60" s="22" t="inlineStr">
        <is>
          <t>`_validate_birth_date` (sign_in.py:229–231) chỉ chặn ngày tương lai, không có cận dưới. App mobile đã giới hạn date picker từ 1900 nên chỉ gặp khi gọi API trực tiếp
Log: evidence/test-integration.log</t>
        </is>
      </c>
    </row>
    <row r="61" ht="123.5" customHeight="1">
      <c r="A61" s="22" t="inlineStr">
        <is>
          <t>BUG-LOGIN-35</t>
        </is>
      </c>
      <c r="B61" s="22" t="inlineStr">
        <is>
          <t>Lưu ngày sinh là hôm nay lúc 00:30 giờ Việt Nam</t>
        </is>
      </c>
      <c r="C61" s="22" t="inlineStr">
        <is>
          <t>1. POST /auth/profile {ngay_sinh: "2026-10-08"}</t>
        </is>
      </c>
      <c r="D61" s="22" t="inlineStr">
        <is>
          <t>ngay_sinh: 2026-10-08</t>
        </is>
      </c>
      <c r="E61" s="22" t="inlineStr">
        <is>
          <t>204 (hôm nay theo giờ Asia/Ho_Chi_Minh — bất biến 7)</t>
        </is>
      </c>
      <c r="F61" s="22" t="inlineStr">
        <is>
          <t>422 {"detail":"invalid_date_of_birth"}</t>
        </is>
      </c>
      <c r="G61" s="22" t="inlineStr">
        <is>
          <t>Medium</t>
        </is>
      </c>
      <c r="H61" s="22" t="inlineStr">
        <is>
          <t>zannguyen</t>
        </is>
      </c>
      <c r="I61"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2" ht="173" customHeight="1">
      <c r="A62" s="22" t="inlineStr">
        <is>
          <t>BUG-LOGIN-42</t>
        </is>
      </c>
      <c r="B62" s="22" t="inlineStr">
        <is>
          <t>Chạm lại ô OTP sau khi nhập sai để sửa mã</t>
        </is>
      </c>
      <c r="C62" s="22" t="inlineStr">
        <is>
          <t>1. Chạm vào ô mã OTP
2. Theo dõi request backend nhận được</t>
        </is>
      </c>
      <c r="D62" s="22" t="inlineStr">
        <is>
          <t>Ô đang chứa 000000</t>
        </is>
      </c>
      <c r="E62" s="22" t="inlineStr">
        <is>
          <t>Không gửi xác thực cho tới khi người dùng nhập mã mới đủ 6 số</t>
        </is>
      </c>
      <c r="F62" s="22" t="inlineStr">
        <is>
          <t>Backend nhận thêm một POST /auth/mobile/verify 401 với mã cũ ngay khi chạm ô (chuỗi request: otp 204, verify 401, verify 401, verify 200)</t>
        </is>
      </c>
      <c r="G62" s="22" t="inlineStr">
        <is>
          <t>Low</t>
        </is>
      </c>
      <c r="H62" s="22" t="inlineStr">
        <is>
          <t>zannguyen</t>
        </is>
      </c>
      <c r="I62"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3" ht="222.5" customHeight="1">
      <c r="A63" s="22" t="inlineStr">
        <is>
          <t>BUG-LINKCODE-28</t>
        </is>
      </c>
      <c r="B63" s="22" t="inlineStr">
        <is>
          <t>Toàn bộ unit test, architecture test và ruff toàn repo pass</t>
        </is>
      </c>
      <c r="C63" s="22" t="inlineStr">
        <is>
          <t>1. pytest tests/unit tests/architecture -q
2. ruff check .
3. So với baseline trước khi sửa code</t>
        </is>
      </c>
      <c r="D63" s="22" t="inlineStr">
        <is>
          <t>-</t>
        </is>
      </c>
      <c r="E63" s="22" t="inlineStr">
        <is>
          <t>pytest và ruff đều pass</t>
        </is>
      </c>
      <c r="F63"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3" s="22" t="inlineStr">
        <is>
          <t>Low</t>
        </is>
      </c>
      <c r="H63" s="22" t="inlineStr">
        <is>
          <t>zannguyen</t>
        </is>
      </c>
      <c r="I63"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4" ht="305" customHeight="1">
      <c r="A64" s="22" t="inlineStr">
        <is>
          <t>BUG-MEDPICK-28</t>
        </is>
      </c>
      <c r="B64" s="22" t="inlineStr">
        <is>
          <t>Đọc và chọn thuốc trên thiết bị với cỡ chữ lớn và bàn phím</t>
        </is>
      </c>
      <c r="C64" s="22"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D64" s="22" t="inlineStr">
        <is>
          <t>Điện thoại LM G710 Android 13; cỡ chữ lớn; bàn phím mở</t>
        </is>
      </c>
      <c r="E64" s="22" t="inlineStr">
        <is>
          <t>Nội dung đọc/cuộn được; bàn phím không che thao tác; chọn trả đúng thuốc về form. Chạm dòng chỉ chọn; chỉ Xác nhận thuốc mới đóng sheet và trả lựa chọn.</t>
        </is>
      </c>
      <c r="F64" s="22"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G64" s="22" t="inlineStr">
        <is>
          <t>Medium</t>
        </is>
      </c>
      <c r="H64" s="22" t="inlineStr">
        <is>
          <t>phucnguyenngoc</t>
        </is>
      </c>
      <c r="I64" s="22" t="inlineStr">
        <is>
          <t>Cùng nguyên nhân với BUG-MEDPICK-51: DrugCatalogSheet dùng constraints.maxHeight * 0.92 sau khi trừ keyboard; header và CTA chiếm chiều cao cố định, ListView xem lại còn quá thấp trên màn nhỏ/chữ lớn. Có cách tránh bằng đóng bàn phím hoặc giảm cỡ chữ. 2026-10-28: người dùng chấp nhận lỗi layout Medium và hoãn sửa trong task 4.16; giữ Fail theo bằng chứng. Quyết định: evidence/test-layout-risk-acceptance.log.
Log: evidence/test-pending-TC28-android-confirmed.log; evidence/pending-28-selected-review.png; evidence/test-layout-risk-acceptance.log</t>
        </is>
      </c>
    </row>
    <row r="65" ht="288.5" customHeight="1">
      <c r="A65" s="22" t="inlineStr">
        <is>
          <t>BUG-MEDPICK-51</t>
        </is>
      </c>
      <c r="B65" s="22" t="inlineStr">
        <is>
          <t>Đọc vùng xem lại ở màn nhỏ, chữ lớn khi bàn phím mở</t>
        </is>
      </c>
      <c r="C65" s="22"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D65" s="22" t="inlineStr">
        <is>
          <t>LM G710 Android 13; wm 720×1280, density 320, font 1.5</t>
        </is>
      </c>
      <c r="E65" s="22"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F65" s="22"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G65" s="22" t="inlineStr">
        <is>
          <t>Medium</t>
        </is>
      </c>
      <c r="H65" s="22" t="inlineStr">
        <is>
          <t>phucnguyenngoc</t>
        </is>
      </c>
      <c r="I65" s="22" t="inlineStr">
        <is>
          <t>DrugCatalogSheet giữ ô nhập và CTA ở chiều cao cố định, SizedBox dùng 0.92×constraints.maxHeight; khi Android 360×616 dp, font 1.5 và keyboard 325.5 dp, Expanded/ListView của panel còn khoảng 21.3 dp, nhỏ hơn một dòng metadata. Có workaround đóng bàn phím; cần sửa layout tại implement, không sửa trong test. 2026-10-28: người dùng chấp nhận lỗi layout Medium và hoãn sửa trong task 4.16; giữ Fail theo bằng chứng. Quyết định: evidence/test-layout-risk-acceptance.log.
Log: evidence/test-android-large-regression-v2.log; evidence/android-large-unreadable-review.png; evidence/test-layout-risk-acceptance.log</t>
        </is>
      </c>
    </row>
    <row r="66" ht="239" customHeight="1">
      <c r="A66" s="22" t="inlineStr">
        <is>
          <t>BUG-REGDOSE-01</t>
        </is>
      </c>
      <c r="B66" s="22" t="inlineStr">
        <is>
          <t>Đối chiếu scheduled_at có giây khi xác nhận liều</t>
        </is>
      </c>
      <c r="C66"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6" s="22" t="inlineStr">
        <is>
          <t>client_uuid: UUID mới; schedule_id: fixture; scheduled_at=2026-10-02T01:00:59.999Z; taken_at=2026-10-02T01:05:59.999Z</t>
        </is>
      </c>
      <c r="E66" s="22" t="inlineStr">
        <is>
          <t>Theo test hiện có: HTTP 200, synced, da_uong và scheduled_at=2026-10-02T01:00:00Z.</t>
        </is>
      </c>
      <c r="F66" s="22" t="inlineStr">
        <is>
          <t>HTTP 200, synced, da_uong; scheduled_at=2026-10-02T01:00:59.999000Z. Fail trong suite DB và lặp lại khi chạy riêng (1 failed trong 1.67s).</t>
        </is>
      </c>
      <c r="G66" s="22" t="inlineStr">
        <is>
          <t>Medium</t>
        </is>
      </c>
      <c r="H66" s="22" t="inlineStr">
        <is>
          <t>phucnguyenngoc</t>
        </is>
      </c>
      <c r="I66"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7" ht="156.5" customHeight="1">
      <c r="A67" s="22" t="inlineStr">
        <is>
          <t>BUG-FALERT-19</t>
        </is>
      </c>
      <c r="B67" s="22" t="inlineStr">
        <is>
          <t>Lọc hộp thư mixed patient và từ chối patient_id trong PATCH</t>
        </is>
      </c>
      <c r="C67" s="22" t="inlineStr">
        <is>
          <t>1. Tạo hai notification cho F: P được phép và Q không có liên kết.
2. GET /notifications?patient_id=P&amp;user_id=Q; kiểm item và count.
3. PATCH notification Q với JSON {is_read:true,patient_id:P}.</t>
        </is>
      </c>
      <c r="D67" s="22" t="inlineStr">
        <is>
          <t>P/F là UUID synthetic mới mỗi lần; ID notification lấy từ DB fixture; giờ 2026-10-20T01:00:00Z.</t>
        </is>
      </c>
      <c r="E67" s="22" t="inlineStr">
        <is>
          <t>List chỉ trả P, total=unread_count=1 và Q có denied; PATCH field lạ phải trả 422.</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23.5" customHeight="1">
      <c r="A68" s="22" t="inlineStr">
        <is>
          <t>BUG-FALERT-36</t>
        </is>
      </c>
      <c r="B68" s="22" t="inlineStr">
        <is>
          <t>Từ chối tham số phân trang ngoài biên [params0]</t>
        </is>
      </c>
      <c r="C68" s="22" t="inlineStr">
        <is>
          <t>1. Đăng nhập F có notification và quyền hợp lệ.
2. GET /notifications với limit=0, limit=101 hoặc offset=-1 theo Test Data.
3. Kiểm HTTP status và Cache-Control.</t>
        </is>
      </c>
      <c r="D68" s="22" t="inlineStr">
        <is>
          <t>limit=0; offset=0</t>
        </is>
      </c>
      <c r="E68" s="22" t="inlineStr">
        <is>
          <t>422 validation, Cache-Control:no-store; không trả dữ liệu notification.</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23.5" customHeight="1">
      <c r="A69" s="22" t="inlineStr">
        <is>
          <t>BUG-FALERT-37</t>
        </is>
      </c>
      <c r="B69" s="22" t="inlineStr">
        <is>
          <t>Từ chối tham số phân trang ngoài biên [params1]</t>
        </is>
      </c>
      <c r="C69" s="22" t="inlineStr">
        <is>
          <t>1. Đăng nhập F có notification và quyền hợp lệ.
2. GET /notifications với limit=0, limit=101 hoặc offset=-1 theo Test Data.
3. Kiểm HTTP status và Cache-Control.</t>
        </is>
      </c>
      <c r="D69" s="22" t="inlineStr">
        <is>
          <t>limit=101; offset=0</t>
        </is>
      </c>
      <c r="E69" s="22" t="inlineStr">
        <is>
          <t>422 validation, Cache-Control:no-store; không trả dữ liệu notification.</t>
        </is>
      </c>
      <c r="F69" s="22" t="inlineStr">
        <is>
          <t>HTTP 503 notification_access_unavailable thay vì 422; assertion fail.</t>
        </is>
      </c>
      <c r="G69" s="22" t="inlineStr">
        <is>
          <t>Medium</t>
        </is>
      </c>
      <c r="H69" s="22" t="inlineStr">
        <is>
          <t>phucnguyenngoc</t>
        </is>
      </c>
      <c r="I69"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0" ht="123.5" customHeight="1">
      <c r="A70" s="22" t="inlineStr">
        <is>
          <t>BUG-FALERT-38</t>
        </is>
      </c>
      <c r="B70" s="22" t="inlineStr">
        <is>
          <t>Từ chối tham số phân trang ngoài biên [params2]</t>
        </is>
      </c>
      <c r="C70" s="22" t="inlineStr">
        <is>
          <t>1. Đăng nhập F có notification và quyền hợp lệ.
2. GET /notifications với limit=0, limit=101 hoặc offset=-1 theo Test Data.
3. Kiểm HTTP status và Cache-Control.</t>
        </is>
      </c>
      <c r="D70" s="22" t="inlineStr">
        <is>
          <t>limit=20; offset=-1</t>
        </is>
      </c>
      <c r="E70" s="22" t="inlineStr">
        <is>
          <t>422 validation, Cache-Control:no-store; không trả dữ liệu notification.</t>
        </is>
      </c>
      <c r="F70" s="22" t="inlineStr">
        <is>
          <t>HTTP 503 notification_access_unavailable thay vì 422; assertion fail.</t>
        </is>
      </c>
      <c r="G70" s="22" t="inlineStr">
        <is>
          <t>Medium</t>
        </is>
      </c>
      <c r="H70" s="22" t="inlineStr">
        <is>
          <t>phucnguyenngoc</t>
        </is>
      </c>
      <c r="I70"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1" ht="140" customHeight="1">
      <c r="A71" s="22" t="inlineStr">
        <is>
          <t>BUG-REDEEMFLOW-02</t>
        </is>
      </c>
      <c r="B71" s="22" t="inlineStr">
        <is>
          <t>Quét QR hợp lệ và chờ xác nhận trước khi gửi</t>
        </is>
      </c>
      <c r="C71" s="22" t="inlineStr">
        <is>
          <t>1. Cấp qr_payload cho scanner callback.
2. Kiểm số POST trước khi bấm xác nhận.
3. Bấm xác nhận và kiểm pending.</t>
        </is>
      </c>
      <c r="D71" s="22" t="inlineStr">
        <is>
          <t>qr_payload=body.qr_payload của GET /family/link-code</t>
        </is>
      </c>
      <c r="E71" s="22" t="inlineStr">
        <is>
          <t>Mã được điền; 0 POST trước xác nhận; sau xác nhận một POST 201 và một pending.</t>
        </is>
      </c>
      <c r="F71" s="22" t="inlineStr">
        <is>
          <t>Widget và Android LM_G710: 1 POST trước xác nhận (Expected 0, Actual 1); evidence/test-widget-redeem.log và evidence/test-android-remaining-phases.log.</t>
        </is>
      </c>
      <c r="G71" s="22" t="inlineStr">
        <is>
          <t>Medium</t>
        </is>
      </c>
      <c r="H71" s="22" t="inlineStr">
        <is>
          <t>phucnguyenngoc</t>
        </is>
      </c>
      <c r="I71" s="22" t="inlineStr">
        <is>
          <t>scan_link_qr_screen.dart đặt autoSubmit=true, enter_link_code_screen.dart tự submit sau frame đầu.
Log: evidence/test-widget-redeem.log</t>
        </is>
      </c>
    </row>
    <row r="72" ht="305" customHeight="1">
      <c r="A72" s="22" t="inlineStr">
        <is>
          <t>BUG-FADH-20</t>
        </is>
      </c>
      <c r="B72" s="22" t="inlineStr">
        <is>
          <t>Tính ngay xác nhận tại -30 phút</t>
        </is>
      </c>
      <c r="C72" s="22" t="inlineStr">
        <is>
          <t>1. Chạy test tại backend/tests/unit/test_get_adherence_history.py với delay0, cả group_by=date và medication.
2. Quan sát ở đúng taken_at; kiểm summary, nhóm và một dose.</t>
        </is>
      </c>
      <c r="D72" s="22" t="inlineStr">
        <is>
          <t>scheduled_at=08:00 +07; delay=-30 phút; status=da_uong</t>
        </is>
      </c>
      <c r="E72" s="22" t="inlineStr">
        <is>
          <t>total=1, counted=1, rate=100.00; taken/late đúng trạng thái; đúng một liều ngay khi xác nhận.</t>
        </is>
      </c>
      <c r="F72"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2" s="22" t="inlineStr">
        <is>
          <t>Medium</t>
        </is>
      </c>
      <c r="H72" s="22" t="inlineStr">
        <is>
          <t>phucnguyenngoc</t>
        </is>
      </c>
      <c r="I72"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1">
    <cfRule type="cellIs" priority="1" operator="greaterThan" dxfId="0">
      <formula>0.2</formula>
    </cfRule>
  </conditionalFormatting>
  <conditionalFormatting sqref="G11:G31">
    <cfRule type="expression" priority="2" dxfId="0">
      <formula>OR(G11="Critical",G11="High")</formula>
    </cfRule>
  </conditionalFormatting>
  <conditionalFormatting sqref="G56:G72">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1" showDropDown="0" showInputMessage="0" showErrorMessage="0" allowBlank="1" type="list">
      <formula1>"Critical,High,Medium,Low"</formula1>
    </dataValidation>
    <dataValidation sqref="G56:G72"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2026-10-28T03:32:40Z</dcterms:modified>
  <cp:lastModifiedBy>Người dùng Khách</cp:lastModifiedBy>
</cp:coreProperties>
</file>