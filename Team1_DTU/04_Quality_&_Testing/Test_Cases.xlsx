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API Contract Sync" sheetId="11" state="visible" r:id="rId11"/>
    <sheet xmlns:r="http://schemas.openxmlformats.org/officeDocument/2006/relationships" name="Profile auth test" sheetId="12" state="visible" r:id="rId12"/>
    <sheet xmlns:r="http://schemas.openxmlformats.org/officeDocument/2006/relationships" name="Report" sheetId="13" state="visible" r:id="rId13"/>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thân'!$A$8:$I$41</definedName>
    <definedName name="_xlnm._FilterDatabase" localSheetId="8" hidden="1">'Chọn thuốc danh mục'!$A$8:$I$37</definedName>
    <definedName name="_xlnm._FilterDatabase" localSheetId="9" hidden="1">'Hồi quy xác nhận liều'!$A$8:$I$9</definedName>
    <definedName name="_xlnm._FilterDatabase" localSheetId="10" hidden="1">'API Contract Sync'!$A$8:$I$20</definedName>
    <definedName name="_xlnm._FilterDatabase" localSheetId="11" hidden="1">'Profile auth test'!$A$8:$I$12</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'Report'!$A$11:$A$22</f>
            </numRef>
          </cat>
          <val>
            <numRef>
              <f>'Report'!$D$11:$D$22</f>
            </numRef>
          </val>
        </ser>
        <ser>
          <idx val="1"/>
          <order val="1"/>
          <tx>
            <strRef>
              <f>'Report'!E10</f>
            </strRef>
          </tx>
          <spPr>
            <a:ln xmlns:a="http://schemas.openxmlformats.org/drawingml/2006/main">
              <a:prstDash val="solid"/>
            </a:ln>
          </spPr>
          <cat>
            <numRef>
              <f>'Report'!$A$11:$A$22</f>
            </numRef>
          </cat>
          <val>
            <numRef>
              <f>'Report'!$E$11:$E$22</f>
            </numRef>
          </val>
        </ser>
        <ser>
          <idx val="2"/>
          <order val="2"/>
          <tx>
            <strRef>
              <f>'Report'!F10</f>
            </strRef>
          </tx>
          <spPr>
            <a:ln xmlns:a="http://schemas.openxmlformats.org/drawingml/2006/main">
              <a:prstDash val="solid"/>
            </a:ln>
          </spPr>
          <cat>
            <numRef>
              <f>'Report'!$A$11:$A$22</f>
            </numRef>
          </cat>
          <val>
            <numRef>
              <f>'Report'!$F$11:$F$22</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24</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24</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2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Đồng bộ API contract (APIC) (APIC)</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Quyền truy cập lịch và hồ sơ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row>
    <row r="9" ht="90.5" customHeight="1">
      <c r="A9" s="7" t="inlineStr">
        <is>
          <t>TC-APIC-01</t>
        </is>
      </c>
      <c r="B9" s="7" t="inlineStr">
        <is>
          <t>Đối chiếu nguồn và phân loại từng delta contract</t>
        </is>
      </c>
      <c r="C9" s="8" t="inlineStr">
        <is>
          <t>Có requirement, contract đã duyệt, operation-schema inventory và snapshot protected 3.16.</t>
        </is>
      </c>
      <c r="D9" s="8" t="inlineStr">
        <is>
          <t>1. Mở inventory và contract diff.
2. Truy từng operation/schema mục tiêu tới commit lịch sử hoặc quyết định đã duyệt.
3. Đối chiếu snapshot protected và ghi rõ khôi phục, mới hoặc mâu thuẫn.</t>
        </is>
      </c>
      <c r="E9" s="8" t="inlineStr">
        <is>
          <t>Các operation/schema trong inventory của task.</t>
        </is>
      </c>
      <c r="F9" s="8" t="inlineStr">
        <is>
          <t>Mọi delta có nguồn và phân loại; phần protected 3.16 không đổi.</t>
        </is>
      </c>
      <c r="G9" s="8" t="inlineStr"/>
      <c r="H9" s="7" t="inlineStr">
        <is>
          <t>Pending</t>
        </is>
      </c>
      <c r="I9" s="8" t="inlineStr">
        <is>
          <t>AC1 · manual</t>
        </is>
      </c>
      <c r="K9" s="9" t="inlineStr">
        <is>
          <t>OpenAPI references</t>
        </is>
      </c>
      <c r="L9" s="10" t="inlineStr">
        <is>
          <t>Mọi $ref resolve trong document</t>
        </is>
      </c>
      <c r="M9" s="10" t="inlineStr">
        <is>
          <t>1</t>
        </is>
      </c>
      <c r="N9" s="10" t="inlineStr">
        <is>
          <t>Dangling local $ref</t>
        </is>
      </c>
      <c r="O9" s="10" t="inlineStr">
        <is>
          <t>4</t>
        </is>
      </c>
      <c r="Q9" s="10" t="inlineStr">
        <is>
          <t>Caller là patient hoặc caregiver được liên kết?</t>
        </is>
      </c>
      <c r="R9" s="11" t="inlineStr">
        <is>
          <t>Patient</t>
        </is>
      </c>
      <c r="S9" s="11" t="inlineStr">
        <is>
          <t>Caregiver</t>
        </is>
      </c>
    </row>
    <row r="10" ht="90.5" customHeight="1">
      <c r="A10" s="7" t="inlineStr">
        <is>
          <t>TC-APIC-02</t>
        </is>
      </c>
      <c r="B10" s="7" t="inlineStr">
        <is>
          <t>Kiểm tra family link và interaction contract</t>
        </is>
      </c>
      <c r="C10" s="8" t="inlineStr">
        <is>
          <t>Backend dependency và OpenAPI contract task có sẵn.</t>
        </is>
      </c>
      <c r="D10" s="8" t="inlineStr">
        <is>
          <t>1. Chạy `pytest tests/unit/test_contract_family.py tests/unit/test_contract_interaction.py -q -p no:cacheprovider`.
2. Đọc kết quả assertions về LinkCode và interaction schemas/operations.</t>
        </is>
      </c>
      <c r="E10" s="8" t="inlineStr">
        <is>
          <t>Contract family link và 15 interaction operations.</t>
        </is>
      </c>
      <c r="F10" s="8" t="inlineStr">
        <is>
          <t>Toàn bộ parity assertions pass; LinkCode, query bounds, severity và semantics Q1 đúng contract.</t>
        </is>
      </c>
      <c r="G10" s="8" t="inlineStr">
        <is>
          <t>Implementation evidence: 58 passed, 3 failed toàn parity suite; các lỗi thuộc profile Cache-Control được nêu ở TC-APIC-04.</t>
        </is>
      </c>
      <c r="H10" s="7" t="inlineStr">
        <is>
          <t>Pass</t>
        </is>
      </c>
      <c r="I10" s="8" t="inlineStr">
        <is>
          <t>AC2 · EP (1) · `evidence/implement-P4-parity.log`</t>
        </is>
      </c>
      <c r="K10" s="9" t="inlineStr">
        <is>
          <t>operationId</t>
        </is>
      </c>
      <c r="L10" s="10" t="inlineStr">
        <is>
          <t>Mỗi operationId duy nhất</t>
        </is>
      </c>
      <c r="M10" s="10" t="inlineStr">
        <is>
          <t>2</t>
        </is>
      </c>
      <c r="N10" s="10" t="inlineStr">
        <is>
          <t>operationId trùng giữa hai operation</t>
        </is>
      </c>
      <c r="O10" s="10" t="inlineStr">
        <is>
          <t>5</t>
        </is>
      </c>
      <c r="Q10" s="10" t="inlineStr">
        <is>
          <t>Consent/sharing hợp lệ?</t>
        </is>
      </c>
      <c r="R10" s="11" t="inlineStr">
        <is>
          <t>Yes</t>
        </is>
      </c>
      <c r="S10" s="11" t="inlineStr">
        <is>
          <t>Yes</t>
        </is>
      </c>
    </row>
    <row r="11" ht="74" customHeight="1">
      <c r="A11" s="7" t="inlineStr">
        <is>
          <t>TC-APIC-03</t>
        </is>
      </c>
      <c r="B11" s="7" t="inlineStr">
        <is>
          <t>Kiểm tra medication và schedule contract</t>
        </is>
      </c>
      <c r="C11" s="8" t="inlineStr">
        <is>
          <t>Backend dependency và OpenAPI contract task có sẵn.</t>
        </is>
      </c>
      <c r="D11" s="8" t="inlineStr">
        <is>
          <t>1. Chạy `pytest tests/unit/test_contract_medication.py -q -p no:cacheprovider`.
2. Xem assertions về days_of_week, schedule status/body, query bounds và auth.</t>
        </is>
      </c>
      <c r="E11" s="8" t="inlineStr">
        <is>
          <t>ISO weekday 1..7; giới hạn schedule theo contract.</t>
        </is>
      </c>
      <c r="F11" s="8" t="inlineStr">
        <is>
          <t>Parity test pass; DELETE schedule trả 200 với UserMedication.</t>
        </is>
      </c>
      <c r="G11" s="8" t="inlineStr">
        <is>
          <t>Implementation evidence: suite parity gộp pass cho medication; tổng parity còn ba failure profile Cache-Control.</t>
        </is>
      </c>
      <c r="H11" s="7" t="inlineStr">
        <is>
          <t>Pass</t>
        </is>
      </c>
      <c r="I11" s="8" t="inlineStr">
        <is>
          <t>AC3 · BVA (min/max theo contract) · `evidence/implement-P4-parity.log`</t>
        </is>
      </c>
      <c r="K11" s="9" t="inlineStr">
        <is>
          <t>profile condition id</t>
        </is>
      </c>
      <c r="L11" s="10" t="inlineStr">
        <is>
          <t>Condition id của caller</t>
        </is>
      </c>
      <c r="M11" s="10" t="inlineStr">
        <is>
          <t>3</t>
        </is>
      </c>
      <c r="N11" s="10" t="inlineStr">
        <is>
          <t>ID của người khác hoặc không tồn tại</t>
        </is>
      </c>
      <c r="O11" s="10" t="inlineStr">
        <is>
          <t>6</t>
        </is>
      </c>
      <c r="Q11" s="6" t="inlineStr">
        <is>
          <t>Action</t>
        </is>
      </c>
      <c r="R11" s="5" t="inlineStr">
        <is>
          <t>R1</t>
        </is>
      </c>
      <c r="S11" s="5" t="inlineStr">
        <is>
          <t>R2</t>
        </is>
      </c>
    </row>
    <row r="12" ht="74" customHeight="1">
      <c r="A12" s="7" t="inlineStr">
        <is>
          <t>TC-APIC-04</t>
        </is>
      </c>
      <c r="B12" s="7" t="inlineStr">
        <is>
          <t>Kiểm tra profile và condition contract</t>
        </is>
      </c>
      <c r="C12" s="8" t="inlineStr">
        <is>
          <t>Backend dependency và OpenAPI contract task có sẵn.</t>
        </is>
      </c>
      <c r="D12" s="8" t="inlineStr">
        <is>
          <t>1. Chạy `pytest tests/unit/test_contract_profile.py -q -p no:cacheprovider`.
2. Kiểm tra response headers, required/nullability, bearer security và semantics 403/404.</t>
        </is>
      </c>
      <c r="E12" s="8" t="inlineStr">
        <is>
          <t>GET/PUT profile; GET/POST/PATCH/DELETE conditions.</t>
        </is>
      </c>
      <c r="F12" s="8" t="inlineStr">
        <is>
          <t>Toàn bộ profile parity pass, gồm Cache-Control theo contract.</t>
        </is>
      </c>
      <c r="G12" s="8" t="inlineStr">
        <is>
          <t>3 profile operation thất bại do Cache-Control const ở runtime so với enum trong contract; lỗi được giữ lại theo phạm vi đã duyệt.</t>
        </is>
      </c>
      <c r="H12" s="7" t="inlineStr">
        <is>
          <t>Fail</t>
        </is>
      </c>
      <c r="I12" s="8" t="inlineStr">
        <is>
          <t>AC4 · `evidence/implement-P4-parity.log`</t>
        </is>
      </c>
      <c r="Q12" s="10" t="inlineStr">
        <is>
          <t>Được phép; response và audit theo contract</t>
        </is>
      </c>
      <c r="R12" s="11" t="inlineStr">
        <is>
          <t>X</t>
        </is>
      </c>
      <c r="S12" s="11" t="inlineStr">
        <is>
          <t>X</t>
        </is>
      </c>
    </row>
    <row r="13" ht="74" customHeight="1">
      <c r="A13" s="7" t="inlineStr">
        <is>
          <t>TC-APIC-05</t>
        </is>
      </c>
      <c r="B13" s="7" t="inlineStr">
        <is>
          <t>Bảo toàn family-link 3.16</t>
        </is>
      </c>
      <c r="C13" s="8" t="inlineStr">
        <is>
          <t>Checkout backend 3.16 chứa overlay được bảo vệ và snapshot requirement.</t>
        </is>
      </c>
      <c r="D13" s="8" t="inlineStr">
        <is>
          <t>1. Chạy `pytest tests/unit/test_contract_family_links.py -q -p no:cacheprovider` trên checkout 3.16.
2. Đối chiếu snapshot protected trước/sau.</t>
        </is>
      </c>
      <c r="E13" s="8" t="inlineStr">
        <is>
          <t>Ba operation và sáu schema family-link.</t>
        </is>
      </c>
      <c r="F13" s="8" t="inlineStr">
        <is>
          <t>Mười parity assertions pass; protected fragments deep-equal snapshot.</t>
        </is>
      </c>
      <c r="G13" s="8" t="inlineStr">
        <is>
          <t>10 passed theo `evidence/implement-family-links.log`; snapshot protected được giữ nguyên theo implement record.</t>
        </is>
      </c>
      <c r="H13" s="7" t="inlineStr">
        <is>
          <t>Pass</t>
        </is>
      </c>
      <c r="I13" s="8" t="inlineStr">
        <is>
          <t>AC5 · `evidence/implement-family-links.log`</t>
        </is>
      </c>
    </row>
    <row r="14" ht="90.5" customHeight="1">
      <c r="A14" s="7" t="inlineStr">
        <is>
          <t>TC-APIC-06</t>
        </is>
      </c>
      <c r="B14" s="7" t="inlineStr">
        <is>
          <t>Kiểm tra refs, operationId và schema semantics</t>
        </is>
      </c>
      <c r="C14" s="8" t="inlineStr">
        <is>
          <t>Test semantic regression mới nằm trong linked worktree backend.</t>
        </is>
      </c>
      <c r="D14" s="8" t="inlineStr">
        <is>
          <t>1. Chạy `pytest tests/unit/test_contract_openapi_semantics.py -q -p no:cacheprovider`.
2. Xem kiểm tra dangling refs, operationId, bearer security, ValidationError và bounds/nullability.</t>
        </is>
      </c>
      <c r="E14" s="8" t="inlineStr">
        <is>
          <t>OpenAPI contract và fixture hợp lệ/lỗi của semantic tests.</t>
        </is>
      </c>
      <c r="F14" s="8" t="inlineStr">
        <is>
          <t>Document hợp lệ pass; các fixture mồ côi/trùng/mất security hoặc envelope bị đổi bị phát hiện.</t>
        </is>
      </c>
      <c r="G14" s="8" t="inlineStr">
        <is>
          <t>5 passed trong implement stage.</t>
        </is>
      </c>
      <c r="H14" s="7" t="inlineStr">
        <is>
          <t>Pass</t>
        </is>
      </c>
      <c r="I14" s="8" t="inlineStr">
        <is>
          <t>AC6 · EP (1,2) · `evidence/implement-P3.log`</t>
        </is>
      </c>
    </row>
    <row r="15" ht="90.5" customHeight="1">
      <c r="A15" s="7" t="inlineStr">
        <is>
          <t>TC-APIC-07</t>
        </is>
      </c>
      <c r="B15" s="7" t="inlineStr">
        <is>
          <t>Xác nhận PEP, consent và audit cho schedule/profile</t>
        </is>
      </c>
      <c r="C15" s="8" t="inlineStr">
        <is>
          <t>Supabase local có schema task và integration fixtures.</t>
        </is>
      </c>
      <c r="D15" s="8" t="inlineStr">
        <is>
          <t>1. Chạy toàn bộ integration suite.
2. Đối chiếu các case allow/deny, revoke và audit trong kết quả.</t>
        </is>
      </c>
      <c r="E15" s="8" t="inlineStr">
        <is>
          <t>Patient/caregiver, liên kết, sharing và consent theo fixture từng test.</t>
        </is>
      </c>
      <c r="F15" s="8" t="inlineStr">
        <is>
          <t>PEP quyết định mỗi request; deny 403 có denied audit, revoke chặn request kế tiếp và audit fail-closed.</t>
        </is>
      </c>
      <c r="G15" s="8" t="inlineStr">
        <is>
          <t>Các suite AC7 trong plan đều pass trong full integration: patient_schedules_access, profile_access, migration_access_self_audit, medication_schedules, medication_schedule_invariants và profile_api.</t>
        </is>
      </c>
      <c r="H15" s="7" t="inlineStr">
        <is>
          <t>Pass</t>
        </is>
      </c>
      <c r="I15" s="8" t="inlineStr">
        <is>
          <t>AC7 · Decision Table (R1,R2) · evidence/test-integration.log</t>
        </is>
      </c>
      <c r="Q15" s="4" t="inlineStr">
        <is>
          <t>Profile condition và quyền truy cập</t>
        </is>
      </c>
    </row>
    <row r="16" ht="107" customHeight="1">
      <c r="A16" s="7" t="inlineStr">
        <is>
          <t>TC-APIC-08</t>
        </is>
      </c>
      <c r="B16" s="7" t="inlineStr">
        <is>
          <t>Rà soát ngoại lệ Q1 và quyết định profile Q2</t>
        </is>
      </c>
      <c r="C16" s="8" t="inlineStr">
        <is>
          <t>Requirement ghi Q1/Q2 đã được người dùng chốt và stage contract approved.</t>
        </is>
      </c>
      <c r="D16" s="8" t="inlineStr">
        <is>
          <t>1. Xác nhận interaction publishing có hiệu lực ngay, không bước duyệt, và nêu ngoại lệ QD-37.
2. Xác nhận condition ngoài caller/không tồn tại trả 404 user_condition_not_found; PEP deny vẫn 403.</t>
        </is>
      </c>
      <c r="E16" s="8" t="inlineStr">
        <is>
          <t>Q1, Q2 trong requirement và contract đã duyệt.</t>
        </is>
      </c>
      <c r="F16" s="8" t="inlineStr">
        <is>
          <t>Không biến code/test thành nguồn quyết định; ngoại lệ được nêu rõ để reviewer xác nhận.</t>
        </is>
      </c>
      <c r="G16" s="8" t="inlineStr"/>
      <c r="H16" s="7" t="inlineStr">
        <is>
          <t>Pending</t>
        </is>
      </c>
      <c r="I16" s="8" t="inlineStr">
        <is>
          <t>AC8 · manual</t>
        </is>
      </c>
      <c r="Q16" s="6" t="inlineStr">
        <is>
          <t>Rule</t>
        </is>
      </c>
      <c r="R16" s="5" t="inlineStr">
        <is>
          <t>R1</t>
        </is>
      </c>
      <c r="S16" s="5" t="inlineStr">
        <is>
          <t>R2</t>
        </is>
      </c>
      <c r="T16" s="5" t="inlineStr">
        <is>
          <t>R3</t>
        </is>
      </c>
    </row>
    <row r="17" ht="57.5" customHeight="1">
      <c r="A17" s="7" t="inlineStr">
        <is>
          <t>TC-APIC-09</t>
        </is>
      </c>
      <c r="B17" s="7" t="inlineStr">
        <is>
          <t>Xem kết quả full unit và phân loại lỗi còn lại</t>
        </is>
      </c>
      <c r="C17" s="8" t="inlineStr">
        <is>
          <t>Có full unit/architecture evidence từ implement stage.</t>
        </is>
      </c>
      <c r="D17" s="8" t="inlineStr">
        <is>
          <t>1. Đọc `evidence/implement-final-backend.log`.
2. Xác nhận số pass/fail và phân loại các lỗi nằm ngoài phạm vi/mismatch đã ghi.</t>
        </is>
      </c>
      <c r="E17" s="8" t="inlineStr">
        <is>
          <t>Toàn bộ backend unit và architecture suites.</t>
        </is>
      </c>
      <c r="F17" s="8" t="inlineStr">
        <is>
          <t>Không có failure bị che; lỗi nền và mismatch được báo riêng.</t>
        </is>
      </c>
      <c r="G17" s="8" t="inlineStr">
        <is>
          <t>815 passed, 9 failed: ba Cache-Control mismatch và sáu lỗi auth trả 422 thay vì 401.</t>
        </is>
      </c>
      <c r="H17" s="7" t="inlineStr">
        <is>
          <t>Fail</t>
        </is>
      </c>
      <c r="I17" s="8" t="inlineStr">
        <is>
          <t>AC9 · `evidence/implement-final-backend.log`</t>
        </is>
      </c>
      <c r="Q17" s="10" t="inlineStr">
        <is>
          <t>PEP/consent cho phép?</t>
        </is>
      </c>
      <c r="R17" s="11" t="inlineStr">
        <is>
          <t>No</t>
        </is>
      </c>
      <c r="S17" s="11" t="inlineStr">
        <is>
          <t>Yes</t>
        </is>
      </c>
      <c r="T17" s="11" t="inlineStr">
        <is>
          <t>Yes</t>
        </is>
      </c>
    </row>
    <row r="18" ht="90.5" customHeight="1">
      <c r="A18" s="7" t="inlineStr">
        <is>
          <t>TC-APIC-10</t>
        </is>
      </c>
      <c r="B18" s="7" t="inlineStr">
        <is>
          <t>Chạy toàn bộ integration suite trong stage test</t>
        </is>
      </c>
      <c r="C18" s="8" t="inlineStr">
        <is>
          <t>Local Postgres lắng nghe trên 127.0.0.1:54322.</t>
        </is>
      </c>
      <c r="D18" s="8" t="inlineStr">
        <is>
          <t>1. Chạy pytest tests/integration -vv -p no:cacheprovider từ linked worktree.
2. Lưu summary và phân loại toàn bộ failure/skip.</t>
        </is>
      </c>
      <c r="E18" s="8" t="inlineStr">
        <is>
          <t>Toàn bộ 686 collected tests trong tests/integration.</t>
        </is>
      </c>
      <c r="F18" s="8" t="inlineStr">
        <is>
          <t>Suite kết thúc có summary đầy đủ; mọi lỗi và skip được phân loại riêng, không bị che.</t>
        </is>
      </c>
      <c r="G18" s="8" t="inlineStr">
        <is>
          <t>524 passed, 2 failed, 159 skipped, 1 xpassed; 5,860 warnings; 18:47. Hai lỗi được ghi tại TC-APIC-11 và TC-APIC-12. 159 test auth skip do supabase status -o env trả non-zero.</t>
        </is>
      </c>
      <c r="H18" s="7" t="inlineStr">
        <is>
          <t>Pass</t>
        </is>
      </c>
      <c r="I18" s="8" t="inlineStr">
        <is>
          <t>AC7, AC9 · evidence/test-integration.log</t>
        </is>
      </c>
      <c r="Q18" s="10" t="inlineStr">
        <is>
          <t>Condition thuộc caller và tồn tại?</t>
        </is>
      </c>
      <c r="R18" s="11" t="inlineStr">
        <is>
          <t>-</t>
        </is>
      </c>
      <c r="S18" s="11" t="inlineStr">
        <is>
          <t>Yes</t>
        </is>
      </c>
      <c r="T18" s="11" t="inlineStr">
        <is>
          <t>No</t>
        </is>
      </c>
    </row>
    <row r="19" ht="90.5" customHeight="1">
      <c r="A19" s="7" t="inlineStr">
        <is>
          <t>TC-APIC-11</t>
        </is>
      </c>
      <c r="B19" s="7" t="inlineStr">
        <is>
          <t>Kiểm tra test admin role revocation cho catalog sync history</t>
        </is>
      </c>
      <c r="C19" s="8" t="inlineStr">
        <is>
          <t>Local integration DB đã có schema/catalog sync.</t>
        </is>
      </c>
      <c r="D19" s="8" t="inlineStr">
        <is>
          <t>1. Chạy test_admin_role_revocation_applies_on_next_request__AC8 trong toàn bộ integration suite.
2. Gửi GET /admin/catalog/sync-runs với admin session do fixture tạo.</t>
        </is>
      </c>
      <c r="E19" s="8" t="inlineStr">
        <is>
          <t>Nguồn sync fixture qd_5948.</t>
        </is>
      </c>
      <c r="F19" s="8" t="inlineStr">
        <is>
          <t>Request đầu trả 200 trước khi thu hồi admin role.</t>
        </is>
      </c>
      <c r="G19" s="8" t="inlineStr">
        <is>
          <t>Request phát sinh ValueError: qd_5948 is not a valid CatalogSyncSource trước khi assertion status hoàn tất.</t>
        </is>
      </c>
      <c r="H19" s="7" t="inlineStr">
        <is>
          <t>Fail</t>
        </is>
      </c>
      <c r="I19" s="8" t="inlineStr">
        <is>
          <t>AC9 · test_admin_role_revocation_applies_on_next_request__AC8 · evidence/test-integration.log</t>
        </is>
      </c>
      <c r="Q19" s="6" t="inlineStr">
        <is>
          <t>Action</t>
        </is>
      </c>
      <c r="R19" s="5" t="inlineStr">
        <is>
          <t>R1</t>
        </is>
      </c>
      <c r="S19" s="5" t="inlineStr">
        <is>
          <t>R2</t>
        </is>
      </c>
      <c r="T19" s="5" t="inlineStr">
        <is>
          <t>R3</t>
        </is>
      </c>
    </row>
    <row r="20" ht="74" customHeight="1">
      <c r="A20" s="7" t="inlineStr">
        <is>
          <t>TC-APIC-12</t>
        </is>
      </c>
      <c r="B20" s="7" t="inlineStr">
        <is>
          <t>Kiểm tra timestamp của dose batch</t>
        </is>
      </c>
      <c r="C20" s="8" t="inlineStr">
        <is>
          <t>Local integration DB và patient schedule fixture hoạt động.</t>
        </is>
      </c>
      <c r="D20" s="8" t="inlineStr">
        <is>
          <t>1. Chạy test_post_doses_batch_creates_dose_log_for_authenticated_patient__AC1_AC10_AC18.
2. Gửi dose batch và so timestamp response với scheduled time.</t>
        </is>
      </c>
      <c r="E20" s="8" t="inlineStr">
        <is>
          <t>Scheduled time 2026-10-02T01:00:00Z.</t>
        </is>
      </c>
      <c r="F20" s="8" t="inlineStr">
        <is>
          <t>Dose log trả đúng scheduled time 2026-10-02T01:00:00Z.</t>
        </is>
      </c>
      <c r="G20" s="8" t="inlineStr">
        <is>
          <t>Response trả 2026-10-02T01:00:59.999000Z; assertion không khớp kỳ vọng.</t>
        </is>
      </c>
      <c r="H20" s="7" t="inlineStr">
        <is>
          <t>Fail</t>
        </is>
      </c>
      <c r="I20" s="8" t="inlineStr">
        <is>
          <t>AC9 · test_post_doses_batch_creates_dose_log_for_authenticated_patient__AC1_AC10_AC18 · evidence/test-integration.log</t>
        </is>
      </c>
      <c r="Q20" s="10" t="inlineStr">
        <is>
          <t>403 theo PEP/consent</t>
        </is>
      </c>
      <c r="R20" s="11" t="inlineStr">
        <is>
          <t>X</t>
        </is>
      </c>
      <c r="S20" s="11" t="inlineStr"/>
      <c r="T20" s="11" t="inlineStr"/>
    </row>
    <row r="21" ht="30" customHeight="1">
      <c r="Q21" s="10" t="inlineStr">
        <is>
          <t>Thành công theo operation</t>
        </is>
      </c>
      <c r="R21" s="11" t="inlineStr"/>
      <c r="S21" s="11" t="inlineStr">
        <is>
          <t>X</t>
        </is>
      </c>
      <c r="T21" s="11" t="inlineStr"/>
    </row>
    <row r="22" ht="30" customHeight="1">
      <c r="Q22" s="10" t="inlineStr">
        <is>
          <t>404 user_condition_not_found</t>
        </is>
      </c>
      <c r="R22" s="11" t="inlineStr"/>
      <c r="S22" s="11" t="inlineStr"/>
      <c r="T22" s="11" t="inlineStr">
        <is>
          <t>X</t>
        </is>
      </c>
    </row>
    <row r="23">
      <c r="G23" s="12" t="inlineStr">
        <is>
          <t>Pass</t>
        </is>
      </c>
      <c r="H23" s="13">
        <f>COUNTIF(H9:H20,"Pass")</f>
        <v/>
      </c>
    </row>
    <row r="24">
      <c r="G24" s="12" t="inlineStr">
        <is>
          <t>Fail</t>
        </is>
      </c>
      <c r="H24" s="13">
        <f>COUNTIF(H9:H20,"Fail")</f>
        <v/>
      </c>
    </row>
    <row r="25">
      <c r="G25" s="12" t="inlineStr">
        <is>
          <t>Pending</t>
        </is>
      </c>
      <c r="H25" s="13">
        <f>COUNTIF(H9:H20,"Pending")</f>
        <v/>
      </c>
    </row>
    <row r="26">
      <c r="G26" s="12" t="inlineStr">
        <is>
          <t>Total</t>
        </is>
      </c>
      <c r="H26" s="13">
        <f>SUM(H23:H25)</f>
        <v/>
      </c>
    </row>
  </sheetData>
  <autoFilter ref="A8:I20"/>
  <conditionalFormatting sqref="H9:H20">
    <cfRule type="cellIs" priority="1" operator="equal" dxfId="0">
      <formula>"Fail"</formula>
    </cfRule>
  </conditionalFormatting>
  <dataValidations count="1">
    <dataValidation sqref="H9:H2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18"/>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Cấu hình xác thực test hồ sơ sức khỏe (PROFAUTH)</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Xử lý xác thực theo loại token và cấu hình secret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TC-PROFAUTH-01</t>
        </is>
      </c>
      <c r="B9" s="7" t="inlineStr">
        <is>
          <t>Xác thực thất bại với Bearer token không hợp lệ tới 6 endpoint profile/conditions khi có fixture secret</t>
        </is>
      </c>
      <c r="C9" s="8" t="inlineStr">
        <is>
          <t>Backend unit test client nạp fixture autouse session_secret (SESSION_JWT_SECRET được cấu hình).</t>
        </is>
      </c>
      <c r="D9" s="8" t="inlineStr">
        <is>
          <t>1. Khởi tạo FastAPI TestClient từ create_app() với override get_uow.
2. Gửi request kèm header Authorization: Bearer not-a-real-token tới GET /profile, PUT /profile, POST /profile/conditions, PATCH /profile/conditions/1, DELETE /profile/conditions/1, GET /conditions.</t>
        </is>
      </c>
      <c r="E9" s="8" t="inlineStr">
        <is>
          <t>Authorization: Bearer not-a-real-token</t>
        </is>
      </c>
      <c r="F9" s="8" t="inlineStr">
        <is>
          <t>Tất cả 6 endpoint đều trả về HTTP 401 Unauthorized với chi tiết 'Invalid or expired session', không ném 422.</t>
        </is>
      </c>
      <c r="G9" s="8" t="inlineStr">
        <is>
          <t>6/6 test case pass, trả về HTTP 401 Unauthorized (log evidence/implement-P3.log)</t>
        </is>
      </c>
      <c r="H9" s="7" t="inlineStr">
        <is>
          <t>Pass</t>
        </is>
      </c>
      <c r="I9" s="8" t="inlineStr">
        <is>
          <t>AC1 · Decision Table (R1) · test_invalid_or_erased_auth[invalid-*]</t>
        </is>
      </c>
      <c r="K9" s="9" t="inlineStr">
        <is>
          <t>Authorization header</t>
        </is>
      </c>
      <c r="L9" s="10" t="inlineStr">
        <is>
          <t>Bearer token hợp lệ có sub (erased=False)</t>
        </is>
      </c>
      <c r="M9" s="10" t="inlineStr">
        <is>
          <t>1</t>
        </is>
      </c>
      <c r="N9" s="10" t="inlineStr">
        <is>
          <t>(blank) không gửi header
Bearer token không hợp lệ (not-a-real-token)
Bearer token của tài khoản đã bị xóa (erased=True)</t>
        </is>
      </c>
      <c r="O9" s="10" t="inlineStr">
        <is>
          <t>2
3
4</t>
        </is>
      </c>
      <c r="Q9" s="10" t="inlineStr">
        <is>
          <t>Loại token</t>
        </is>
      </c>
      <c r="R9" s="11" t="inlineStr">
        <is>
          <t>invalid</t>
        </is>
      </c>
      <c r="S9" s="11" t="inlineStr">
        <is>
          <t>invalid</t>
        </is>
      </c>
      <c r="T9" s="11" t="inlineStr">
        <is>
          <t>erased</t>
        </is>
      </c>
      <c r="U9" s="11" t="inlineStr">
        <is>
          <t>valid</t>
        </is>
      </c>
    </row>
    <row r="10" ht="90.5" customHeight="1">
      <c r="A10" s="7" t="inlineStr">
        <is>
          <t>TC-PROFAUTH-02</t>
        </is>
      </c>
      <c r="B10" s="7" t="inlineStr">
        <is>
          <t>Xác thực thất bại với Bearer token của tài khoản đã bị xóa (erased=True)</t>
        </is>
      </c>
      <c r="C10" s="8" t="inlineStr">
        <is>
          <t>Backend unit test client với fixture autouse session_secret và mock SqlUsers trả về user có erased=True.</t>
        </is>
      </c>
      <c r="D10" s="8" t="inlineStr">
        <is>
          <t>1. Khởi tạo TestClient với dependency override SqlUsers trả về user có erased=True.
2. Gửi request kèm header Authorization: Bearer not-a-real-token tới các endpoint profile/conditions.</t>
        </is>
      </c>
      <c r="E10" s="8" t="inlineStr">
        <is>
          <t>Authorization: Bearer not-a-real-token; user.erased=True</t>
        </is>
      </c>
      <c r="F10" s="8" t="inlineStr">
        <is>
          <t>Tất cả endpoint trả về HTTP 401 Unauthorized.</t>
        </is>
      </c>
      <c r="G10" s="8" t="inlineStr">
        <is>
          <t>6/6 test case pass, trả về HTTP 401 Unauthorized (log evidence/implement-P3.log)</t>
        </is>
      </c>
      <c r="H10" s="7" t="inlineStr">
        <is>
          <t>Pass</t>
        </is>
      </c>
      <c r="I10" s="8" t="inlineStr">
        <is>
          <t>AC1 · Decision Table (R3) · test_invalid_or_erased_auth[erased-*]</t>
        </is>
      </c>
      <c r="Q10" s="10" t="inlineStr">
        <is>
          <t>SESSION_JWT_SECRET đã cấu hình?</t>
        </is>
      </c>
      <c r="R10" s="11" t="inlineStr">
        <is>
          <t>Yes</t>
        </is>
      </c>
      <c r="S10" s="11" t="inlineStr">
        <is>
          <t>No</t>
        </is>
      </c>
      <c r="T10" s="11" t="inlineStr">
        <is>
          <t>Yes</t>
        </is>
      </c>
      <c r="U10" s="11" t="inlineStr">
        <is>
          <t>Yes</t>
        </is>
      </c>
    </row>
    <row r="11" ht="90.5" customHeight="1">
      <c r="A11" s="7" t="inlineStr">
        <is>
          <t>TC-PROFAUTH-03</t>
        </is>
      </c>
      <c r="B11" s="7" t="inlineStr">
        <is>
          <t>Xác thực thất bại khi không gửi Authorization header tới các endpoint profile/conditions</t>
        </is>
      </c>
      <c r="C11" s="8" t="inlineStr">
        <is>
          <t>App backend khởi tạo với get_uow mock, không cung cấp thông tin xác thực.</t>
        </is>
      </c>
      <c r="D11" s="8" t="inlineStr">
        <is>
          <t>1. Khởi tạo TestClient.
2. Gửi request không có header Authorization tới GET /profile, PUT /profile, POST /profile/conditions, PATCH /profile/conditions/1, DELETE /profile/conditions/1, GET /conditions.</t>
        </is>
      </c>
      <c r="E11" s="8" t="inlineStr">
        <is>
          <t>(blank)</t>
        </is>
      </c>
      <c r="F11" s="8" t="inlineStr">
        <is>
          <t>Server từ chối truy cập và trả về HTTP 401 Unauthorized cho tất cả các thao tác.</t>
        </is>
      </c>
      <c r="G11" s="8" t="inlineStr">
        <is>
          <t>6/6 test case pass, trả về HTTP 401 Unauthorized (log evidence/implement-P3.log)</t>
        </is>
      </c>
      <c r="H11" s="7" t="inlineStr">
        <is>
          <t>Pass</t>
        </is>
      </c>
      <c r="I11" s="8" t="inlineStr">
        <is>
          <t>AC1 · EP (2) · test_unauthenticated_all_operations</t>
        </is>
      </c>
      <c r="Q11" s="6" t="inlineStr">
        <is>
          <t>Action</t>
        </is>
      </c>
      <c r="R11" s="5" t="inlineStr">
        <is>
          <t>R1</t>
        </is>
      </c>
      <c r="S11" s="5" t="inlineStr">
        <is>
          <t>R2</t>
        </is>
      </c>
      <c r="T11" s="5" t="inlineStr">
        <is>
          <t>R3</t>
        </is>
      </c>
      <c r="U11" s="5" t="inlineStr">
        <is>
          <t>R4</t>
        </is>
      </c>
    </row>
    <row r="12" ht="74" customHeight="1">
      <c r="A12" s="7" t="inlineStr">
        <is>
          <t>TC-PROFAUTH-04</t>
        </is>
      </c>
      <c r="B12" s="7" t="inlineStr">
        <is>
          <t>Toàn bộ test suite test_profile_http pass và cô lập cache get_settings</t>
        </is>
      </c>
      <c r="C12" s="8" t="inlineStr">
        <is>
          <t>Môi trường pytest với fixture session_secret thực hiện get_settings.cache_clear() trước (setup) và sau (teardown).</t>
        </is>
      </c>
      <c r="D12" s="8" t="inlineStr">
        <is>
          <t>1. Chạy lệnh pytest backend/tests/unit/test_profile_http.py.
2. Quan sát kết quả kiểm thử và cảnh báo nếu có.</t>
        </is>
      </c>
      <c r="E12" s="8" t="inlineStr">
        <is>
          <t>Toàn bộ 54 ca test trong test_profile_http.py</t>
        </is>
      </c>
      <c r="F12" s="8" t="inlineStr">
        <is>
          <t>54/54 ca test pass (100%), không có test nào fail hoặc error do thiếu cấu hình secret hay rò rỉ cache settings giữa các test.</t>
        </is>
      </c>
      <c r="G12" s="8" t="inlineStr">
        <is>
          <t>54 passed, 1 warning trong 7.98s (log evidence/implement-P3.log)</t>
        </is>
      </c>
      <c r="H12" s="7" t="inlineStr">
        <is>
          <t>Pass</t>
        </is>
      </c>
      <c r="I12" s="8" t="inlineStr">
        <is>
          <t>AC2 · test_profile_http.py suite</t>
        </is>
      </c>
      <c r="Q12" s="10" t="inlineStr">
        <is>
          <t>HTTP 401 Unauthorized</t>
        </is>
      </c>
      <c r="R12" s="11" t="inlineStr">
        <is>
          <t>X</t>
        </is>
      </c>
      <c r="S12" s="11" t="inlineStr"/>
      <c r="T12" s="11" t="inlineStr">
        <is>
          <t>X</t>
        </is>
      </c>
      <c r="U12" s="11" t="inlineStr"/>
    </row>
    <row r="13" ht="30" customHeight="1">
      <c r="Q13" s="10" t="inlineStr">
        <is>
          <t>HTTP 422 DomainError (lỗi cũ)</t>
        </is>
      </c>
      <c r="R13" s="11" t="inlineStr"/>
      <c r="S13" s="11" t="inlineStr">
        <is>
          <t>X</t>
        </is>
      </c>
      <c r="T13" s="11" t="inlineStr"/>
      <c r="U13" s="11" t="inlineStr"/>
    </row>
    <row r="14" ht="30" customHeight="1">
      <c r="Q14" s="10" t="inlineStr">
        <is>
          <t>HTTP 200/201/204 Success</t>
        </is>
      </c>
      <c r="R14" s="11" t="inlineStr"/>
      <c r="S14" s="11" t="inlineStr"/>
      <c r="T14" s="11" t="inlineStr"/>
      <c r="U14" s="11" t="inlineStr">
        <is>
          <t>X</t>
        </is>
      </c>
    </row>
    <row r="15">
      <c r="G15" s="12" t="inlineStr">
        <is>
          <t>Pass</t>
        </is>
      </c>
      <c r="H15" s="13">
        <f>COUNTIF(H9:H12,"Pass")</f>
        <v/>
      </c>
    </row>
    <row r="16">
      <c r="G16" s="12" t="inlineStr">
        <is>
          <t>Fail</t>
        </is>
      </c>
      <c r="H16" s="13">
        <f>COUNTIF(H9:H12,"Fail")</f>
        <v/>
      </c>
    </row>
    <row r="17">
      <c r="G17" s="12" t="inlineStr">
        <is>
          <t>Pending</t>
        </is>
      </c>
      <c r="H17" s="13">
        <f>COUNTIF(H9:H12,"Pending")</f>
        <v/>
      </c>
    </row>
    <row r="18">
      <c r="G18" s="12" t="inlineStr">
        <is>
          <t>Total</t>
        </is>
      </c>
      <c r="H18" s="13">
        <f>SUM(H15:H17)</f>
        <v/>
      </c>
    </row>
  </sheetData>
  <autoFilter ref="A8:I12"/>
  <conditionalFormatting sqref="H9:H12">
    <cfRule type="cellIs" priority="1" operator="equal" dxfId="0">
      <formula>"Fail"</formula>
    </cfRule>
  </conditionalFormatting>
  <dataValidations count="1">
    <dataValidation sqref="H9:H12"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9"/>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f>
        <v/>
      </c>
      <c r="D3" s="11">
        <f>'Chọn thuốc danh mục'!$H$40+'Hồi quy xác nhận liều'!$H$12+'API Contract Sync'!$H$23+'Profile auth test'!$H$15</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f>
        <v/>
      </c>
      <c r="D4" s="11">
        <f>'Chọn thuốc danh mục'!$H$41+'Hồi quy xác nhận liều'!$H$13+'API Contract Sync'!$H$24+'Profile auth test'!$H$16</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f>
        <v/>
      </c>
      <c r="D6" s="11">
        <f>'Chọn thuốc danh mục'!$H$42+'Hồi quy xác nhận liều'!$H$14+'API Contract Sync'!$H$25+'Profile auth test'!$H$17</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07" customHeight="1">
      <c r="A21" s="11" t="inlineStr">
        <is>
          <t>Đồng bộ API contract (APIC)</t>
        </is>
      </c>
      <c r="B21" s="10" t="inlineStr">
        <is>
          <t>Khôi phục OpenAPI có truy vết, giữ semantics và xác nhận contract với backend.</t>
        </is>
      </c>
      <c r="C21" s="11" t="inlineStr">
        <is>
          <t>API Contract Sync</t>
        </is>
      </c>
      <c r="D21" s="18">
        <f>IFERROR(('API Contract Sync'!$H$26-'API Contract Sync'!$H$25)/'API Contract Sync'!$H$26,0)</f>
        <v/>
      </c>
      <c r="E21" s="18">
        <f>IFERROR('API Contract Sync'!$H$23/'API Contract Sync'!$H$26,0)</f>
        <v/>
      </c>
      <c r="F21" s="18">
        <f>IFERROR('API Contract Sync'!$H$24/'API Contract Sync'!$H$26,0)</f>
        <v/>
      </c>
      <c r="G21" s="11" t="inlineStr">
        <is>
          <t>High</t>
        </is>
      </c>
      <c r="H21" s="10" t="inlineStr">
        <is>
          <t>Full integration: 524 passed, 2 failed, 159 skipped, 1 xpassed. AC7 suites pass; unrelated catalog sync and dose batch failures are recorded separately. Parity and full unit/architecture retain documented mismatches.</t>
        </is>
      </c>
      <c r="I21" s="11" t="inlineStr">
        <is>
          <t>phucnguyenngoc</t>
        </is>
      </c>
    </row>
    <row r="22" ht="90.5" customHeight="1">
      <c r="A22" s="11" t="inlineStr">
        <is>
          <t>Cấu hình xác thực test hồ sơ sức khỏe</t>
        </is>
      </c>
      <c r="B22" s="10" t="inlineStr">
        <is>
          <t>Fixture cấu hình SESSION_JWT_SECRET và cô lập cache cho các test case xác thực profile_http</t>
        </is>
      </c>
      <c r="C22" s="11" t="inlineStr">
        <is>
          <t>Profile auth test</t>
        </is>
      </c>
      <c r="D22" s="18">
        <f>IFERROR(('Profile auth test'!$H$18-'Profile auth test'!$H$17)/'Profile auth test'!$H$18,0)</f>
        <v/>
      </c>
      <c r="E22" s="18">
        <f>IFERROR('Profile auth test'!$H$15/'Profile auth test'!$H$18,0)</f>
        <v/>
      </c>
      <c r="F22" s="18">
        <f>IFERROR('Profile auth test'!$H$16/'Profile auth test'!$H$18,0)</f>
        <v/>
      </c>
      <c r="G22" s="11" t="inlineStr">
        <is>
          <t>Low</t>
        </is>
      </c>
      <c r="H22" s="10" t="inlineStr">
        <is>
          <t>Đã khắc phục lỗi thiếu secret fixture khiến 6 ca test invalid auth trả về 422 thay vì 401; toàn bộ 54/54 test pass.</t>
        </is>
      </c>
      <c r="I22" s="11" t="inlineStr">
        <is>
          <t>phucnguyenngoc</t>
        </is>
      </c>
    </row>
    <row r="45">
      <c r="A45" s="19" t="inlineStr">
        <is>
          <t>Bug Report</t>
        </is>
      </c>
    </row>
    <row r="46">
      <c r="A46" s="20" t="inlineStr">
        <is>
          <t>Bug ID</t>
        </is>
      </c>
      <c r="B46" s="20" t="inlineStr">
        <is>
          <t>Description</t>
        </is>
      </c>
      <c r="C46" s="20" t="inlineStr">
        <is>
          <t>Steps to Reproduce</t>
        </is>
      </c>
      <c r="D46" s="20" t="inlineStr">
        <is>
          <t>Input Data</t>
        </is>
      </c>
      <c r="E46" s="20" t="inlineStr">
        <is>
          <t>Expected Result</t>
        </is>
      </c>
      <c r="F46" s="20" t="inlineStr">
        <is>
          <t>Actual Result</t>
        </is>
      </c>
      <c r="G46" s="20" t="inlineStr">
        <is>
          <t>Severity</t>
        </is>
      </c>
      <c r="H46" s="20" t="inlineStr">
        <is>
          <t>Name of Tester</t>
        </is>
      </c>
      <c r="I46" s="20" t="inlineStr">
        <is>
          <t>Logs</t>
        </is>
      </c>
    </row>
    <row r="47" ht="123.5" customHeight="1">
      <c r="A47" s="22" t="inlineStr">
        <is>
          <t>BUG-LOGIN-08</t>
        </is>
      </c>
      <c r="B47" s="22" t="inlineStr">
        <is>
          <t>Gửi số điện thoại có ký tự xuống dòng ở cuối</t>
        </is>
      </c>
      <c r="C47" s="22" t="inlineStr">
        <is>
          <t>1. POST /auth/mobile/otp {phone: "0900000001\n"}
2. POST /auth/mobile/verify {phone: "0900000001\n", token: 123456}</t>
        </is>
      </c>
      <c r="D47" s="22" t="inlineStr">
        <is>
          <t>phone: 0900000001 + ký tự \n</t>
        </is>
      </c>
      <c r="E47" s="22" t="inlineStr">
        <is>
          <t>422 {"detail":"invalid_phone"} (theo AC6 của 01-requirement)</t>
        </is>
      </c>
      <c r="F47" s="22" t="inlineStr">
        <is>
          <t>OTP 204, verify 200 và cấp phiên (backend bỏ ký tự trắng hai đầu)</t>
        </is>
      </c>
      <c r="G47" s="22" t="inlineStr">
        <is>
          <t>Low</t>
        </is>
      </c>
      <c r="H47" s="22" t="inlineStr">
        <is>
          <t>zannguyen</t>
        </is>
      </c>
      <c r="I47"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8" ht="123.5" customHeight="1">
      <c r="A48" s="22" t="inlineStr">
        <is>
          <t>BUG-LOGIN-11</t>
        </is>
      </c>
      <c r="B48" s="22" t="inlineStr">
        <is>
          <t>Gửi số điện thoại viết bằng chữ số Unicode</t>
        </is>
      </c>
      <c r="C48" s="22" t="inlineStr">
        <is>
          <t>1. POST /auth/mobile/otp {phone}
2. POST /auth/mobile/verify {phone, token: 123456}</t>
        </is>
      </c>
      <c r="D48" s="22" t="inlineStr">
        <is>
          <t>+８４９０００００００１ (full-width) | +٨٤٩٠٠٠٠٠٠٠١ (chữ số Ả Rập)</t>
        </is>
      </c>
      <c r="E48" s="22" t="inlineStr">
        <is>
          <t>422 {"detail":"invalid_phone"}, không gọi Supabase</t>
        </is>
      </c>
      <c r="F48" s="22" t="inlineStr">
        <is>
          <t>OTP 503 {"detail":"auth_provider_unavailable"}, verify 401 {"detail":"Invalid credentials"} — request đã tới Supabase</t>
        </is>
      </c>
      <c r="G48" s="22" t="inlineStr">
        <is>
          <t>Low</t>
        </is>
      </c>
      <c r="H48" s="22" t="inlineStr">
        <is>
          <t>zannguyen</t>
        </is>
      </c>
      <c r="I48"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9" ht="189.5" customHeight="1">
      <c r="A49" s="22" t="inlineStr">
        <is>
          <t>BUG-LOGIN-25</t>
        </is>
      </c>
      <c r="B49" s="22" t="inlineStr">
        <is>
          <t>Lưu họ tên có ký tự NUL</t>
        </is>
      </c>
      <c r="C49" s="22" t="inlineStr">
        <is>
          <t>1. POST /auth/profile {ho_ten: "abc\u0000def", ngày sinh, giới tính hợp lệ}</t>
        </is>
      </c>
      <c r="D49" s="22" t="inlineStr">
        <is>
          <t>ho_ten: abc\u0000def</t>
        </is>
      </c>
      <c r="E49" s="22" t="inlineStr">
        <is>
          <t>Không 5xx (từ chối 422 hoặc lưu được); không lộ chi tiết nội bộ</t>
        </is>
      </c>
      <c r="F49" s="22" t="inlineStr">
        <is>
          <t>500 Internal Server Error</t>
        </is>
      </c>
      <c r="G49" s="22" t="inlineStr">
        <is>
          <t>Medium</t>
        </is>
      </c>
      <c r="H49" s="22" t="inlineStr">
        <is>
          <t>zannguyen</t>
        </is>
      </c>
      <c r="I49"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0" ht="90.5" customHeight="1">
      <c r="A50" s="22" t="inlineStr">
        <is>
          <t>BUG-LOGIN-30</t>
        </is>
      </c>
      <c r="B50" s="22" t="inlineStr">
        <is>
          <t>Lưu họ tên dài 256 ký tự</t>
        </is>
      </c>
      <c r="C50" s="22" t="inlineStr">
        <is>
          <t>1. POST /auth/profile {ho_ten: A*256}</t>
        </is>
      </c>
      <c r="D50" s="22" t="inlineStr">
        <is>
          <t>A*256</t>
        </is>
      </c>
      <c r="E50" s="22" t="inlineStr">
        <is>
          <t>422; hồ sơ không đổi (giới hạn 255 theo Q4 của 01-requirement)</t>
        </is>
      </c>
      <c r="F50" s="22" t="inlineStr">
        <is>
          <t>204, đã lưu</t>
        </is>
      </c>
      <c r="G50" s="22" t="inlineStr">
        <is>
          <t>Low</t>
        </is>
      </c>
      <c r="H50" s="22" t="inlineStr">
        <is>
          <t>zannguyen</t>
        </is>
      </c>
      <c r="I50" s="22" t="inlineStr">
        <is>
          <t>Không có giới hạn độ dài họ tên: `_validate_profile` (sign_in.py) chỉ kiểm rỗng; cột users.full_name kiểu text không giới hạn
Log: evidence/test-integration.log</t>
        </is>
      </c>
    </row>
    <row r="51" ht="90.5" customHeight="1">
      <c r="A51" s="22" t="inlineStr">
        <is>
          <t>BUG-LOGIN-32</t>
        </is>
      </c>
      <c r="B51" s="22" t="inlineStr">
        <is>
          <t>Lưu ngày sinh trước 1900-01-01</t>
        </is>
      </c>
      <c r="C51" s="22" t="inlineStr">
        <is>
          <t>1. POST /auth/profile {ngay_sinh}</t>
        </is>
      </c>
      <c r="D51" s="22" t="inlineStr">
        <is>
          <t>1899-12-31 | 0001-01-01</t>
        </is>
      </c>
      <c r="E51" s="22" t="inlineStr">
        <is>
          <t>422; hồ sơ không đổi (cận dưới 1900-01-01 theo Q4)</t>
        </is>
      </c>
      <c r="F51" s="22" t="inlineStr">
        <is>
          <t>204 ở cả hai giá trị, đã lưu</t>
        </is>
      </c>
      <c r="G51" s="22" t="inlineStr">
        <is>
          <t>Low</t>
        </is>
      </c>
      <c r="H51" s="22" t="inlineStr">
        <is>
          <t>zannguyen</t>
        </is>
      </c>
      <c r="I51" s="22" t="inlineStr">
        <is>
          <t>`_validate_birth_date` (sign_in.py:229–231) chỉ chặn ngày tương lai, không có cận dưới. App mobile đã giới hạn date picker từ 1900 nên chỉ gặp khi gọi API trực tiếp
Log: evidence/test-integration.log</t>
        </is>
      </c>
    </row>
    <row r="52" ht="123.5" customHeight="1">
      <c r="A52" s="22" t="inlineStr">
        <is>
          <t>BUG-LOGIN-35</t>
        </is>
      </c>
      <c r="B52" s="22" t="inlineStr">
        <is>
          <t>Lưu ngày sinh là hôm nay lúc 00:30 giờ Việt Nam</t>
        </is>
      </c>
      <c r="C52" s="22" t="inlineStr">
        <is>
          <t>1. POST /auth/profile {ngay_sinh: "2026-10-08"}</t>
        </is>
      </c>
      <c r="D52" s="22" t="inlineStr">
        <is>
          <t>ngay_sinh: 2026-10-08</t>
        </is>
      </c>
      <c r="E52" s="22" t="inlineStr">
        <is>
          <t>204 (hôm nay theo giờ Asia/Ho_Chi_Minh — bất biến 7)</t>
        </is>
      </c>
      <c r="F52" s="22" t="inlineStr">
        <is>
          <t>422 {"detail":"invalid_date_of_birth"}</t>
        </is>
      </c>
      <c r="G52" s="22" t="inlineStr">
        <is>
          <t>Medium</t>
        </is>
      </c>
      <c r="H52" s="22" t="inlineStr">
        <is>
          <t>zannguyen</t>
        </is>
      </c>
      <c r="I52"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3" ht="173" customHeight="1">
      <c r="A53" s="22" t="inlineStr">
        <is>
          <t>BUG-LOGIN-42</t>
        </is>
      </c>
      <c r="B53" s="22" t="inlineStr">
        <is>
          <t>Chạm lại ô OTP sau khi nhập sai để sửa mã</t>
        </is>
      </c>
      <c r="C53" s="22" t="inlineStr">
        <is>
          <t>1. Chạm vào ô mã OTP
2. Theo dõi request backend nhận được</t>
        </is>
      </c>
      <c r="D53" s="22" t="inlineStr">
        <is>
          <t>Ô đang chứa 000000</t>
        </is>
      </c>
      <c r="E53" s="22" t="inlineStr">
        <is>
          <t>Không gửi xác thực cho tới khi người dùng nhập mã mới đủ 6 số</t>
        </is>
      </c>
      <c r="F53" s="22" t="inlineStr">
        <is>
          <t>Backend nhận thêm một POST /auth/mobile/verify 401 với mã cũ ngay khi chạm ô (chuỗi request: otp 204, verify 401, verify 401, verify 200)</t>
        </is>
      </c>
      <c r="G53" s="22" t="inlineStr">
        <is>
          <t>Low</t>
        </is>
      </c>
      <c r="H53" s="22" t="inlineStr">
        <is>
          <t>zannguyen</t>
        </is>
      </c>
      <c r="I53"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4" ht="189.5" customHeight="1">
      <c r="A54" s="22" t="inlineStr">
        <is>
          <t>BUG-LINKCODE-28</t>
        </is>
      </c>
      <c r="B54" s="22" t="inlineStr">
        <is>
          <t>Toàn bộ unit test, architecture test và ruff toàn repo pass</t>
        </is>
      </c>
      <c r="C54" s="22" t="inlineStr">
        <is>
          <t>1. pytest tests/unit tests/architecture -q
2. ruff check .
3. So với baseline trước khi sửa code</t>
        </is>
      </c>
      <c r="D54" s="22" t="inlineStr">
        <is>
          <t>-</t>
        </is>
      </c>
      <c r="E54" s="22" t="inlineStr">
        <is>
          <t>pytest và ruff đều pass</t>
        </is>
      </c>
      <c r="F54" s="22" t="inlineStr">
        <is>
          <t>697 pass, 1 fail (tests/unit/test_app.py::test_doses_batch_openapi_uses_contract_shape: NameError paths); ruff toàn repo 21 lỗi ở module khác. Fail và lỗi ruff đã có trước khi task sửa code; file của task pass ruff</t>
        </is>
      </c>
      <c r="G54" s="22" t="inlineStr">
        <is>
          <t>Low</t>
        </is>
      </c>
      <c r="H54" s="22" t="inlineStr">
        <is>
          <t>zannguyen</t>
        </is>
      </c>
      <c r="I54"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row r="55" ht="239" customHeight="1">
      <c r="A55" s="22" t="inlineStr">
        <is>
          <t>BUG-REGDOSE-01</t>
        </is>
      </c>
      <c r="B55" s="22" t="inlineStr">
        <is>
          <t>Đối chiếu scheduled_at có giây khi xác nhận liều</t>
        </is>
      </c>
      <c r="C55"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5" s="22" t="inlineStr">
        <is>
          <t>client_uuid: UUID mới; schedule_id: fixture; scheduled_at=2026-10-02T01:00:59.999Z; taken_at=2026-10-02T01:05:59.999Z</t>
        </is>
      </c>
      <c r="E55" s="22" t="inlineStr">
        <is>
          <t>Theo test hiện có: HTTP 200, synced, da_uong và scheduled_at=2026-10-02T01:00:00Z.</t>
        </is>
      </c>
      <c r="F55" s="22" t="inlineStr">
        <is>
          <t>HTTP 200, synced, da_uong; scheduled_at=2026-10-02T01:00:59.999000Z. Fail trong suite DB và lặp lại khi chạy riêng (1 failed trong 1.67s).</t>
        </is>
      </c>
      <c r="G55" s="22" t="inlineStr">
        <is>
          <t>Medium</t>
        </is>
      </c>
      <c r="H55" s="22" t="inlineStr">
        <is>
          <t>phucnguyenngoc</t>
        </is>
      </c>
      <c r="I55"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56" ht="123.5" customHeight="1">
      <c r="A56" s="22" t="inlineStr">
        <is>
          <t>BUG-APIC-04</t>
        </is>
      </c>
      <c r="B56" s="22" t="inlineStr">
        <is>
          <t>Kiểm tra profile và condition contract</t>
        </is>
      </c>
      <c r="C56" s="22" t="inlineStr">
        <is>
          <t>1. Chạy `pytest tests/unit/test_contract_profile.py -q -p no:cacheprovider`.
2. Kiểm tra response headers, required/nullability, bearer security và semantics 403/404.</t>
        </is>
      </c>
      <c r="D56" s="22" t="inlineStr">
        <is>
          <t>GET/PUT profile; GET/POST/PATCH/DELETE conditions.</t>
        </is>
      </c>
      <c r="E56" s="22" t="inlineStr">
        <is>
          <t>Toàn bộ profile parity pass, gồm Cache-Control theo contract.</t>
        </is>
      </c>
      <c r="F56" s="22" t="inlineStr">
        <is>
          <t>3 profile operation thất bại do Cache-Control const ở runtime so với enum trong contract; lỗi được giữ lại theo phạm vi đã duyệt.</t>
        </is>
      </c>
      <c r="G56" s="22" t="inlineStr">
        <is>
          <t>Medium</t>
        </is>
      </c>
      <c r="H56" s="22" t="inlineStr">
        <is>
          <t>phucnguyenngoc</t>
        </is>
      </c>
      <c r="I56" s="22" t="inlineStr">
        <is>
          <t>Đã xác định mismatch giữa metadata Cache-Control của generated runtime OpenAPI và contract chuẩn.
Log: evidence/implement-P4-parity.log</t>
        </is>
      </c>
    </row>
    <row r="57" ht="90.5" customHeight="1">
      <c r="A57" s="22" t="inlineStr">
        <is>
          <t>BUG-APIC-09</t>
        </is>
      </c>
      <c r="B57" s="22" t="inlineStr">
        <is>
          <t>Xem kết quả full unit và phân loại lỗi còn lại</t>
        </is>
      </c>
      <c r="C57" s="22" t="inlineStr">
        <is>
          <t>1. Đọc `evidence/implement-final-backend.log`.
2. Xác nhận số pass/fail và phân loại các lỗi nằm ngoài phạm vi/mismatch đã ghi.</t>
        </is>
      </c>
      <c r="D57" s="22" t="inlineStr">
        <is>
          <t>Toàn bộ backend unit và architecture suites.</t>
        </is>
      </c>
      <c r="E57" s="22" t="inlineStr">
        <is>
          <t>Không có failure bị che; lỗi nền và mismatch được báo riêng.</t>
        </is>
      </c>
      <c r="F57" s="22" t="inlineStr">
        <is>
          <t>815 passed, 9 failed: ba Cache-Control mismatch và sáu lỗi auth trả 422 thay vì 401.</t>
        </is>
      </c>
      <c r="G57" s="22" t="inlineStr">
        <is>
          <t>Medium</t>
        </is>
      </c>
      <c r="H57" s="22" t="inlineStr">
        <is>
          <t>phucnguyenngoc</t>
        </is>
      </c>
      <c r="I57" s="22" t="inlineStr">
        <is>
          <t>Ba failure contract-runtime Cache-Control đã xác định; sáu lỗi auth 422 thay vì 401 còn là lỗi hiện có ngoài phạm vi, nguyên nhân gốc chưa xác định trong task này.
Log: evidence/implement-final-backend.log</t>
        </is>
      </c>
    </row>
    <row r="58" ht="123.5" customHeight="1">
      <c r="A58" s="22" t="inlineStr">
        <is>
          <t>BUG-APIC-11</t>
        </is>
      </c>
      <c r="B58" s="22" t="inlineStr">
        <is>
          <t>Kiểm tra test admin role revocation cho catalog sync history</t>
        </is>
      </c>
      <c r="C58" s="22" t="inlineStr">
        <is>
          <t>1. Chạy test_admin_role_revocation_applies_on_next_request__AC8 trong toàn bộ integration suite.
2. Gửi GET /admin/catalog/sync-runs với admin session do fixture tạo.</t>
        </is>
      </c>
      <c r="D58" s="22" t="inlineStr">
        <is>
          <t>Nguồn sync fixture qd_5948.</t>
        </is>
      </c>
      <c r="E58" s="22" t="inlineStr">
        <is>
          <t>Request đầu trả 200 trước khi thu hồi admin role.</t>
        </is>
      </c>
      <c r="F58" s="22" t="inlineStr">
        <is>
          <t>Request phát sinh ValueError: qd_5948 is not a valid CatalogSyncSource trước khi assertion status hoàn tất.</t>
        </is>
      </c>
      <c r="G58" s="22" t="inlineStr">
        <is>
          <t>Medium</t>
        </is>
      </c>
      <c r="H58" s="22" t="inlineStr">
        <is>
          <t>phucnguyenngoc</t>
        </is>
      </c>
      <c r="I58" s="22" t="inlineStr">
        <is>
          <t>Nguyên nhân gốc chưa xác định; nghi vấn fixture dùng catalog sync source không có trong enum CatalogSyncSource.
Log: evidence/test-integration.log</t>
        </is>
      </c>
    </row>
    <row r="59" ht="123.5" customHeight="1">
      <c r="A59" s="22" t="inlineStr">
        <is>
          <t>BUG-APIC-12</t>
        </is>
      </c>
      <c r="B59" s="22" t="inlineStr">
        <is>
          <t>Kiểm tra timestamp của dose batch</t>
        </is>
      </c>
      <c r="C59" s="22" t="inlineStr">
        <is>
          <t>1. Chạy test_post_doses_batch_creates_dose_log_for_authenticated_patient__AC1_AC10_AC18.
2. Gửi dose batch và so timestamp response với scheduled time.</t>
        </is>
      </c>
      <c r="D59" s="22" t="inlineStr">
        <is>
          <t>Scheduled time 2026-10-02T01:00:00Z.</t>
        </is>
      </c>
      <c r="E59" s="22" t="inlineStr">
        <is>
          <t>Dose log trả đúng scheduled time 2026-10-02T01:00:00Z.</t>
        </is>
      </c>
      <c r="F59" s="22" t="inlineStr">
        <is>
          <t>Response trả 2026-10-02T01:00:59.999000Z; assertion không khớp kỳ vọng.</t>
        </is>
      </c>
      <c r="G59" s="22" t="inlineStr">
        <is>
          <t>Medium</t>
        </is>
      </c>
      <c r="H59" s="22" t="inlineStr">
        <is>
          <t>phucnguyenngoc</t>
        </is>
      </c>
      <c r="I59" s="22" t="inlineStr">
        <is>
          <t>Nguyên nhân gốc chưa xác định; nghi vấn time-window selection trả cuối cửa sổ một phút thay vì scheduled time.
Log: evidence/test-integration.log</t>
        </is>
      </c>
    </row>
  </sheetData>
  <mergeCells count="2">
    <mergeCell ref="A1:G1"/>
    <mergeCell ref="A3:A5"/>
  </mergeCells>
  <conditionalFormatting sqref="F11:F22">
    <cfRule type="cellIs" priority="1" operator="greaterThan" dxfId="0">
      <formula>0.2</formula>
    </cfRule>
  </conditionalFormatting>
  <conditionalFormatting sqref="G11:G22">
    <cfRule type="expression" priority="2" dxfId="0">
      <formula>OR(G11="Critical",G11="High")</formula>
    </cfRule>
  </conditionalFormatting>
  <conditionalFormatting sqref="G47:G59">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2" showDropDown="0" showInputMessage="0" showErrorMessage="0" allowBlank="1" type="list">
      <formula1>"Critical,High,Medium,Low"</formula1>
    </dataValidation>
    <dataValidation sqref="G47:G59"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2026-10-16T05:47:39Z</dcterms:modified>
  <cp:lastModifiedBy>Người dùng Khách</cp:lastModifiedBy>
</cp:coreProperties>
</file>