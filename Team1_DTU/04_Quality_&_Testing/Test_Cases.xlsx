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Chọn thuốc danh mục" sheetId="8" state="visible" r:id="rId8"/>
    <sheet xmlns:r="http://schemas.openxmlformats.org/officeDocument/2006/relationships" name="Hồi quy xác nhận liều" sheetId="9" state="visible" r:id="rId9"/>
    <sheet xmlns:r="http://schemas.openxmlformats.org/officeDocument/2006/relationships" name="Report" sheetId="10" state="visible" r:id="rId1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'Chọn thuốc danh mục'!$A$8:$I$37</definedName>
    <definedName name="_xlnm._FilterDatabase" localSheetId="8" hidden="1">'Hồi quy xác nhận liều'!$A$8:$I$9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'Report'!$A$11:$A$19</f>
            </numRef>
          </cat>
          <val>
            <numRef>
              <f>'Report'!$D$11:$D$19</f>
            </numRef>
          </val>
        </ser>
        <ser>
          <idx val="1"/>
          <order val="1"/>
          <tx>
            <strRef>
              <f>'Report'!E10</f>
            </strRef>
          </tx>
          <spPr>
            <a:ln xmlns:a="http://schemas.openxmlformats.org/drawingml/2006/main">
              <a:prstDash val="solid"/>
            </a:ln>
          </spPr>
          <cat>
            <numRef>
              <f>'Report'!$A$11:$A$19</f>
            </numRef>
          </cat>
          <val>
            <numRef>
              <f>'Report'!$E$11:$E$19</f>
            </numRef>
          </val>
        </ser>
        <ser>
          <idx val="2"/>
          <order val="2"/>
          <tx>
            <strRef>
              <f>'Report'!F10</f>
            </strRef>
          </tx>
          <spPr>
            <a:ln xmlns:a="http://schemas.openxmlformats.org/drawingml/2006/main">
              <a:prstDash val="solid"/>
            </a:ln>
          </spPr>
          <cat>
            <numRef>
              <f>'Report'!$A$11:$A$19</f>
            </numRef>
          </cat>
          <val>
            <numRef>
              <f>'Report'!$F$11:$F$19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21</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21</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23.5" customHeight="1">
      <c r="A18" s="11" t="inlineStr">
        <is>
          <t>Tìm và chọn thuốc khi nhập thuốc</t>
        </is>
      </c>
      <c r="B18" s="10" t="inlineStr">
        <is>
          <t>Sheet tìm/chọn danh mục trong form thêm thuốc, không gồm tra cứu độc lập.</t>
        </is>
      </c>
      <c r="C18" s="11" t="inlineStr">
        <is>
          <t>Chọn thuốc danh mục</t>
        </is>
      </c>
      <c r="D18" s="18">
        <f>IFERROR(('Chọn thuốc danh mục'!$H$43-'Chọn thuốc danh mục'!$H$42)/'Chọn thuốc danh mục'!$H$43,0)</f>
        <v/>
      </c>
      <c r="E18" s="18">
        <f>IFERROR('Chọn thuốc danh mục'!$H$40/'Chọn thuốc danh mục'!$H$43,0)</f>
        <v/>
      </c>
      <c r="F18" s="18">
        <f>IFERROR('Chọn thuốc danh mục'!$H$41/'Chọn thuốc danh mục'!$H$43,0)</f>
        <v/>
      </c>
      <c r="G18" s="11" t="inlineStr">
        <is>
          <t>Medium</t>
        </is>
      </c>
      <c r="H18"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8" s="11" t="inlineStr">
        <is>
          <t>phucnguyenngoc</t>
        </is>
      </c>
    </row>
    <row r="19" ht="90.5" customHeight="1">
      <c r="A19" s="11" t="inlineStr">
        <is>
          <t>Hồi quy xác nhận liều</t>
        </is>
      </c>
      <c r="B19" s="10" t="inlineStr">
        <is>
          <t>Sai khác test–API phát hiện khi chạy bộ tích hợp rộng của task 3.05; ngoài chức năng tìm/chọn thuốc.</t>
        </is>
      </c>
      <c r="C19" s="11" t="inlineStr">
        <is>
          <t>Hồi quy xác nhận liều</t>
        </is>
      </c>
      <c r="D19" s="18">
        <f>IFERROR(('Hồi quy xác nhận liều'!$H$15-'Hồi quy xác nhận liều'!$H$14)/'Hồi quy xác nhận liều'!$H$15,0)</f>
        <v/>
      </c>
      <c r="E19" s="18">
        <f>IFERROR('Hồi quy xác nhận liều'!$H$12/'Hồi quy xác nhận liều'!$H$15,0)</f>
        <v/>
      </c>
      <c r="F19" s="18">
        <f>IFERROR('Hồi quy xác nhận liều'!$H$13/'Hồi quy xác nhận liều'!$H$15,0)</f>
        <v/>
      </c>
      <c r="G19" s="11" t="inlineStr">
        <is>
          <t>Medium</t>
        </is>
      </c>
      <c r="H19" s="10" t="inlineStr">
        <is>
          <t>Một test Fail lặp lại; chưa kết luận sản phẩm sai hay kỳ vọng test đã cũ. Không sửa backend trong task 3.05.</t>
        </is>
      </c>
      <c r="I19" s="11" t="inlineStr">
        <is>
          <t>phucnguyenngoc</t>
        </is>
      </c>
    </row>
    <row r="42">
      <c r="A42" s="19" t="inlineStr">
        <is>
          <t>Bug Report</t>
        </is>
      </c>
    </row>
    <row r="43">
      <c r="A43" s="20" t="inlineStr">
        <is>
          <t>Bug ID</t>
        </is>
      </c>
      <c r="B43" s="20" t="inlineStr">
        <is>
          <t>Description</t>
        </is>
      </c>
      <c r="C43" s="20" t="inlineStr">
        <is>
          <t>Steps to Reproduce</t>
        </is>
      </c>
      <c r="D43" s="20" t="inlineStr">
        <is>
          <t>Input Data</t>
        </is>
      </c>
      <c r="E43" s="20" t="inlineStr">
        <is>
          <t>Expected Result</t>
        </is>
      </c>
      <c r="F43" s="20" t="inlineStr">
        <is>
          <t>Actual Result</t>
        </is>
      </c>
      <c r="G43" s="20" t="inlineStr">
        <is>
          <t>Severity</t>
        </is>
      </c>
      <c r="H43" s="20" t="inlineStr">
        <is>
          <t>Name of Tester</t>
        </is>
      </c>
      <c r="I43" s="20" t="inlineStr">
        <is>
          <t>Logs</t>
        </is>
      </c>
    </row>
    <row r="44" ht="123.5" customHeight="1">
      <c r="A44" s="22" t="inlineStr">
        <is>
          <t>BUG-LOGIN-08</t>
        </is>
      </c>
      <c r="B44" s="22" t="inlineStr">
        <is>
          <t>Gửi số điện thoại có ký tự xuống dòng ở cuối</t>
        </is>
      </c>
      <c r="C44" s="22" t="inlineStr">
        <is>
          <t>1. POST /auth/mobile/otp {phone: "0900000001\n"}
2. POST /auth/mobile/verify {phone: "0900000001\n", token: 123456}</t>
        </is>
      </c>
      <c r="D44" s="22" t="inlineStr">
        <is>
          <t>phone: 0900000001 + ký tự \n</t>
        </is>
      </c>
      <c r="E44" s="22" t="inlineStr">
        <is>
          <t>422 {"detail":"invalid_phone"} (theo AC6 của 01-requirement)</t>
        </is>
      </c>
      <c r="F44" s="22" t="inlineStr">
        <is>
          <t>OTP 204, verify 200 và cấp phiên (backend bỏ ký tự trắng hai đầu)</t>
        </is>
      </c>
      <c r="G44" s="22" t="inlineStr">
        <is>
          <t>Low</t>
        </is>
      </c>
      <c r="H44" s="22" t="inlineStr">
        <is>
          <t>zannguyen</t>
        </is>
      </c>
      <c r="I4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5" ht="123.5" customHeight="1">
      <c r="A45" s="22" t="inlineStr">
        <is>
          <t>BUG-LOGIN-11</t>
        </is>
      </c>
      <c r="B45" s="22" t="inlineStr">
        <is>
          <t>Gửi số điện thoại viết bằng chữ số Unicode</t>
        </is>
      </c>
      <c r="C45" s="22" t="inlineStr">
        <is>
          <t>1. POST /auth/mobile/otp {phone}
2. POST /auth/mobile/verify {phone, token: 123456}</t>
        </is>
      </c>
      <c r="D45" s="22" t="inlineStr">
        <is>
          <t>+８４９０００００００１ (full-width) | +٨٤٩٠٠٠٠٠٠٠١ (chữ số Ả Rập)</t>
        </is>
      </c>
      <c r="E45" s="22" t="inlineStr">
        <is>
          <t>422 {"detail":"invalid_phone"}, không gọi Supabase</t>
        </is>
      </c>
      <c r="F45" s="22" t="inlineStr">
        <is>
          <t>OTP 503 {"detail":"auth_provider_unavailable"}, verify 401 {"detail":"Invalid credentials"} — request đã tới Supabase</t>
        </is>
      </c>
      <c r="G45" s="22" t="inlineStr">
        <is>
          <t>Low</t>
        </is>
      </c>
      <c r="H45" s="22" t="inlineStr">
        <is>
          <t>zannguyen</t>
        </is>
      </c>
      <c r="I4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6" ht="189.5" customHeight="1">
      <c r="A46" s="22" t="inlineStr">
        <is>
          <t>BUG-LOGIN-25</t>
        </is>
      </c>
      <c r="B46" s="22" t="inlineStr">
        <is>
          <t>Lưu họ tên có ký tự NUL</t>
        </is>
      </c>
      <c r="C46" s="22" t="inlineStr">
        <is>
          <t>1. POST /auth/profile {ho_ten: "abc\u0000def", ngày sinh, giới tính hợp lệ}</t>
        </is>
      </c>
      <c r="D46" s="22" t="inlineStr">
        <is>
          <t>ho_ten: abc\u0000def</t>
        </is>
      </c>
      <c r="E46" s="22" t="inlineStr">
        <is>
          <t>Không 5xx (từ chối 422 hoặc lưu được); không lộ chi tiết nội bộ</t>
        </is>
      </c>
      <c r="F46" s="22" t="inlineStr">
        <is>
          <t>500 Internal Server Error</t>
        </is>
      </c>
      <c r="G46" s="22" t="inlineStr">
        <is>
          <t>Medium</t>
        </is>
      </c>
      <c r="H46" s="22" t="inlineStr">
        <is>
          <t>zannguyen</t>
        </is>
      </c>
      <c r="I4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7" ht="90.5" customHeight="1">
      <c r="A47" s="22" t="inlineStr">
        <is>
          <t>BUG-LOGIN-30</t>
        </is>
      </c>
      <c r="B47" s="22" t="inlineStr">
        <is>
          <t>Lưu họ tên dài 256 ký tự</t>
        </is>
      </c>
      <c r="C47" s="22" t="inlineStr">
        <is>
          <t>1. POST /auth/profile {ho_ten: A*256}</t>
        </is>
      </c>
      <c r="D47" s="22" t="inlineStr">
        <is>
          <t>A*256</t>
        </is>
      </c>
      <c r="E47" s="22" t="inlineStr">
        <is>
          <t>422; hồ sơ không đổi (giới hạn 255 theo Q4 của 01-requirement)</t>
        </is>
      </c>
      <c r="F47" s="22" t="inlineStr">
        <is>
          <t>204, đã lưu</t>
        </is>
      </c>
      <c r="G47" s="22" t="inlineStr">
        <is>
          <t>Low</t>
        </is>
      </c>
      <c r="H47" s="22" t="inlineStr">
        <is>
          <t>zannguyen</t>
        </is>
      </c>
      <c r="I47" s="22" t="inlineStr">
        <is>
          <t>Không có giới hạn độ dài họ tên: `_validate_profile` (sign_in.py) chỉ kiểm rỗng; cột users.full_name kiểu text không giới hạn
Log: evidence/test-integration.log</t>
        </is>
      </c>
    </row>
    <row r="48" ht="90.5" customHeight="1">
      <c r="A48" s="22" t="inlineStr">
        <is>
          <t>BUG-LOGIN-32</t>
        </is>
      </c>
      <c r="B48" s="22" t="inlineStr">
        <is>
          <t>Lưu ngày sinh trước 1900-01-01</t>
        </is>
      </c>
      <c r="C48" s="22" t="inlineStr">
        <is>
          <t>1. POST /auth/profile {ngay_sinh}</t>
        </is>
      </c>
      <c r="D48" s="22" t="inlineStr">
        <is>
          <t>1899-12-31 | 0001-01-01</t>
        </is>
      </c>
      <c r="E48" s="22" t="inlineStr">
        <is>
          <t>422; hồ sơ không đổi (cận dưới 1900-01-01 theo Q4)</t>
        </is>
      </c>
      <c r="F48" s="22" t="inlineStr">
        <is>
          <t>204 ở cả hai giá trị, đã lưu</t>
        </is>
      </c>
      <c r="G48" s="22" t="inlineStr">
        <is>
          <t>Low</t>
        </is>
      </c>
      <c r="H48" s="22" t="inlineStr">
        <is>
          <t>zannguyen</t>
        </is>
      </c>
      <c r="I48" s="22" t="inlineStr">
        <is>
          <t>`_validate_birth_date` (sign_in.py:229–231) chỉ chặn ngày tương lai, không có cận dưới. App mobile đã giới hạn date picker từ 1900 nên chỉ gặp khi gọi API trực tiếp
Log: evidence/test-integration.log</t>
        </is>
      </c>
    </row>
    <row r="49" ht="123.5" customHeight="1">
      <c r="A49" s="22" t="inlineStr">
        <is>
          <t>BUG-LOGIN-35</t>
        </is>
      </c>
      <c r="B49" s="22" t="inlineStr">
        <is>
          <t>Lưu ngày sinh là hôm nay lúc 00:30 giờ Việt Nam</t>
        </is>
      </c>
      <c r="C49" s="22" t="inlineStr">
        <is>
          <t>1. POST /auth/profile {ngay_sinh: "2026-10-08"}</t>
        </is>
      </c>
      <c r="D49" s="22" t="inlineStr">
        <is>
          <t>ngay_sinh: 2026-10-08</t>
        </is>
      </c>
      <c r="E49" s="22" t="inlineStr">
        <is>
          <t>204 (hôm nay theo giờ Asia/Ho_Chi_Minh — bất biến 7)</t>
        </is>
      </c>
      <c r="F49" s="22" t="inlineStr">
        <is>
          <t>422 {"detail":"invalid_date_of_birth"}</t>
        </is>
      </c>
      <c r="G49" s="22" t="inlineStr">
        <is>
          <t>Medium</t>
        </is>
      </c>
      <c r="H49" s="22" t="inlineStr">
        <is>
          <t>zannguyen</t>
        </is>
      </c>
      <c r="I4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0" ht="173" customHeight="1">
      <c r="A50" s="22" t="inlineStr">
        <is>
          <t>BUG-LOGIN-42</t>
        </is>
      </c>
      <c r="B50" s="22" t="inlineStr">
        <is>
          <t>Chạm lại ô OTP sau khi nhập sai để sửa mã</t>
        </is>
      </c>
      <c r="C50" s="22" t="inlineStr">
        <is>
          <t>1. Chạm vào ô mã OTP
2. Theo dõi request backend nhận được</t>
        </is>
      </c>
      <c r="D50" s="22" t="inlineStr">
        <is>
          <t>Ô đang chứa 000000</t>
        </is>
      </c>
      <c r="E50" s="22" t="inlineStr">
        <is>
          <t>Không gửi xác thực cho tới khi người dùng nhập mã mới đủ 6 số</t>
        </is>
      </c>
      <c r="F50" s="22" t="inlineStr">
        <is>
          <t>Backend nhận thêm một POST /auth/mobile/verify 401 với mã cũ ngay khi chạm ô (chuỗi request: otp 204, verify 401, verify 401, verify 200)</t>
        </is>
      </c>
      <c r="G50" s="22" t="inlineStr">
        <is>
          <t>Low</t>
        </is>
      </c>
      <c r="H50" s="22" t="inlineStr">
        <is>
          <t>zannguyen</t>
        </is>
      </c>
      <c r="I5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1" ht="239" customHeight="1">
      <c r="A51" s="22" t="inlineStr">
        <is>
          <t>BUG-REGDOSE-01</t>
        </is>
      </c>
      <c r="B51" s="22" t="inlineStr">
        <is>
          <t>Đối chiếu scheduled_at có giây khi xác nhận liều</t>
        </is>
      </c>
      <c r="C51"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1" s="22" t="inlineStr">
        <is>
          <t>client_uuid: UUID mới; schedule_id: fixture; scheduled_at=2026-10-02T01:00:59.999Z; taken_at=2026-10-02T01:05:59.999Z</t>
        </is>
      </c>
      <c r="E51" s="22" t="inlineStr">
        <is>
          <t>Theo test hiện có: HTTP 200, synced, da_uong và scheduled_at=2026-10-02T01:00:00Z.</t>
        </is>
      </c>
      <c r="F51" s="22" t="inlineStr">
        <is>
          <t>HTTP 200, synced, da_uong; scheduled_at=2026-10-02T01:00:59.999000Z. Fail trong suite DB và lặp lại khi chạy riêng (1 failed trong 1.67s).</t>
        </is>
      </c>
      <c r="G51" s="22" t="inlineStr">
        <is>
          <t>Medium</t>
        </is>
      </c>
      <c r="H51" s="22" t="inlineStr">
        <is>
          <t>phucnguyenngoc</t>
        </is>
      </c>
      <c r="I51"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19">
    <cfRule type="cellIs" priority="1" operator="greaterThan" dxfId="0">
      <formula>0.2</formula>
    </cfRule>
  </conditionalFormatting>
  <conditionalFormatting sqref="G11:G19">
    <cfRule type="expression" priority="2" dxfId="0">
      <formula>OR(G11="Critical",G11="High")</formula>
    </cfRule>
  </conditionalFormatting>
  <conditionalFormatting sqref="G44:G51">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9" showDropDown="0" showInputMessage="0" showErrorMessage="0" allowBlank="1" type="list">
      <formula1>"Critical,High,Medium,Low"</formula1>
    </dataValidation>
    <dataValidation sqref="G44:G51"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2026-10-13T04:11:41Z</dcterms:modified>
  <cp:lastModifiedBy>Người dùng Khách</cp:lastModifiedBy>
</cp:coreProperties>
</file>