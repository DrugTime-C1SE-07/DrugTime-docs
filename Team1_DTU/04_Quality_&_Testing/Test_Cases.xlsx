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Lịch uống thuốc" sheetId="3" state="visible" r:id="rId3"/>
    <sheet xmlns:r="http://schemas.openxmlformats.org/officeDocument/2006/relationships" name="Tải lịch uống" sheetId="4" state="visible" r:id="rId4"/>
    <sheet xmlns:r="http://schemas.openxmlformats.org/officeDocument/2006/relationships" name="Tương tác thuốc-thuốc" sheetId="5" state="visible" r:id="rId5"/>
    <sheet xmlns:r="http://schemas.openxmlformats.org/officeDocument/2006/relationships" name="Tương tác thuốc-thực phẩm" sheetId="6" state="visible" r:id="rId6"/>
    <sheet xmlns:r="http://schemas.openxmlformats.org/officeDocument/2006/relationships" name="Tra cứu hoạt chất" sheetId="7" state="visible" r:id="rId7"/>
    <sheet xmlns:r="http://schemas.openxmlformats.org/officeDocument/2006/relationships" name="Mã liên kết người thân" sheetId="8" state="visible" r:id="rId8"/>
    <sheet xmlns:r="http://schemas.openxmlformats.org/officeDocument/2006/relationships" name="Chọn thuốc danh mục" sheetId="9" state="visible" r:id="rId9"/>
    <sheet xmlns:r="http://schemas.openxmlformats.org/officeDocument/2006/relationships" name="Hồi quy xác nhận liều" sheetId="10" state="visible" r:id="rId10"/>
    <sheet xmlns:r="http://schemas.openxmlformats.org/officeDocument/2006/relationships" name="Landing page" sheetId="11" state="visible" r:id="rId11"/>
    <sheet xmlns:r="http://schemas.openxmlformats.org/officeDocument/2006/relationships" name="Yêu cầu liên kết người thân" sheetId="12" state="visible" r:id="rId12"/>
    <sheet xmlns:r="http://schemas.openxmlformats.org/officeDocument/2006/relationships" name="Theo dõi người thân (app)" sheetId="13" state="visible" r:id="rId13"/>
    <sheet xmlns:r="http://schemas.openxmlformats.org/officeDocument/2006/relationships" name="Link mời người thân" sheetId="14" state="visible" r:id="rId14"/>
    <sheet xmlns:r="http://schemas.openxmlformats.org/officeDocument/2006/relationships" name="Khung điều hướng app" sheetId="15" state="visible" r:id="rId15"/>
    <sheet xmlns:r="http://schemas.openxmlformats.org/officeDocument/2006/relationships" name="Duyệt yêu cầu liên kết" sheetId="16" state="visible" r:id="rId16"/>
    <sheet xmlns:r="http://schemas.openxmlformats.org/officeDocument/2006/relationships" name="Người giám sát" sheetId="17" state="visible" r:id="rId17"/>
    <sheet xmlns:r="http://schemas.openxmlformats.org/officeDocument/2006/relationships" name="Report" sheetId="18" state="visible" r:id="rId18"/>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mục'!$A$8:$I$37</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 name="_xlnm._FilterDatabase" localSheetId="15" hidden="1">'Duyệt yêu cầu liên kết'!$A$8:$I$35</definedName>
    <definedName name="_xlnm._FilterDatabase" localSheetId="16" hidden="1">'Người giám sát'!$A$8:$I$36</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'Report'!$A$11:$A$27</f>
            </numRef>
          </cat>
          <val>
            <numRef>
              <f>'Report'!$D$11:$D$27</f>
            </numRef>
          </val>
        </ser>
        <ser>
          <idx val="1"/>
          <order val="1"/>
          <tx>
            <strRef>
              <f>'Report'!E10</f>
            </strRef>
          </tx>
          <spPr>
            <a:ln xmlns:a="http://schemas.openxmlformats.org/drawingml/2006/main">
              <a:prstDash val="solid"/>
            </a:ln>
          </spPr>
          <cat>
            <numRef>
              <f>'Report'!$A$11:$A$27</f>
            </numRef>
          </cat>
          <val>
            <numRef>
              <f>'Report'!$E$11:$E$27</f>
            </numRef>
          </val>
        </ser>
        <ser>
          <idx val="2"/>
          <order val="2"/>
          <tx>
            <strRef>
              <f>'Report'!F10</f>
            </strRef>
          </tx>
          <spPr>
            <a:ln xmlns:a="http://schemas.openxmlformats.org/drawingml/2006/main">
              <a:prstDash val="solid"/>
            </a:ln>
          </spPr>
          <cat>
            <numRef>
              <f>'Report'!$A$11:$A$27</f>
            </numRef>
          </cat>
          <val>
            <numRef>
              <f>'Report'!$F$11:$F$27</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29</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29</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41"/>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Duyệt yêu cầu liên kết người thân (LINKAPPROVE)</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BS-04: người thân gửi lại yêu cầu</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TC-LINKAPPROVE-01</t>
        </is>
      </c>
      <c r="B9" s="7" t="inlineStr">
        <is>
          <t>Xem danh sách yêu cầu đang chờ của chính mình</t>
        </is>
      </c>
      <c r="C9" s="8" t="inlineStr">
        <is>
          <t>Patient P có 2 yêu cầu pending từ F1 (gửi trước) và F2 (gửi sau); có thêm yêu cầu pending gửi cho patient khác</t>
        </is>
      </c>
      <c r="D9" s="8" t="inlineStr">
        <is>
          <t>1. Đăng nhập bằng P
2. GET /family/links?status=pending</t>
        </is>
      </c>
      <c r="E9" s="8" t="inlineStr">
        <is>
          <t>status=pending</t>
        </is>
      </c>
      <c r="F9" s="8" t="inlineStr">
        <is>
          <t>200; items gồm đúng 2 mục theo thứ tự F2, F1; mỗi mục chỉ có link_id, family_user_id, family_full_name, status=pending, requested_at; có audit list_pending/allowed</t>
        </is>
      </c>
      <c r="G9" s="8" t="inlineStr">
        <is>
          <t>Đúng như mong đợi</t>
        </is>
      </c>
      <c r="H9" s="7" t="inlineStr">
        <is>
          <t>Pass</t>
        </is>
      </c>
      <c r="I9" s="8" t="inlineStr">
        <is>
          <t>AC2 · test_list_own_pending_minimal_order_without_consents__AC12_AC13 · evidence/test-integration.log</t>
        </is>
      </c>
      <c r="K9" s="9" t="inlineStr">
        <is>
          <t>family_user_id (body approve)</t>
        </is>
      </c>
      <c r="L9" s="10" t="inlineStr">
        <is>
          <t>UUID đúng người gửi yêu cầu</t>
        </is>
      </c>
      <c r="M9" s="10" t="inlineStr">
        <is>
          <t>1</t>
        </is>
      </c>
      <c r="N9" s="10" t="inlineStr">
        <is>
          <t>UUID của người khác
không phải UUID</t>
        </is>
      </c>
      <c r="O9" s="10" t="inlineStr">
        <is>
          <t>4
5</t>
        </is>
      </c>
      <c r="Q9" s="10" t="inlineStr">
        <is>
          <t>Số lần bị cùng patient từ chối liên tiếp (từ lần chấp thuận gần nhất)</t>
        </is>
      </c>
      <c r="R9" s="11" t="inlineStr">
        <is>
          <t>0–4</t>
        </is>
      </c>
      <c r="S9" s="11" t="inlineStr">
        <is>
          <t>5</t>
        </is>
      </c>
      <c r="T9" s="11" t="inlineStr">
        <is>
          <t>5</t>
        </is>
      </c>
    </row>
    <row r="10" ht="57.5" customHeight="1">
      <c r="A10" s="7" t="inlineStr">
        <is>
          <t>TC-LINKAPPROVE-02</t>
        </is>
      </c>
      <c r="B10" s="7" t="inlineStr">
        <is>
          <t>Xem danh sách khi không có yêu cầu nào</t>
        </is>
      </c>
      <c r="C10" s="8" t="inlineStr">
        <is>
          <t>Patient không có yêu cầu pending</t>
        </is>
      </c>
      <c r="D10" s="8" t="inlineStr">
        <is>
          <t>1. GET /family/links?status=pending</t>
        </is>
      </c>
      <c r="E10" s="8" t="inlineStr">
        <is>
          <t>status=pending</t>
        </is>
      </c>
      <c r="F10" s="8" t="inlineStr">
        <is>
          <t>200; {"items": []}</t>
        </is>
      </c>
      <c r="G10" s="8" t="inlineStr">
        <is>
          <t>200; {"items": []}</t>
        </is>
      </c>
      <c r="H10" s="7" t="inlineStr">
        <is>
          <t>Pass</t>
        </is>
      </c>
      <c r="I10" s="8" t="inlineStr">
        <is>
          <t>AC2 · test_list_pending_empty_returns_200_items_empty__AC13 · evidence/test-integration.log</t>
        </is>
      </c>
      <c r="K10" s="9" t="inlineStr">
        <is>
          <t>consent_confirmed</t>
        </is>
      </c>
      <c r="L10" s="10" t="inlineStr">
        <is>
          <t>true (boolean)</t>
        </is>
      </c>
      <c r="M10" s="10" t="inlineStr">
        <is>
          <t>2</t>
        </is>
      </c>
      <c r="N10" s="10" t="inlineStr">
        <is>
          <t>false
thiếu field
"true" (chuỗi)</t>
        </is>
      </c>
      <c r="O10" s="10" t="inlineStr">
        <is>
          <t>6
7
8</t>
        </is>
      </c>
      <c r="Q10" s="10" t="inlineStr">
        <is>
          <t>Còn trong 24 giờ kể từ lần từ chối thứ 5?</t>
        </is>
      </c>
      <c r="R10" s="11" t="inlineStr">
        <is>
          <t>-</t>
        </is>
      </c>
      <c r="S10" s="11" t="inlineStr">
        <is>
          <t>Có</t>
        </is>
      </c>
      <c r="T10" s="11" t="inlineStr">
        <is>
          <t>Không</t>
        </is>
      </c>
    </row>
    <row r="11" ht="90.5" customHeight="1">
      <c r="A11" s="7" t="inlineStr">
        <is>
          <t>TC-LINKAPPROVE-03</t>
        </is>
      </c>
      <c r="B11" s="7" t="inlineStr">
        <is>
          <t>Gửi query lạ khi xem danh sách (patient_id)</t>
        </is>
      </c>
      <c r="C11" s="8" t="inlineStr">
        <is>
          <t>Patient đã đăng nhập</t>
        </is>
      </c>
      <c r="D11" s="8" t="inlineStr">
        <is>
          <t>1. GET /family/links?status=pending&amp;patient_id=&lt;UUID khác&gt;</t>
        </is>
      </c>
      <c r="E11" s="8" t="inlineStr">
        <is>
          <t>patient_id=&lt;UUID patient khác&gt;</t>
        </is>
      </c>
      <c r="F11" s="8" t="inlineStr">
        <is>
          <t>422 ValidationError; không gọi use case</t>
        </is>
      </c>
      <c r="G11" s="8" t="inlineStr">
        <is>
          <t>422</t>
        </is>
      </c>
      <c r="H11" s="7" t="inlineStr">
        <is>
          <t>Pass</t>
        </is>
      </c>
      <c r="I11" s="8" t="inlineStr">
        <is>
          <t>AC5 · Đoán lỗi (truy cập dữ liệu người khác) · test_list_rejects_missing_invalid_duplicate_or_extra_query · evidence/implement-final-backend.log</t>
        </is>
      </c>
      <c r="K11" s="9" t="inlineStr">
        <is>
          <t>document_version</t>
        </is>
      </c>
      <c r="L11" s="10" t="inlineStr">
        <is>
          <t>2026-10-v1 (bản hiện hành)</t>
        </is>
      </c>
      <c r="M11" s="10" t="inlineStr">
        <is>
          <t>3</t>
        </is>
      </c>
      <c r="N11" s="10" t="inlineStr">
        <is>
          <t>(blank)
a*65
phiên bản khác bản hiện hành</t>
        </is>
      </c>
      <c r="O11" s="10" t="inlineStr">
        <is>
          <t>9
10
11</t>
        </is>
      </c>
      <c r="Q11" s="6" t="inlineStr">
        <is>
          <t>Action</t>
        </is>
      </c>
      <c r="R11" s="5" t="inlineStr">
        <is>
          <t>R1</t>
        </is>
      </c>
      <c r="S11" s="5" t="inlineStr">
        <is>
          <t>R2</t>
        </is>
      </c>
      <c r="T11" s="5" t="inlineStr">
        <is>
          <t>R3</t>
        </is>
      </c>
    </row>
    <row r="12" ht="107" customHeight="1">
      <c r="A12" s="7" t="inlineStr">
        <is>
          <t>TC-LINKAPPROVE-04</t>
        </is>
      </c>
      <c r="B12" s="7" t="inlineStr">
        <is>
          <t>Chấp thuận yêu cầu với xác nhận đồng ý hợp lệ</t>
        </is>
      </c>
      <c r="C12" s="8" t="inlineStr">
        <is>
          <t>P đã đồng ý family_sharing 2026-10-v1; có link pending từ F</t>
        </is>
      </c>
      <c r="D12" s="8" t="inlineStr">
        <is>
          <t>1. Đăng nhập bằng P
2. POST /family/links/{link_id}/approve</t>
        </is>
      </c>
      <c r="E12" s="8" t="inlineStr">
        <is>
          <t>{"family_user_id": "&lt;F&gt;", "consent_confirmed": true, "document_version": "2026-10-v1"}</t>
        </is>
      </c>
      <c r="F12" s="8" t="inlineStr">
        <is>
          <t>200; status=active, sharing_enabled=false, consent_confirmation.purpose=family_sharing; đúng 1 dòng family_link_consent_confirmations; link rời danh sách chờ và có trong GET /family/caregivers</t>
        </is>
      </c>
      <c r="G12" s="8" t="inlineStr">
        <is>
          <t>Đúng như mong đợi</t>
        </is>
      </c>
      <c r="H12" s="7" t="inlineStr">
        <is>
          <t>Pass</t>
        </is>
      </c>
      <c r="I12" s="8" t="inlineStr">
        <is>
          <t>AC3 · EP (1,2,3) · test_approve_success_persists_evidence_and_activates_link__AC2, test_approved_link_moves_from_pending_to_caregivers__AC3 · evidence/test-integration.log</t>
        </is>
      </c>
      <c r="Q12" s="10" t="inlineStr">
        <is>
          <t>201: tạo yêu cầu mới (pending)</t>
        </is>
      </c>
      <c r="R12" s="11" t="inlineStr">
        <is>
          <t>X</t>
        </is>
      </c>
      <c r="S12" s="11" t="inlineStr"/>
      <c r="T12" s="11" t="inlineStr">
        <is>
          <t>X</t>
        </is>
      </c>
    </row>
    <row r="13" ht="74" customHeight="1">
      <c r="A13" s="7" t="inlineStr">
        <is>
          <t>TC-LINKAPPROVE-05</t>
        </is>
      </c>
      <c r="B13" s="7" t="inlineStr">
        <is>
          <t>Chấp thuận thay bởi người thân, người lạ, admin hoặc sai family_user_id</t>
        </is>
      </c>
      <c r="C13" s="8" t="inlineStr">
        <is>
          <t>Link pending P←F; có người lạ X và tài khoản admin A</t>
        </is>
      </c>
      <c r="D13" s="8" t="inlineStr">
        <is>
          <t>1. POST approve không token
2. POST approve bằng token F, X, A
3. POST approve bằng token P với family_user_id của X</t>
        </is>
      </c>
      <c r="E13" s="8" t="inlineStr">
        <is>
          <t>family_user_id = &lt;F&gt; hoặc &lt;X&gt;</t>
        </is>
      </c>
      <c r="F13" s="8" t="inlineStr">
        <is>
          <t>401 khi không token; 403 {"detail": "khong_co_quyen"} cho các trường hợp còn lại; link vẫn pending, không có bằng chứng; có audit denied</t>
        </is>
      </c>
      <c r="G13" s="8" t="inlineStr">
        <is>
          <t>Đúng như mong đợi</t>
        </is>
      </c>
      <c r="H13" s="7" t="inlineStr">
        <is>
          <t>Pass</t>
        </is>
      </c>
      <c r="I13" s="8" t="inlineStr">
        <is>
          <t>AC5 · EP (4) · test_approve_denied_caller_matrix__AC4_AC10_AC16 · evidence/test-integration.log</t>
        </is>
      </c>
      <c r="Q13" s="10" t="inlineStr">
        <is>
          <t>429 link_request_cooldown + Retry-After</t>
        </is>
      </c>
      <c r="R13" s="11" t="inlineStr"/>
      <c r="S13" s="11" t="inlineStr">
        <is>
          <t>X</t>
        </is>
      </c>
      <c r="T13" s="11" t="inlineStr"/>
    </row>
    <row r="14" ht="90.5" customHeight="1">
      <c r="A14" s="7" t="inlineStr">
        <is>
          <t>TC-LINKAPPROVE-06</t>
        </is>
      </c>
      <c r="B14" s="7" t="inlineStr">
        <is>
          <t>Từ chối thay bởi người thân, người lạ hoặc admin</t>
        </is>
      </c>
      <c r="C14" s="8" t="inlineStr">
        <is>
          <t>Link pending P←F; người lạ X; admin A</t>
        </is>
      </c>
      <c r="D14" s="8" t="inlineStr">
        <is>
          <t>1. POST /family/links/{link_id}/reject không token
2. POST reject bằng token F, X, A
3. POST reject bằng token P</t>
        </is>
      </c>
      <c r="E14" s="8" t="inlineStr">
        <is>
          <t>(không có body)</t>
        </is>
      </c>
      <c r="F14" s="8" t="inlineStr">
        <is>
          <t>401 khi không token; 403 khong_co_quyen với F, X, A, mỗi lượt đúng 1 audit reject/denied với actor là người gọi (admin không ghi patient/link); link vẫn pending; P từ chối được (200)</t>
        </is>
      </c>
      <c r="G14" s="8" t="inlineStr">
        <is>
          <t>Đúng như mong đợi</t>
        </is>
      </c>
      <c r="H14" s="7" t="inlineStr">
        <is>
          <t>Pass</t>
        </is>
      </c>
      <c r="I14" s="8" t="inlineStr">
        <is>
          <t>AC5 · test_reject_denied_caller_matrix__AC5 · evidence/test-integration.log</t>
        </is>
      </c>
    </row>
    <row r="15" ht="74" customHeight="1">
      <c r="A15" s="7" t="inlineStr">
        <is>
          <t>TC-LINKAPPROVE-07</t>
        </is>
      </c>
      <c r="B15" s="7" t="inlineStr">
        <is>
          <t>Chấp thuận khi patient chưa đồng ý hoặc đã rút family_sharing</t>
        </is>
      </c>
      <c r="C15" s="8" t="inlineStr">
        <is>
          <t>Link pending P←F; P không có consent family_sharing hiệu lực</t>
        </is>
      </c>
      <c r="D15" s="8" t="inlineStr">
        <is>
          <t>1. POST approve bằng token P</t>
        </is>
      </c>
      <c r="E15" s="8" t="inlineStr">
        <is>
          <t>body hợp lệ</t>
        </is>
      </c>
      <c r="F15" s="8" t="inlineStr">
        <is>
          <t>403 {"detail": "consent_revoked"}; link vẫn pending; không có bằng chứng; audit approve/denied reason consent_revoked</t>
        </is>
      </c>
      <c r="G15" s="8" t="inlineStr">
        <is>
          <t>Đúng như mong đợi</t>
        </is>
      </c>
      <c r="H15" s="7" t="inlineStr">
        <is>
          <t>Pass</t>
        </is>
      </c>
      <c r="I15" s="8" t="inlineStr">
        <is>
          <t>AC7 · test_approve_missing_or_revoked_patient_consent_403__AC3_AC10 · evidence/test-integration.log</t>
        </is>
      </c>
    </row>
    <row r="16" ht="74" customHeight="1">
      <c r="A16" s="7" t="inlineStr">
        <is>
          <t>TC-LINKAPPROVE-08</t>
        </is>
      </c>
      <c r="B16" s="7" t="inlineStr">
        <is>
          <t>Chấp thuận với phiên bản văn bản cũ hoặc consent_confirmed=false</t>
        </is>
      </c>
      <c r="C16" s="8" t="inlineStr">
        <is>
          <t>Link pending P←F; P có family_sharing</t>
        </is>
      </c>
      <c r="D16" s="8" t="inlineStr">
        <is>
          <t>1. POST approve với document_version khác bản hiện hành
2. POST approve với consent_confirmed=false</t>
        </is>
      </c>
      <c r="E16" s="8" t="inlineStr">
        <is>
          <t>document_version="wrong-version"; consent_confirmed=false</t>
        </is>
      </c>
      <c r="F16" s="8" t="inlineStr">
        <is>
          <t>422 {"detail": "consent_document_outdated"}; 422 ValidationError; link vẫn pending</t>
        </is>
      </c>
      <c r="G16" s="8" t="inlineStr">
        <is>
          <t>Đúng như mong đợi</t>
        </is>
      </c>
      <c r="H16" s="7" t="inlineStr">
        <is>
          <t>Pass</t>
        </is>
      </c>
      <c r="I16" s="8" t="inlineStr">
        <is>
          <t>AC8 · EP (6,11) · test_approve_outdated_version_and_false_confirmation_422__AC3 · evidence/test-integration.log</t>
        </is>
      </c>
    </row>
    <row r="17" ht="107" customHeight="1">
      <c r="A17" s="7" t="inlineStr">
        <is>
          <t>TC-LINKAPPROVE-09</t>
        </is>
      </c>
      <c r="B17" s="7" t="inlineStr">
        <is>
          <t>Gửi body chấp thuận sai cấu trúc</t>
        </is>
      </c>
      <c r="C17" s="8" t="inlineStr">
        <is>
          <t>Người gọi đã đăng nhập</t>
        </is>
      </c>
      <c r="D17" s="8" t="inlineStr">
        <is>
          <t>1. POST /family/links/1/approve với từng body sai</t>
        </is>
      </c>
      <c r="E17" s="8" t="inlineStr">
        <is>
          <t>family_user_id="invalid"; thiếu consent_confirmed; consent_confirmed="true"; consent_confirmed=1; document_version=""; document_version="a"*65; field lạ patient_id</t>
        </is>
      </c>
      <c r="F17" s="8" t="inlineStr">
        <is>
          <t>422 ValidationError cho mọi trường hợp; không gọi use case</t>
        </is>
      </c>
      <c r="G17" s="8" t="inlineStr">
        <is>
          <t>422 cho mọi trường hợp</t>
        </is>
      </c>
      <c r="H17" s="7" t="inlineStr">
        <is>
          <t>Pass</t>
        </is>
      </c>
      <c r="I17" s="8" t="inlineStr">
        <is>
          <t>AC8 · EP (5,7,8,9,10) · BVA (min-1, max+1) · test_strict_approval_body_rejected_before_use_case · evidence/implement-final-backend.log</t>
        </is>
      </c>
    </row>
    <row r="18" ht="57.5" customHeight="1">
      <c r="A18" s="7" t="inlineStr">
        <is>
          <t>TC-LINKAPPROVE-BVA-10</t>
        </is>
      </c>
      <c r="B18" s="7" t="inlineStr">
        <is>
          <t>Chấp thuận với document_version dài 1 ký tự (biên dưới hợp lệ của độ dài)</t>
        </is>
      </c>
      <c r="C18" s="8" t="inlineStr">
        <is>
          <t>Link pending P←F; P có family_sharing</t>
        </is>
      </c>
      <c r="D18" s="8" t="inlineStr">
        <is>
          <t>1. POST approve bằng token P</t>
        </is>
      </c>
      <c r="E18" s="8" t="inlineStr">
        <is>
          <t>document_version="a"</t>
        </is>
      </c>
      <c r="F18" s="8" t="inlineStr">
        <is>
          <t>422 {"detail": "consent_document_outdated"} (đúng độ dài nhưng không phải bản hiện hành); link vẫn pending</t>
        </is>
      </c>
      <c r="G18" s="8" t="inlineStr"/>
      <c r="H18" s="7" t="inlineStr">
        <is>
          <t>Pending</t>
        </is>
      </c>
      <c r="I18" s="8" t="inlineStr">
        <is>
          <t>AC8 · BVA (min) · chưa có test riêng, cần chạy tay</t>
        </is>
      </c>
    </row>
    <row r="19" ht="41" customHeight="1">
      <c r="A19" s="7" t="inlineStr">
        <is>
          <t>TC-LINKAPPROVE-BVA-11</t>
        </is>
      </c>
      <c r="B19" s="7" t="inlineStr">
        <is>
          <t>Chấp thuận với document_version dài 64 ký tự (biên trên hợp lệ của độ dài)</t>
        </is>
      </c>
      <c r="C19" s="8" t="inlineStr">
        <is>
          <t>Link pending P←F; P có family_sharing</t>
        </is>
      </c>
      <c r="D19" s="8" t="inlineStr">
        <is>
          <t>1. POST approve bằng token P</t>
        </is>
      </c>
      <c r="E19" s="8" t="inlineStr">
        <is>
          <t>document_version="a"*64</t>
        </is>
      </c>
      <c r="F19" s="8" t="inlineStr">
        <is>
          <t>422 {"detail": "consent_document_outdated"}; link vẫn pending</t>
        </is>
      </c>
      <c r="G19" s="8" t="inlineStr"/>
      <c r="H19" s="7" t="inlineStr">
        <is>
          <t>Pending</t>
        </is>
      </c>
      <c r="I19" s="8" t="inlineStr">
        <is>
          <t>AC8 · BVA (max) · chưa có test riêng, cần chạy tay</t>
        </is>
      </c>
    </row>
    <row r="20" ht="74" customHeight="1">
      <c r="A20" s="7" t="inlineStr">
        <is>
          <t>TC-LINKAPPROVE-12</t>
        </is>
      </c>
      <c r="B20" s="7" t="inlineStr">
        <is>
          <t>Gửi lại chấp thuận với cùng nội dung</t>
        </is>
      </c>
      <c r="C20" s="8" t="inlineStr">
        <is>
          <t>Link đã được P chấp thuận</t>
        </is>
      </c>
      <c r="D20" s="8" t="inlineStr">
        <is>
          <t>1. POST approve lần 2 với cùng body</t>
        </is>
      </c>
      <c r="E20" s="8" t="inlineStr">
        <is>
          <t>body giống lần 1</t>
        </is>
      </c>
      <c r="F20" s="8" t="inlineStr">
        <is>
          <t>200; cùng id/confirmed_at bằng chứng cũ; không thêm bằng chứng</t>
        </is>
      </c>
      <c r="G20" s="8" t="inlineStr">
        <is>
          <t>Đúng như mong đợi</t>
        </is>
      </c>
      <c r="H20" s="7" t="inlineStr">
        <is>
          <t>Pass</t>
        </is>
      </c>
      <c r="I20" s="8" t="inlineStr">
        <is>
          <t>AC3 · Đoán lỗi (gửi trùng) · test_approve_replay_idempotent_with_same_evidence__AC5_AC9 · evidence/test-integration.log</t>
        </is>
      </c>
    </row>
    <row r="21" ht="90.5" customHeight="1">
      <c r="A21" s="7" t="inlineStr">
        <is>
          <t>TC-LINKAPPROVE-13</t>
        </is>
      </c>
      <c r="B21" s="7" t="inlineStr">
        <is>
          <t>Chấp thuận liên kết đã bị từ chối hoặc đã hủy</t>
        </is>
      </c>
      <c r="C21" s="8" t="inlineStr">
        <is>
          <t>Link ở trạng thái rejected hoặc revoked</t>
        </is>
      </c>
      <c r="D21" s="8" t="inlineStr">
        <is>
          <t>1. POST approve bằng token P</t>
        </is>
      </c>
      <c r="E21" s="8" t="inlineStr">
        <is>
          <t>body hợp lệ</t>
        </is>
      </c>
      <c r="F21" s="8" t="inlineStr">
        <is>
          <t>409 {"detail": "invalid_link_transition"}; trạng thái giữ nguyên</t>
        </is>
      </c>
      <c r="G21" s="8" t="inlineStr">
        <is>
          <t>Đúng như mong đợi</t>
        </is>
      </c>
      <c r="H21" s="7" t="inlineStr">
        <is>
          <t>Pass</t>
        </is>
      </c>
      <c r="I21" s="8" t="inlineStr">
        <is>
          <t>AC10 · Chuyển trạng thái (chuyển bị cấm) · test_approve_rejected_or_revoked_conflict_409__AC8 · evidence/test-integration.log</t>
        </is>
      </c>
    </row>
    <row r="22" ht="90.5" customHeight="1">
      <c r="A22" s="7" t="inlineStr">
        <is>
          <t>TC-LINKAPPROVE-14</t>
        </is>
      </c>
      <c r="B22" s="7" t="inlineStr">
        <is>
          <t>Từ chối yêu cầu đang chờ và gửi lại lệnh từ chối</t>
        </is>
      </c>
      <c r="C22" s="8" t="inlineStr">
        <is>
          <t>Link pending P←F; P không cần consent</t>
        </is>
      </c>
      <c r="D22" s="8" t="inlineStr">
        <is>
          <t>1. POST reject bằng token P
2. POST reject lần 2</t>
        </is>
      </c>
      <c r="E22" s="8" t="inlineStr">
        <is>
          <t>(không có body)</t>
        </is>
      </c>
      <c r="F22" s="8" t="inlineStr">
        <is>
          <t>200 status=rejected, có rejected_at; lần 2 trả 200 cùng rejected_at</t>
        </is>
      </c>
      <c r="G22" s="8" t="inlineStr">
        <is>
          <t>Đúng như mong đợi</t>
        </is>
      </c>
      <c r="H22" s="7" t="inlineStr">
        <is>
          <t>Pass</t>
        </is>
      </c>
      <c r="I22" s="8" t="inlineStr">
        <is>
          <t>AC4 · Chuyển trạng thái (pending→rejected) · test_reject_without_consent_and_replay_idempotent__AC14_AC15 · evidence/test-integration.log</t>
        </is>
      </c>
    </row>
    <row r="23" ht="74" customHeight="1">
      <c r="A23" s="7" t="inlineStr">
        <is>
          <t>TC-LINKAPPROVE-15</t>
        </is>
      </c>
      <c r="B23" s="7" t="inlineStr">
        <is>
          <t>Từ chối liên kết đang active hoặc đã hủy</t>
        </is>
      </c>
      <c r="C23" s="8" t="inlineStr">
        <is>
          <t>Link active hoặc revoked</t>
        </is>
      </c>
      <c r="D23" s="8" t="inlineStr">
        <is>
          <t>1. POST reject bằng token P</t>
        </is>
      </c>
      <c r="E23" s="8" t="inlineStr">
        <is>
          <t>(không có body)</t>
        </is>
      </c>
      <c r="F23" s="8" t="inlineStr">
        <is>
          <t>409 {"detail": "invalid_link_transition"}</t>
        </is>
      </c>
      <c r="G23" s="8" t="inlineStr">
        <is>
          <t>Đúng như mong đợi</t>
        </is>
      </c>
      <c r="H23" s="7" t="inlineStr">
        <is>
          <t>Pass</t>
        </is>
      </c>
      <c r="I23" s="8" t="inlineStr">
        <is>
          <t>AC10 · Chuyển trạng thái (chuyển bị cấm) · test_reject_active_or_revoked_conflict_409__AC15 · evidence/test-integration.log</t>
        </is>
      </c>
    </row>
    <row r="24" ht="74" customHeight="1">
      <c r="A24" s="7" t="inlineStr">
        <is>
          <t>TC-LINKAPPROVE-16</t>
        </is>
      </c>
      <c r="B24" s="7" t="inlineStr">
        <is>
          <t>Chấp thuận và từ chối cùng lúc một yêu cầu</t>
        </is>
      </c>
      <c r="C24" s="8" t="inlineStr">
        <is>
          <t>Link pending P←F</t>
        </is>
      </c>
      <c r="D24" s="8" t="inlineStr">
        <is>
          <t>1. Gửi đồng thời POST approve và POST reject bằng token P</t>
        </is>
      </c>
      <c r="E24" s="8" t="inlineStr">
        <is>
          <t>body approve hợp lệ</t>
        </is>
      </c>
      <c r="F24" s="8" t="inlineStr">
        <is>
          <t>Một request 200, request kia 409; không có trạng thái vừa rejected vừa có bằng chứng</t>
        </is>
      </c>
      <c r="G24" s="8" t="inlineStr">
        <is>
          <t>Đúng như mong đợi</t>
        </is>
      </c>
      <c r="H24" s="7" t="inlineStr">
        <is>
          <t>Pass</t>
        </is>
      </c>
      <c r="I24" s="8" t="inlineStr">
        <is>
          <t>AC15 · Đoán lỗi (chạy đua) · test_concurrent_approve_and_reject_one_wins_other_409__AC17 · evidence/test-integration.log</t>
        </is>
      </c>
    </row>
    <row r="25" ht="123.5" customHeight="1">
      <c r="A25" s="7" t="inlineStr">
        <is>
          <t>TC-LINKAPPROVE-17</t>
        </is>
      </c>
      <c r="B25" s="7" t="inlineStr">
        <is>
          <t>Gửi lại yêu cầu sau 5 lần bị từ chối liên tiếp qua endpoint thật</t>
        </is>
      </c>
      <c r="C25" s="8" t="inlineStr">
        <is>
          <t>P có family_sharing và mã liên kết; F chưa liên kết</t>
        </is>
      </c>
      <c r="D25" s="8" t="inlineStr">
        <is>
          <t>1. F gửi yêu cầu bằng mã của P, P từ chối; lặp 4 lần (lần 5 vẫn gửi được)
2. P từ chối lần thứ 5
3. F gửi lại ngay
4. Người thân khác gửi yêu cầu
5. Đặt giờ app = rejected_at lần 5 + 23h59
6. Đặt giờ app = rejected_at lần 5 + 24h</t>
        </is>
      </c>
      <c r="E25" s="8" t="inlineStr">
        <is>
          <t>client_uuid mới mỗi lần</t>
        </is>
      </c>
      <c r="F25" s="8" t="inlineStr">
        <is>
          <t>Lần 1–5: 201; sau lần từ chối thứ 5: 429 {"detail": "link_request_cooldown"}, Retry-After trong (0, 86400]; người thân khác 201; tại +23h59: 429; tại +24h: 201</t>
        </is>
      </c>
      <c r="G25" s="8" t="inlineStr">
        <is>
          <t>Đúng như mong đợi</t>
        </is>
      </c>
      <c r="H25" s="7" t="inlineStr">
        <is>
          <t>Pass</t>
        </is>
      </c>
      <c r="I25" s="8" t="inlineStr">
        <is>
          <t>AC9 · Decision Table (R1, R2, R3) · BVA (24h-1 phút, 24h) · test_five_rejections_via_endpoint_block_24h_others_unaffected__AC9 · evidence/test-integration.log</t>
        </is>
      </c>
    </row>
    <row r="26" ht="74" customHeight="1">
      <c r="A26" s="7" t="inlineStr">
        <is>
          <t>TC-LINKAPPROVE-18</t>
        </is>
      </c>
      <c r="B26" s="7" t="inlineStr">
        <is>
          <t>Chấp thuận rồi hủy liên kết làm bộ đếm từ chối về 0</t>
        </is>
      </c>
      <c r="C26" s="8" t="inlineStr">
        <is>
          <t>P có family_sharing và mã liên kết; F chưa liên kết</t>
        </is>
      </c>
      <c r="D26" s="8" t="inlineStr">
        <is>
          <t>1. Từ chối 4 lần qua endpoint
2. F gửi, P chấp thuận, P hủy liên kết
3. Từ chối thêm 4 lần
4. F gửi lần thứ 10 trong ngày</t>
        </is>
      </c>
      <c r="E26" s="8" t="inlineStr">
        <is>
          <t>client_uuid mới mỗi lần</t>
        </is>
      </c>
      <c r="F26" s="8" t="inlineStr">
        <is>
          <t>Lần gửi cuối 201 (không bị chặn); các dòng theo thứ tự: 4 rejected, 1 revoked, 4 rejected, 1 pending</t>
        </is>
      </c>
      <c r="G26" s="8" t="inlineStr">
        <is>
          <t>Đúng như mong đợi</t>
        </is>
      </c>
      <c r="H26" s="7" t="inlineStr">
        <is>
          <t>Pass</t>
        </is>
      </c>
      <c r="I26" s="8" t="inlineStr">
        <is>
          <t>AC9 · Decision Table (R1) · test_approval_then_revoke_resets_streak_via_endpoints__AC9 · evidence/test-integration.log</t>
        </is>
      </c>
    </row>
    <row r="27" ht="90.5" customHeight="1">
      <c r="A27" s="7" t="inlineStr">
        <is>
          <t>TC-LINKAPPROVE-19</t>
        </is>
      </c>
      <c r="B27" s="7" t="inlineStr">
        <is>
          <t>Hiện mục Yêu cầu theo dõi bạn trên tab Người thân</t>
        </is>
      </c>
      <c r="C27" s="8" t="inlineStr">
        <is>
          <t>App mobile; có 2 yêu cầu pending, 1 người gửi không có tên</t>
        </is>
      </c>
      <c r="D27" s="8" t="inlineStr">
        <is>
          <t>1. Mở tab Người thân
2. Kéo xuống để tải lại</t>
        </is>
      </c>
      <c r="E27" s="8" t="inlineStr">
        <is>
          <t>requested_at = 2026-10-15T02:00:00Z</t>
        </is>
      </c>
      <c r="F27" s="8" t="inlineStr">
        <is>
          <t>Hiện "Yêu cầu theo dõi bạn (2)"; tên người thân và "Người dùng DrugTime" cho người không có tên; "Gửi lúc 09:00 15/10/2026"; kéo xuống gọi lại API; không có yêu cầu thì không hiện mục</t>
        </is>
      </c>
      <c r="G27" s="8" t="inlineStr">
        <is>
          <t>Đúng như mong đợi</t>
        </is>
      </c>
      <c r="H27" s="7" t="inlineStr">
        <is>
          <t>Pass</t>
        </is>
      </c>
      <c r="I27" s="8" t="inlineStr">
        <is>
          <t>AC16 · incoming_requests_test.dart (AC16) · evidence/implement-final-frontend.log</t>
        </is>
      </c>
    </row>
    <row r="28" ht="57.5" customHeight="1">
      <c r="A28" s="7" t="inlineStr">
        <is>
          <t>TC-LINKAPPROVE-20</t>
        </is>
      </c>
      <c r="B28" s="7" t="inlineStr">
        <is>
          <t>Chuyển sang tab Người thân thì tải lại yêu cầu đang chờ</t>
        </is>
      </c>
      <c r="C28" s="8" t="inlineStr">
        <is>
          <t>App mở ở tab Thuốc</t>
        </is>
      </c>
      <c r="D28" s="8" t="inlineStr">
        <is>
          <t>1. Chạm tab Người thân
2. Chuyển sang tab Thuốc
3. Chạm lại tab Người thân</t>
        </is>
      </c>
      <c r="E28" s="8" t="inlineStr">
        <is>
          <t>-</t>
        </is>
      </c>
      <c r="F28" s="8" t="inlineStr">
        <is>
          <t>Mỗi lần mở tab Người thân gọi listPendingRequests một lần; trước khi mở tab thì không gọi</t>
        </is>
      </c>
      <c r="G28" s="8" t="inlineStr">
        <is>
          <t>Đúng như mong đợi</t>
        </is>
      </c>
      <c r="H28" s="7" t="inlineStr">
        <is>
          <t>Pass</t>
        </is>
      </c>
      <c r="I28" s="8" t="inlineStr">
        <is>
          <t>AC16 · app_shell_test.dart (AC16) · evidence/implement-final-frontend.log</t>
        </is>
      </c>
    </row>
    <row r="29" ht="123.5" customHeight="1">
      <c r="A29" s="7" t="inlineStr">
        <is>
          <t>TC-LINKAPPROVE-21</t>
        </is>
      </c>
      <c r="B29" s="7" t="inlineStr">
        <is>
          <t>Chấp thuận trên app qua bước xác nhận đồng ý</t>
        </is>
      </c>
      <c r="C29" s="8" t="inlineStr">
        <is>
          <t>Có yêu cầu từ Nguyễn Văn An</t>
        </is>
      </c>
      <c r="D29" s="8" t="inlineStr">
        <is>
          <t>1. Bấm Chấp thuận
2. Kiểm nút Chấp thuận khi chưa tick
3. Tick "Tôi đồng ý chia sẻ…" và bấm Chấp thuận
4. Ở hộp "Đã liên kết…" chọn Để sau (lần khác chọn Bật chia sẻ)
5. Lần khác: mở bước xác nhận rồi bấm Hủy</t>
        </is>
      </c>
      <c r="E29" s="8" t="inlineStr">
        <is>
          <t>consentDocumentVersion = 2026-10-v1</t>
        </is>
      </c>
      <c r="F29" s="8" t="inlineStr">
        <is>
          <t>Hiện văn bản family_sharing và "Chia sẻ với: Nguyễn Văn An"; chưa tick thì nút khóa; gửi approve đúng family_user_id và 2026-10-v1; mục biến mất; Để sau không bật chia sẻ, Bật chia sẻ gọi API và báo "Đã bật chia sẻ với Nguyễn Văn An."; Hủy không gọi API</t>
        </is>
      </c>
      <c r="G29" s="8" t="inlineStr">
        <is>
          <t>Đúng như mong đợi</t>
        </is>
      </c>
      <c r="H29" s="7" t="inlineStr">
        <is>
          <t>Pass</t>
        </is>
      </c>
      <c r="I29" s="8" t="inlineStr">
        <is>
          <t>AC17 · incoming_requests_test.dart (AC17) · evidence/implement-final-frontend.log</t>
        </is>
      </c>
    </row>
    <row r="30" ht="74" customHeight="1">
      <c r="A30" s="7" t="inlineStr">
        <is>
          <t>TC-LINKAPPROVE-22</t>
        </is>
      </c>
      <c r="B30" s="7" t="inlineStr">
        <is>
          <t>Từ chối trên app có hộp xác nhận</t>
        </is>
      </c>
      <c r="C30" s="8" t="inlineStr">
        <is>
          <t>Có yêu cầu từ Nguyễn Văn An</t>
        </is>
      </c>
      <c r="D30" s="8" t="inlineStr">
        <is>
          <t>1. Bấm Từ chối rồi Hủy
2. Bấm Từ chối rồi xác nhận Từ chối</t>
        </is>
      </c>
      <c r="E30" s="8" t="inlineStr">
        <is>
          <t>-</t>
        </is>
      </c>
      <c r="F30" s="8" t="inlineStr">
        <is>
          <t>Hủy không gọi API; xác nhận thì gửi reject không body, mục biến mất, báo "Đã từ chối yêu cầu của Nguyễn Văn An."</t>
        </is>
      </c>
      <c r="G30" s="8" t="inlineStr">
        <is>
          <t>Đúng như mong đợi</t>
        </is>
      </c>
      <c r="H30" s="7" t="inlineStr">
        <is>
          <t>Pass</t>
        </is>
      </c>
      <c r="I30" s="8" t="inlineStr">
        <is>
          <t>AC18 · incoming_requests_test.dart (AC18), api_client_test.dart (post không body) · evidence/implement-final-frontend.log</t>
        </is>
      </c>
    </row>
    <row r="31" ht="57.5" customHeight="1">
      <c r="A31" s="7" t="inlineStr">
        <is>
          <t>TC-LINKAPPROVE-23</t>
        </is>
      </c>
      <c r="B31" s="7" t="inlineStr">
        <is>
          <t>Nhắc bật chia sẻ khi patient chưa đồng ý family_sharing</t>
        </is>
      </c>
      <c r="C31" s="8" t="inlineStr">
        <is>
          <t>Tài khoản chưa bật family_sharing; có yêu cầu đang chờ</t>
        </is>
      </c>
      <c r="D31" s="8" t="inlineStr">
        <is>
          <t>1. Mở tab Người thân
2. Bấm "Mở Quyền riêng tư"</t>
        </is>
      </c>
      <c r="E31" s="8" t="inlineStr">
        <is>
          <t>-</t>
        </is>
      </c>
      <c r="F31" s="8" t="inlineStr">
        <is>
          <t>Có dải nhắc "Cần bật \"Chia sẻ với người thân\"…"; bấm nút mở màn Quyền riêng tư; đã bật thì không có dải nhắc</t>
        </is>
      </c>
      <c r="G31" s="8" t="inlineStr">
        <is>
          <t>Đúng như mong đợi</t>
        </is>
      </c>
      <c r="H31" s="7" t="inlineStr">
        <is>
          <t>Pass</t>
        </is>
      </c>
      <c r="I31" s="8" t="inlineStr">
        <is>
          <t>AC19 · incoming_requests_test.dart (AC19) · evidence/implement-final-frontend.log</t>
        </is>
      </c>
    </row>
    <row r="32" ht="90.5" customHeight="1">
      <c r="A32" s="7" t="inlineStr">
        <is>
          <t>TC-LINKAPPROVE-24</t>
        </is>
      </c>
      <c r="B32" s="7" t="inlineStr">
        <is>
          <t>Xử lý lỗi khi chấp thuận trên app</t>
        </is>
      </c>
      <c r="C32" s="8" t="inlineStr">
        <is>
          <t>Có yêu cầu đang chờ; server trả lỗi</t>
        </is>
      </c>
      <c r="D32" s="8" t="inlineStr">
        <is>
          <t>1. Chấp thuận khi server trả lần lượt 403 consent_revoked, 409, 404, 422 consent_document_outdated, lỗi mạng</t>
        </is>
      </c>
      <c r="E32" s="8" t="inlineStr">
        <is>
          <t>-</t>
        </is>
      </c>
      <c r="F32" s="8" t="inlineStr">
        <is>
          <t>Báo đúng câu cho từng lỗi; không hiện hộp bật chia sẻ; tải lại danh sách; yêu cầu vẫn còn</t>
        </is>
      </c>
      <c r="G32" s="8" t="inlineStr">
        <is>
          <t>Đúng như mong đợi</t>
        </is>
      </c>
      <c r="H32" s="7" t="inlineStr">
        <is>
          <t>Pass</t>
        </is>
      </c>
      <c r="I32" s="8" t="inlineStr">
        <is>
          <t>AC22 · Đoán lỗi (mất mạng) · incoming_requests_test.dart (AC22), remote_caregiver_repository_test.dart · evidence/implement-final-frontend.log</t>
        </is>
      </c>
    </row>
    <row r="33" ht="74" customHeight="1">
      <c r="A33" s="7" t="inlineStr">
        <is>
          <t>TC-LINKAPPROVE-25</t>
        </is>
      </c>
      <c r="B33" s="7" t="inlineStr">
        <is>
          <t>Bấm liên tục khi đang gửi thao tác</t>
        </is>
      </c>
      <c r="C33" s="8" t="inlineStr">
        <is>
          <t>Có yêu cầu đang chờ; server phản hồi chậm</t>
        </is>
      </c>
      <c r="D33" s="8" t="inlineStr">
        <is>
          <t>1. Xác nhận từ chối
2. Trong lúc chờ bấm lại Từ chối</t>
        </is>
      </c>
      <c r="E33" s="8" t="inlineStr">
        <is>
          <t>-</t>
        </is>
      </c>
      <c r="F33" s="8" t="inlineStr">
        <is>
          <t>Hai nút của mục bị khóa khi đang gửi; chỉ một request reject được gửi</t>
        </is>
      </c>
      <c r="G33" s="8" t="inlineStr">
        <is>
          <t>Đúng như mong đợi</t>
        </is>
      </c>
      <c r="H33" s="7" t="inlineStr">
        <is>
          <t>Pass</t>
        </is>
      </c>
      <c r="I33" s="8" t="inlineStr">
        <is>
          <t>AC22 · Đoán lỗi (bấm liên tục) · incoming_requests_test.dart (AC22) · evidence/implement-final-frontend.log</t>
        </is>
      </c>
    </row>
    <row r="34" ht="74" customHeight="1">
      <c r="A34" s="7" t="inlineStr">
        <is>
          <t>TC-LINKAPPROVE-26</t>
        </is>
      </c>
      <c r="B34" s="7" t="inlineStr">
        <is>
          <t>Chấp thuận yêu cầu thật trên hai thiết bị</t>
        </is>
      </c>
      <c r="C34" s="8" t="inlineStr">
        <is>
          <t>Hai tài khoản trên hai máy, backend đang chạy; P đã bật family_sharing</t>
        </is>
      </c>
      <c r="D34" s="8" t="inlineStr">
        <is>
          <t>1. F nhập/quét mã của P
2. P mở tab Người thân, thấy yêu cầu
3. P chấp thuận, tick đồng ý, chọn Bật chia sẻ
4. F gửi lại mã</t>
        </is>
      </c>
      <c r="E34" s="8" t="inlineStr">
        <is>
          <t>Mã liên kết của P</t>
        </is>
      </c>
      <c r="F34" s="8" t="inlineStr">
        <is>
          <t>P thấy yêu cầu đúng tên F; sau chấp thuận F có trong Người giám sát với chia sẻ bật; F gửi lại mã nhận thông báo đã liên kết (409 already_linked)</t>
        </is>
      </c>
      <c r="G34" s="8" t="inlineStr"/>
      <c r="H34" s="7" t="inlineStr">
        <is>
          <t>Pending</t>
        </is>
      </c>
      <c r="I34" s="8" t="inlineStr">
        <is>
          <t>AC23 · manual</t>
        </is>
      </c>
    </row>
    <row r="35" ht="57.5" customHeight="1">
      <c r="A35" s="7" t="inlineStr">
        <is>
          <t>TC-LINKAPPROVE-27</t>
        </is>
      </c>
      <c r="B35" s="7" t="inlineStr">
        <is>
          <t>Từ chối yêu cầu thật trên hai thiết bị</t>
        </is>
      </c>
      <c r="C35" s="8" t="inlineStr">
        <is>
          <t>Hai tài khoản trên hai máy, backend đang chạy</t>
        </is>
      </c>
      <c r="D35" s="8" t="inlineStr">
        <is>
          <t>1. F gửi yêu cầu bằng mã của P
2. P từ chối
3. F gửi lại ngay</t>
        </is>
      </c>
      <c r="E35" s="8" t="inlineStr">
        <is>
          <t>Mã liên kết của P</t>
        </is>
      </c>
      <c r="F35" s="8" t="inlineStr">
        <is>
          <t>Yêu cầu biến mất trên máy P; F gửi lại được ngay (201) khi chưa đủ 5 lần bị từ chối</t>
        </is>
      </c>
      <c r="G35" s="8" t="inlineStr"/>
      <c r="H35" s="7" t="inlineStr">
        <is>
          <t>Pending</t>
        </is>
      </c>
      <c r="I35" s="8" t="inlineStr">
        <is>
          <t>AC23 · manual</t>
        </is>
      </c>
    </row>
    <row r="36"/>
    <row r="37"/>
    <row r="38">
      <c r="G38" s="12" t="inlineStr">
        <is>
          <t>Pass</t>
        </is>
      </c>
      <c r="H38" s="13">
        <f>COUNTIF(H9:H35,"Pass")</f>
        <v/>
      </c>
    </row>
    <row r="39">
      <c r="G39" s="12" t="inlineStr">
        <is>
          <t>Fail</t>
        </is>
      </c>
      <c r="H39" s="13">
        <f>COUNTIF(H9:H35,"Fail")</f>
        <v/>
      </c>
    </row>
    <row r="40">
      <c r="G40" s="12" t="inlineStr">
        <is>
          <t>Pending</t>
        </is>
      </c>
      <c r="H40" s="13">
        <f>COUNTIF(H9:H35,"Pending")</f>
        <v/>
      </c>
    </row>
    <row r="41">
      <c r="G41" s="12" t="inlineStr">
        <is>
          <t>Total</t>
        </is>
      </c>
      <c r="H41" s="13">
        <f>SUM(H38:H40)</f>
        <v/>
      </c>
    </row>
  </sheetData>
  <autoFilter ref="A8:I35"/>
  <conditionalFormatting sqref="H9:H35">
    <cfRule type="cellIs" priority="1" operator="equal" dxfId="0">
      <formula>"Fail"</formula>
    </cfRule>
  </conditionalFormatting>
  <dataValidations count="1">
    <dataValidation sqref="H9:H35" showDropDown="0" showInputMessage="0" showErrorMessage="0" allowBlank="0" type="list">
      <formula1>"Pass,Fail,Pending"</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Quản lý người giám sát (CAREGIVER)</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Người thân đọc dữ liệu sức khỏe / nhận cảnh báo của patient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TC-CAREGIVER-01</t>
        </is>
      </c>
      <c r="B9" s="7" t="inlineStr">
        <is>
          <t>Xem danh sách người giám sát của chính mình</t>
        </is>
      </c>
      <c r="C9" s="8" t="inlineStr">
        <is>
          <t>P có 2 liên kết chấp thuận qua API (F1 bật chia sẻ, F2 chấp thuận sau), 1 liên kết cũ không bằng chứng (F3), và các liên kết pending/rejected/revoked; có liên kết của patient khác</t>
        </is>
      </c>
      <c r="D9" s="8" t="inlineStr">
        <is>
          <t>1. Đăng nhập bằng P
2. GET /family/caregivers</t>
        </is>
      </c>
      <c r="E9" s="8" t="inlineStr">
        <is>
          <t>-</t>
        </is>
      </c>
      <c r="F9" s="8" t="inlineStr">
        <is>
          <t>200; items theo thứ tự F2, F1, F3; mỗi mục đúng 6 field, status=active; F1 sharing_enabled=true; F3 approved_at=null; không có liên kết khác; audit list_caregivers/allowed không có link_id</t>
        </is>
      </c>
      <c r="G9" s="8" t="inlineStr">
        <is>
          <t>Đúng như mong đợi</t>
        </is>
      </c>
      <c r="H9" s="7" t="inlineStr">
        <is>
          <t>Pass</t>
        </is>
      </c>
      <c r="I9" s="8" t="inlineStr">
        <is>
          <t>AC11 · test_list_only_own_active_ordered_minimal__AC11 · evidence/test-integration.log</t>
        </is>
      </c>
      <c r="K9" s="9" t="inlineStr">
        <is>
          <t>sharing_enabled (body PATCH)</t>
        </is>
      </c>
      <c r="L9" s="10" t="inlineStr">
        <is>
          <t>true
false</t>
        </is>
      </c>
      <c r="M9" s="10" t="inlineStr">
        <is>
          <t>1
2</t>
        </is>
      </c>
      <c r="N9" s="10" t="inlineStr">
        <is>
          <t>"true" (chuỗi)
1
null
thiếu field
field lạ (patient_id)</t>
        </is>
      </c>
      <c r="O9" s="10" t="inlineStr">
        <is>
          <t>4
5
6
7
8</t>
        </is>
      </c>
      <c r="Q9" s="10" t="inlineStr">
        <is>
          <t>Liên kết active?</t>
        </is>
      </c>
      <c r="R9" s="11" t="inlineStr">
        <is>
          <t>Không</t>
        </is>
      </c>
      <c r="S9" s="11" t="inlineStr">
        <is>
          <t>Có</t>
        </is>
      </c>
      <c r="T9" s="11" t="inlineStr">
        <is>
          <t>Có</t>
        </is>
      </c>
      <c r="U9" s="11" t="inlineStr">
        <is>
          <t>Có</t>
        </is>
      </c>
    </row>
    <row r="10" ht="140" customHeight="1">
      <c r="A10" s="7" t="inlineStr">
        <is>
          <t>TC-CAREGIVER-02</t>
        </is>
      </c>
      <c r="B10" s="7" t="inlineStr">
        <is>
          <t>Xem danh sách khi chưa có người giám sát</t>
        </is>
      </c>
      <c r="C10" s="8" t="inlineStr">
        <is>
          <t>Tài khoản không có liên kết active</t>
        </is>
      </c>
      <c r="D10" s="8" t="inlineStr">
        <is>
          <t>1. GET /family/caregivers</t>
        </is>
      </c>
      <c r="E10" s="8" t="inlineStr">
        <is>
          <t>-</t>
        </is>
      </c>
      <c r="F10" s="8" t="inlineStr">
        <is>
          <t>200; {"items": []}</t>
        </is>
      </c>
      <c r="G10" s="8" t="inlineStr">
        <is>
          <t>200; {"items": []}</t>
        </is>
      </c>
      <c r="H10" s="7" t="inlineStr">
        <is>
          <t>Pass</t>
        </is>
      </c>
      <c r="I10" s="8" t="inlineStr">
        <is>
          <t>AC11 · test_empty_list_returns_items_empty__AC11 · evidence/test-integration.log</t>
        </is>
      </c>
      <c r="K10" s="9" t="inlineStr">
        <is>
          <t>link_id (path)</t>
        </is>
      </c>
      <c r="L10" s="10" t="inlineStr">
        <is>
          <t>id liên kết active của chính mình</t>
        </is>
      </c>
      <c r="M10" s="10" t="inlineStr">
        <is>
          <t>3</t>
        </is>
      </c>
      <c r="N10" s="10" t="inlineStr">
        <is>
          <t>0
-1
abc
9223372036854775808
id không tồn tại
liên kết của patient khác
liên kết không active (pending/rejected/revoked)</t>
        </is>
      </c>
      <c r="O10" s="10" t="inlineStr">
        <is>
          <t>9
10
11
12
13
14
15</t>
        </is>
      </c>
      <c r="Q10" s="10" t="inlineStr">
        <is>
          <t>Công tắc chia sẻ bật?</t>
        </is>
      </c>
      <c r="R10" s="11" t="inlineStr">
        <is>
          <t>-</t>
        </is>
      </c>
      <c r="S10" s="11" t="inlineStr">
        <is>
          <t>Không</t>
        </is>
      </c>
      <c r="T10" s="11" t="inlineStr">
        <is>
          <t>Có</t>
        </is>
      </c>
      <c r="U10" s="11" t="inlineStr">
        <is>
          <t>Có</t>
        </is>
      </c>
    </row>
    <row r="11" ht="90.5" customHeight="1">
      <c r="A11" s="7" t="inlineStr">
        <is>
          <t>TC-CAREGIVER-03</t>
        </is>
      </c>
      <c r="B11" s="7" t="inlineStr">
        <is>
          <t>Gửi query patient_id để xem người giám sát của người khác</t>
        </is>
      </c>
      <c r="C11" s="8" t="inlineStr">
        <is>
          <t>Đã đăng nhập</t>
        </is>
      </c>
      <c r="D11" s="8" t="inlineStr">
        <is>
          <t>1. GET /family/caregivers?patient_id=&lt;UUID khác&gt;</t>
        </is>
      </c>
      <c r="E11" s="8" t="inlineStr">
        <is>
          <t>patient_id=&lt;UUID&gt;</t>
        </is>
      </c>
      <c r="F11" s="8" t="inlineStr">
        <is>
          <t>422</t>
        </is>
      </c>
      <c r="G11" s="8" t="inlineStr">
        <is>
          <t>422</t>
        </is>
      </c>
      <c r="H11" s="7" t="inlineStr">
        <is>
          <t>Pass</t>
        </is>
      </c>
      <c r="I11" s="8" t="inlineStr">
        <is>
          <t>AC5 · Đoán lỗi (truy cập dữ liệu người khác) · test_caregivers_rejects_query_parameters__AC11 · evidence/test-integration.log</t>
        </is>
      </c>
      <c r="Q11" s="10" t="inlineStr">
        <is>
          <t>Patient còn đồng ý family_sharing?</t>
        </is>
      </c>
      <c r="R11" s="11" t="inlineStr">
        <is>
          <t>-</t>
        </is>
      </c>
      <c r="S11" s="11" t="inlineStr">
        <is>
          <t>-</t>
        </is>
      </c>
      <c r="T11" s="11" t="inlineStr">
        <is>
          <t>Không</t>
        </is>
      </c>
      <c r="U11" s="11" t="inlineStr">
        <is>
          <t>Có</t>
        </is>
      </c>
    </row>
    <row r="12" ht="74" customHeight="1">
      <c r="A12" s="7" t="inlineStr">
        <is>
          <t>TC-CAREGIVER-04</t>
        </is>
      </c>
      <c r="B12" s="7" t="inlineStr">
        <is>
          <t>Bật, bật lại và tắt chia sẻ</t>
        </is>
      </c>
      <c r="C12" s="8" t="inlineStr">
        <is>
          <t>Liên kết active chấp thuận qua API, chia sẻ đang tắt; P có family_sharing</t>
        </is>
      </c>
      <c r="D12" s="8" t="inlineStr">
        <is>
          <t>1. PATCH /family/links/{id}/sharing true
2. PATCH lại true
3. PATCH false</t>
        </is>
      </c>
      <c r="E12" s="8" t="inlineStr">
        <is>
          <t>{"sharing_enabled": true} / {"sharing_enabled": false}</t>
        </is>
      </c>
      <c r="F12" s="8" t="inlineStr">
        <is>
          <t>200 trả Caregiver với sharing_enabled đúng giá trị; gửi lại true trả kết quả giống hệt; DB đổi theo; audit enable_sharing x2, disable_sharing</t>
        </is>
      </c>
      <c r="G12" s="8" t="inlineStr">
        <is>
          <t>Đúng như mong đợi</t>
        </is>
      </c>
      <c r="H12" s="7" t="inlineStr">
        <is>
          <t>Pass</t>
        </is>
      </c>
      <c r="I12" s="8" t="inlineStr">
        <is>
          <t>AC12 · EP (1,2,3) · Đoán lỗi (gửi trùng) · test_enable_disable_idempotent_and_audit__AC12 · evidence/test-integration.log</t>
        </is>
      </c>
      <c r="Q12" s="6" t="inlineStr">
        <is>
          <t>Action</t>
        </is>
      </c>
      <c r="R12" s="5" t="inlineStr">
        <is>
          <t>R1</t>
        </is>
      </c>
      <c r="S12" s="5" t="inlineStr">
        <is>
          <t>R2</t>
        </is>
      </c>
      <c r="T12" s="5" t="inlineStr">
        <is>
          <t>R3</t>
        </is>
      </c>
      <c r="U12" s="5" t="inlineStr">
        <is>
          <t>R4</t>
        </is>
      </c>
    </row>
    <row r="13" ht="57.5" customHeight="1">
      <c r="A13" s="7" t="inlineStr">
        <is>
          <t>TC-CAREGIVER-05</t>
        </is>
      </c>
      <c r="B13" s="7" t="inlineStr">
        <is>
          <t>Tắt chia sẻ khi đã rút family_sharing</t>
        </is>
      </c>
      <c r="C13" s="8" t="inlineStr">
        <is>
          <t>Liên kết active đang chia sẻ; P đã rút family_sharing</t>
        </is>
      </c>
      <c r="D13" s="8" t="inlineStr">
        <is>
          <t>1. PATCH sharing false</t>
        </is>
      </c>
      <c r="E13" s="8" t="inlineStr">
        <is>
          <t>{"sharing_enabled": false}</t>
        </is>
      </c>
      <c r="F13" s="8" t="inlineStr">
        <is>
          <t>200; sharing_enabled=false</t>
        </is>
      </c>
      <c r="G13" s="8" t="inlineStr">
        <is>
          <t>Đúng như mong đợi</t>
        </is>
      </c>
      <c r="H13" s="7" t="inlineStr">
        <is>
          <t>Pass</t>
        </is>
      </c>
      <c r="I13" s="8" t="inlineStr">
        <is>
          <t>AC12 · test_disable_allowed_without_consent__AC12 · evidence/test-integration.log</t>
        </is>
      </c>
      <c r="Q13" s="10" t="inlineStr">
        <is>
          <t>403 + access_logs denied; không có trong danh sách nhận cảnh báo</t>
        </is>
      </c>
      <c r="R13" s="11" t="inlineStr">
        <is>
          <t>X</t>
        </is>
      </c>
      <c r="S13" s="11" t="inlineStr">
        <is>
          <t>X</t>
        </is>
      </c>
      <c r="T13" s="11" t="inlineStr">
        <is>
          <t>X</t>
        </is>
      </c>
      <c r="U13" s="11" t="inlineStr"/>
    </row>
    <row r="14" ht="74" customHeight="1">
      <c r="A14" s="7" t="inlineStr">
        <is>
          <t>TC-CAREGIVER-06</t>
        </is>
      </c>
      <c r="B14" s="7" t="inlineStr">
        <is>
          <t>Bật chia sẻ khi chưa đồng ý family_sharing</t>
        </is>
      </c>
      <c r="C14" s="8" t="inlineStr">
        <is>
          <t>Liên kết active, chia sẻ tắt; P đã rút family_sharing</t>
        </is>
      </c>
      <c r="D14" s="8" t="inlineStr">
        <is>
          <t>1. PATCH sharing true</t>
        </is>
      </c>
      <c r="E14" s="8" t="inlineStr">
        <is>
          <t>{"sharing_enabled": true}</t>
        </is>
      </c>
      <c r="F14" s="8" t="inlineStr">
        <is>
          <t>403 {"detail": "consent_revoked"}; công tắc vẫn tắt; audit enable_sharing/denied reason consent_revoked</t>
        </is>
      </c>
      <c r="G14" s="8" t="inlineStr">
        <is>
          <t>Đúng như mong đợi</t>
        </is>
      </c>
      <c r="H14" s="7" t="inlineStr">
        <is>
          <t>Pass</t>
        </is>
      </c>
      <c r="I14" s="8" t="inlineStr">
        <is>
          <t>AC7, AC10 · test_enable_without_consent_403_denied_audit__AC7_AC10 · evidence/test-integration.log</t>
        </is>
      </c>
      <c r="Q14" s="10" t="inlineStr">
        <is>
          <t>200 + access_logs allowed; có trong danh sách nhận cảnh báo</t>
        </is>
      </c>
      <c r="R14" s="11" t="inlineStr"/>
      <c r="S14" s="11" t="inlineStr"/>
      <c r="T14" s="11" t="inlineStr"/>
      <c r="U14" s="11" t="inlineStr">
        <is>
          <t>X</t>
        </is>
      </c>
    </row>
    <row r="15" ht="74" customHeight="1">
      <c r="A15" s="7" t="inlineStr">
        <is>
          <t>TC-CAREGIVER-07</t>
        </is>
      </c>
      <c r="B15" s="7" t="inlineStr">
        <is>
          <t>Bật chia sẻ cho liên kết cũ không có bằng chứng xác nhận</t>
        </is>
      </c>
      <c r="C15" s="8" t="inlineStr">
        <is>
          <t>Liên kết active tạo trước 3.16 (không có bằng chứng), chia sẻ bật</t>
        </is>
      </c>
      <c r="D15" s="8" t="inlineStr">
        <is>
          <t>1. PATCH sharing true
2. PATCH sharing false</t>
        </is>
      </c>
      <c r="E15" s="8" t="inlineStr">
        <is>
          <t>-</t>
        </is>
      </c>
      <c r="F15" s="8" t="inlineStr">
        <is>
          <t>true: 409 {"detail": "consent_confirmation_missing"}; false: 200, approved_at=null</t>
        </is>
      </c>
      <c r="G15" s="8" t="inlineStr">
        <is>
          <t>Đúng như mong đợi</t>
        </is>
      </c>
      <c r="H15" s="7" t="inlineStr">
        <is>
          <t>Pass</t>
        </is>
      </c>
      <c r="I15" s="8" t="inlineStr">
        <is>
          <t>AC10 · test_enable_legacy_link_409_confirmation_missing_but_disable_ok__AC10 · evidence/test-integration.log</t>
        </is>
      </c>
    </row>
    <row r="16" ht="90.5" customHeight="1">
      <c r="A16" s="7" t="inlineStr">
        <is>
          <t>TC-CAREGIVER-08</t>
        </is>
      </c>
      <c r="B16" s="7" t="inlineStr">
        <is>
          <t>Bật/tắt chia sẻ cho liên kết không active</t>
        </is>
      </c>
      <c r="C16" s="8" t="inlineStr">
        <is>
          <t>Liên kết pending, rejected hoặc revoked</t>
        </is>
      </c>
      <c r="D16" s="8" t="inlineStr">
        <is>
          <t>1. PATCH sharing true và false cho từng trạng thái</t>
        </is>
      </c>
      <c r="E16" s="8" t="inlineStr">
        <is>
          <t>6 tổ hợp trạng thái × giá trị</t>
        </is>
      </c>
      <c r="F16" s="8" t="inlineStr">
        <is>
          <t>409 {"detail": "family_link_not_active"}; dòng liên kết không đổi</t>
        </is>
      </c>
      <c r="G16" s="8" t="inlineStr">
        <is>
          <t>Đúng như mong đợi (6/6)</t>
        </is>
      </c>
      <c r="H16" s="7" t="inlineStr">
        <is>
          <t>Pass</t>
        </is>
      </c>
      <c r="I16" s="8" t="inlineStr">
        <is>
          <t>AC10 · EP (15) · Chuyển trạng thái (thao tác bị cấm) · test_sharing_on_non_active_link_409__AC10 · evidence/test-integration.log</t>
        </is>
      </c>
    </row>
    <row r="17" ht="74" customHeight="1">
      <c r="A17" s="7" t="inlineStr">
        <is>
          <t>TC-CAREGIVER-09</t>
        </is>
      </c>
      <c r="B17" s="7" t="inlineStr">
        <is>
          <t>Gửi body bật/tắt chia sẻ sai cấu trúc</t>
        </is>
      </c>
      <c r="C17" s="8" t="inlineStr">
        <is>
          <t>Đã đăng nhập</t>
        </is>
      </c>
      <c r="D17" s="8" t="inlineStr">
        <is>
          <t>1. PATCH /family/links/1/sharing với từng body sai</t>
        </is>
      </c>
      <c r="E17" s="8" t="inlineStr">
        <is>
          <t>(không body); {}; "true" (chuỗi); 1; null; {"sharing_enabled": true, "patient_id": "…"}</t>
        </is>
      </c>
      <c r="F17" s="8" t="inlineStr">
        <is>
          <t>422 ValidationError; không gọi use case</t>
        </is>
      </c>
      <c r="G17" s="8" t="inlineStr">
        <is>
          <t>422 cho mọi trường hợp</t>
        </is>
      </c>
      <c r="H17" s="7" t="inlineStr">
        <is>
          <t>Pass</t>
        </is>
      </c>
      <c r="I17" s="8" t="inlineStr">
        <is>
          <t>AC22 · EP (4,5,6,7,8) · test_strict_sharing_body_rejected_before_use_case · evidence/implement-final-backend.log</t>
        </is>
      </c>
    </row>
    <row r="18" ht="74" customHeight="1">
      <c r="A18" s="7" t="inlineStr">
        <is>
          <t>TC-CAREGIVER-10</t>
        </is>
      </c>
      <c r="B18" s="7" t="inlineStr">
        <is>
          <t>Gọi bật/tắt chia sẻ và hủy với link_id không hợp lệ</t>
        </is>
      </c>
      <c r="C18" s="8" t="inlineStr">
        <is>
          <t>Đã đăng nhập</t>
        </is>
      </c>
      <c r="D18" s="8" t="inlineStr">
        <is>
          <t>1. PATCH /family/links/{link_id}/sharing
2. POST /family/links/{link_id}/revoke</t>
        </is>
      </c>
      <c r="E18" s="8" t="inlineStr">
        <is>
          <t>link_id = 0, -1, abc, 1.1, 9223372036854775808</t>
        </is>
      </c>
      <c r="F18" s="8" t="inlineStr">
        <is>
          <t>422 cho mọi giá trị</t>
        </is>
      </c>
      <c r="G18" s="8" t="inlineStr">
        <is>
          <t>422</t>
        </is>
      </c>
      <c r="H18" s="7" t="inlineStr">
        <is>
          <t>Pass</t>
        </is>
      </c>
      <c r="I18" s="8" t="inlineStr">
        <is>
          <t>AC22 · EP (9,10,11,12) · BVA (min-1) · test_new_routes_invalid_path_id_is_422 · evidence/implement-final-backend.log</t>
        </is>
      </c>
    </row>
    <row r="19" ht="74" customHeight="1">
      <c r="A19" s="7" t="inlineStr">
        <is>
          <t>TC-CAREGIVER-11</t>
        </is>
      </c>
      <c r="B19" s="7" t="inlineStr">
        <is>
          <t>Thao tác trên liên kết không tồn tại</t>
        </is>
      </c>
      <c r="C19" s="8" t="inlineStr">
        <is>
          <t>P đã đăng nhập</t>
        </is>
      </c>
      <c r="D19" s="8" t="inlineStr">
        <is>
          <t>1. PATCH sharing true cho id 2000000000
2. POST revoke cho id 2000000000</t>
        </is>
      </c>
      <c r="E19" s="8" t="inlineStr">
        <is>
          <t>link_id=2000000000</t>
        </is>
      </c>
      <c r="F19" s="8" t="inlineStr">
        <is>
          <t>404 {"detail": "family_link_not_found"}; không ghi audit</t>
        </is>
      </c>
      <c r="G19" s="8" t="inlineStr">
        <is>
          <t>Đúng như mong đợi</t>
        </is>
      </c>
      <c r="H19" s="7" t="inlineStr">
        <is>
          <t>Pass</t>
        </is>
      </c>
      <c r="I19" s="8" t="inlineStr">
        <is>
          <t>AC10 · EP (13) · test_missing_link_404_without_allowed_audit__AC10 · evidence/test-integration.log</t>
        </is>
      </c>
    </row>
    <row r="20" ht="107" customHeight="1">
      <c r="A20" s="7" t="inlineStr">
        <is>
          <t>TC-CAREGIVER-12</t>
        </is>
      </c>
      <c r="B20" s="7" t="inlineStr">
        <is>
          <t>Người thân, người lạ, admin bật/tắt chia sẻ hoặc hủy liên kết thay patient</t>
        </is>
      </c>
      <c r="C20" s="8" t="inlineStr">
        <is>
          <t>Liên kết active P←F đang chia sẻ; người lạ X; admin A</t>
        </is>
      </c>
      <c r="D20" s="8" t="inlineStr">
        <is>
          <t>1. Gọi 3 endpoint không token
2. Với F, X, A: PATCH false, PATCH true, POST revoke
3. A gọi GET /family/caregivers
4. F, X gọi GET /family/caregivers
5. P gọi POST revoke</t>
        </is>
      </c>
      <c r="E20" s="8" t="inlineStr">
        <is>
          <t>-</t>
        </is>
      </c>
      <c r="F20" s="8" t="inlineStr">
        <is>
          <t>401 khi không token; 403 khong_co_quyen, liên kết không đổi, mỗi lượt 1 audit denied với actor là người gọi (admin không ghi patient/link); admin xem danh sách 403; F và X thấy items rỗng; P hủy được (200)</t>
        </is>
      </c>
      <c r="G20" s="8" t="inlineStr">
        <is>
          <t>Đúng như mong đợi</t>
        </is>
      </c>
      <c r="H20" s="7" t="inlineStr">
        <is>
          <t>Pass</t>
        </is>
      </c>
      <c r="I20" s="8" t="inlineStr">
        <is>
          <t>AC5 · EP (14) · test_new_endpoints_denied_caller_matrix__AC5 · evidence/test-integration.log</t>
        </is>
      </c>
    </row>
    <row r="21" ht="90.5" customHeight="1">
      <c r="A21" s="7" t="inlineStr">
        <is>
          <t>TC-CAREGIVER-13</t>
        </is>
      </c>
      <c r="B21" s="7" t="inlineStr">
        <is>
          <t>Hủy liên kết và gửi lại lệnh hủy</t>
        </is>
      </c>
      <c r="C21" s="8" t="inlineStr">
        <is>
          <t>Liên kết active đang chia sẻ</t>
        </is>
      </c>
      <c r="D21" s="8" t="inlineStr">
        <is>
          <t>1. POST /family/links/{id}/revoke
2. POST revoke lần 2
3. GET /family/caregivers</t>
        </is>
      </c>
      <c r="E21" s="8" t="inlineStr">
        <is>
          <t>(không body)</t>
        </is>
      </c>
      <c r="F21" s="8" t="inlineStr">
        <is>
          <t>200 {link_id, family_user_id, status: revoked, revoked_at}; lần 2 trả y hệt; bằng chứng đồng ý vẫn còn 1 dòng; audit revoke x2; danh sách rỗng</t>
        </is>
      </c>
      <c r="G21" s="8" t="inlineStr">
        <is>
          <t>Đúng như mong đợi</t>
        </is>
      </c>
      <c r="H21" s="7" t="inlineStr">
        <is>
          <t>Pass</t>
        </is>
      </c>
      <c r="I21" s="8" t="inlineStr">
        <is>
          <t>AC13 · Chuyển trạng thái (active→revoked) · test_revoke_keeps_history_and_replay_returns_same_time__AC13 · evidence/test-integration.log</t>
        </is>
      </c>
    </row>
    <row r="22" ht="74" customHeight="1">
      <c r="A22" s="7" t="inlineStr">
        <is>
          <t>TC-CAREGIVER-14</t>
        </is>
      </c>
      <c r="B22" s="7" t="inlineStr">
        <is>
          <t>Liên kết lại sau khi hủy</t>
        </is>
      </c>
      <c r="C22" s="8" t="inlineStr">
        <is>
          <t>Liên kết đã chấp thuận, bật chia sẻ, rồi bị hủy</t>
        </is>
      </c>
      <c r="D22" s="8" t="inlineStr">
        <is>
          <t>1. F gửi lại yêu cầu bằng mã của P
2. P chấp thuận</t>
        </is>
      </c>
      <c r="E22" s="8" t="inlineStr">
        <is>
          <t>client_uuid mới</t>
        </is>
      </c>
      <c r="F22" s="8" t="inlineStr">
        <is>
          <t>201 tạo liên kết mới pending (id khác); sau chấp thuận sharing_enabled=false; bằng chứng mới riêng, bằng chứng cũ còn; liên kết cũ vẫn revoked</t>
        </is>
      </c>
      <c r="G22" s="8" t="inlineStr">
        <is>
          <t>Đúng như mong đợi</t>
        </is>
      </c>
      <c r="H22" s="7" t="inlineStr">
        <is>
          <t>Pass</t>
        </is>
      </c>
      <c r="I22" s="8" t="inlineStr">
        <is>
          <t>AC13 · test_relink_after_revoke_starts_unshared_with_new_evidence__AC13 · evidence/test-integration.log</t>
        </is>
      </c>
    </row>
    <row r="23" ht="74" customHeight="1">
      <c r="A23" s="7" t="inlineStr">
        <is>
          <t>TC-CAREGIVER-15</t>
        </is>
      </c>
      <c r="B23" s="7" t="inlineStr">
        <is>
          <t>Hủy liên kết đang chờ hoặc đã bị từ chối</t>
        </is>
      </c>
      <c r="C23" s="8" t="inlineStr">
        <is>
          <t>Liên kết pending hoặc rejected</t>
        </is>
      </c>
      <c r="D23" s="8" t="inlineStr">
        <is>
          <t>1. POST revoke</t>
        </is>
      </c>
      <c r="E23" s="8" t="inlineStr">
        <is>
          <t>-</t>
        </is>
      </c>
      <c r="F23" s="8" t="inlineStr">
        <is>
          <t>409 {"detail": "invalid_link_transition"}; liên kết không đổi</t>
        </is>
      </c>
      <c r="G23" s="8" t="inlineStr">
        <is>
          <t>Đúng như mong đợi</t>
        </is>
      </c>
      <c r="H23" s="7" t="inlineStr">
        <is>
          <t>Pass</t>
        </is>
      </c>
      <c r="I23" s="8" t="inlineStr">
        <is>
          <t>AC10 · Chuyển trạng thái (chuyển bị cấm) · test_revoke_pending_or_rejected_409__AC10 · evidence/test-integration.log</t>
        </is>
      </c>
    </row>
    <row r="24" ht="57.5" customHeight="1">
      <c r="A24" s="7" t="inlineStr">
        <is>
          <t>TC-CAREGIVER-16</t>
        </is>
      </c>
      <c r="B24" s="7" t="inlineStr">
        <is>
          <t>Gửi body khi hủy liên kết</t>
        </is>
      </c>
      <c r="C24" s="8" t="inlineStr">
        <is>
          <t>Liên kết active</t>
        </is>
      </c>
      <c r="D24" s="8" t="inlineStr">
        <is>
          <t>1. POST revoke với body {}</t>
        </is>
      </c>
      <c r="E24" s="8" t="inlineStr">
        <is>
          <t>{}</t>
        </is>
      </c>
      <c r="F24" s="8" t="inlineStr">
        <is>
          <t>422; liên kết vẫn active</t>
        </is>
      </c>
      <c r="G24" s="8" t="inlineStr">
        <is>
          <t>422</t>
        </is>
      </c>
      <c r="H24" s="7" t="inlineStr">
        <is>
          <t>Pass</t>
        </is>
      </c>
      <c r="I24" s="8" t="inlineStr">
        <is>
          <t>AC10 · Đoán lỗi · test_revoke_with_body_is_422__AC10 · evidence/test-integration.log</t>
        </is>
      </c>
    </row>
    <row r="25" ht="123.5" customHeight="1">
      <c r="A25" s="7" t="inlineStr">
        <is>
          <t>TC-CAREGIVER-17</t>
        </is>
      </c>
      <c r="B25" s="7" t="inlineStr">
        <is>
          <t>Mỗi quyết định của patient có hiệu lực ngay ở request kế tiếp của người thân</t>
        </is>
      </c>
      <c r="C25" s="8" t="inlineStr">
        <is>
          <t>P có health_data và family_sharing, có một thuốc; F dùng một token duy nhất</t>
        </is>
      </c>
      <c r="D25" s="8" t="inlineStr">
        <is>
          <t>1. F gửi yêu cầu (pending) → F đọc GET /medications/{id}
2. P chấp thuận → F đọc
3. P bật chia sẻ → F đọc
4. P tắt chia sẻ → F đọc
5. P bật lại → F đọc, P hủy liên kết → F đọc
6. F gửi lại, P từ chối → F đọc</t>
        </is>
      </c>
      <c r="E25" s="8" t="inlineStr">
        <is>
          <t>-</t>
        </is>
      </c>
      <c r="F25" s="8" t="inlineStr">
        <is>
          <t>403 + access_logs denied ở pending, chấp thuận (chia sẻ tắt), tắt chia sẻ, hủy, từ chối; 200 + allowed (actor_role family) khi đang chia sẻ; danh sách nhận cảnh báo (authorized_caregivers) có F đúng khi được 200</t>
        </is>
      </c>
      <c r="G25" s="8" t="inlineStr">
        <is>
          <t>Đúng như mong đợi</t>
        </is>
      </c>
      <c r="H25" s="7" t="inlineStr">
        <is>
          <t>Pass</t>
        </is>
      </c>
      <c r="I25" s="8" t="inlineStr">
        <is>
          <t>AC6 · Decision Table (R1, R2, R4) · test_every_decision_applies_on_next_request_same_token__AC6 · evidence/test-integration.log</t>
        </is>
      </c>
    </row>
    <row r="26" ht="74" customHeight="1">
      <c r="A26" s="7" t="inlineStr">
        <is>
          <t>TC-CAREGIVER-18</t>
        </is>
      </c>
      <c r="B26" s="7" t="inlineStr">
        <is>
          <t>Rút family_sharing khi công tắc vẫn bật</t>
        </is>
      </c>
      <c r="C26" s="8" t="inlineStr">
        <is>
          <t>Liên kết active đang chia sẻ, F đọc được</t>
        </is>
      </c>
      <c r="D26" s="8" t="inlineStr">
        <is>
          <t>1. P rút family_sharing
2. F đọc GET /medications/{id} ngay</t>
        </is>
      </c>
      <c r="E26" s="8" t="inlineStr">
        <is>
          <t>-</t>
        </is>
      </c>
      <c r="F26" s="8" t="inlineStr">
        <is>
          <t>403 + access_logs denied; F không còn trong danh sách nhận cảnh báo; công tắc không tự đổi</t>
        </is>
      </c>
      <c r="G26" s="8" t="inlineStr">
        <is>
          <t>Đúng như mong đợi</t>
        </is>
      </c>
      <c r="H26" s="7" t="inlineStr">
        <is>
          <t>Pass</t>
        </is>
      </c>
      <c r="I26" s="8" t="inlineStr">
        <is>
          <t>AC6 · Decision Table (R3) · test_consent_withdrawal_blocks_even_with_sharing_on__AC6 · evidence/test-integration.log</t>
        </is>
      </c>
    </row>
    <row r="27" ht="74" customHeight="1">
      <c r="A27" s="7" t="inlineStr">
        <is>
          <t>TC-CAREGIVER-19</t>
        </is>
      </c>
      <c r="B27" s="7" t="inlineStr">
        <is>
          <t>Hủy liên kết và bật chia sẻ cùng lúc</t>
        </is>
      </c>
      <c r="C27" s="8" t="inlineStr">
        <is>
          <t>Liên kết active, chia sẻ tắt; giữ khóa dòng để hai request cùng chờ</t>
        </is>
      </c>
      <c r="D27" s="8" t="inlineStr">
        <is>
          <t>1. Gửi đồng thời PATCH sharing true và POST revoke
2. Nhả khóa
3. F đọc dữ liệu</t>
        </is>
      </c>
      <c r="E27" s="8" t="inlineStr">
        <is>
          <t>-</t>
        </is>
      </c>
      <c r="F27" s="8" t="inlineStr">
        <is>
          <t>Revoke 200; PATCH 200 hoặc 409 family_link_not_active; trạng thái cuối revoked; F nhận 403 + denied</t>
        </is>
      </c>
      <c r="G27" s="8" t="inlineStr">
        <is>
          <t>Đúng như mong đợi (chạy 5 lần đều pass)</t>
        </is>
      </c>
      <c r="H27" s="7" t="inlineStr">
        <is>
          <t>Pass</t>
        </is>
      </c>
      <c r="I27" s="8" t="inlineStr">
        <is>
          <t>AC15 · Đoán lỗi (chạy đua) · test_concurrent_revoke_and_enable_sharing_ends_revoked__AC15 · evidence/test-integration.log</t>
        </is>
      </c>
    </row>
    <row r="28" ht="107" customHeight="1">
      <c r="A28" s="7" t="inlineStr">
        <is>
          <t>TC-CAREGIVER-20</t>
        </is>
      </c>
      <c r="B28" s="7" t="inlineStr">
        <is>
          <t>Kiểm migration audit cho thao tác mới</t>
        </is>
      </c>
      <c r="C28" s="8" t="inlineStr">
        <is>
          <t>DB reset sạch (supabase db reset)</t>
        </is>
      </c>
      <c r="D28" s="8" t="inlineStr">
        <is>
          <t>1. Chèn audit list_caregivers không link_id
2. Chèn enable_sharing/disable_sharing/revoke allowed và denied
3. Chèn operation lạ
4. Chèn allowed gắn link không có link_id
5. UPDATE/DELETE/TRUNCATE với mọi role</t>
        </is>
      </c>
      <c r="E28" s="8" t="inlineStr">
        <is>
          <t>operation = update_sharing, delete, LIST_CAREGIVERS, (blank)</t>
        </is>
      </c>
      <c r="F28" s="8" t="inlineStr">
        <is>
          <t>Operation mới được nhận; operation lạ và allowed gắn link thiếu link_id bị từ chối; mọi role không sửa/xóa được; ràng buộc đúng định nghĩa migration</t>
        </is>
      </c>
      <c r="G28" s="8" t="inlineStr">
        <is>
          <t>Đúng như mong đợi (32 test)</t>
        </is>
      </c>
      <c r="H28" s="7" t="inlineStr">
        <is>
          <t>Pass</t>
        </is>
      </c>
      <c r="I28" s="8" t="inlineStr">
        <is>
          <t>AC14 · test_migration_family_link_audit_operations.py · evidence/test-integration.log, evidence/test-db-reset.log</t>
        </is>
      </c>
    </row>
    <row r="29" ht="74" customHeight="1">
      <c r="A29" s="7" t="inlineStr">
        <is>
          <t>TC-CAREGIVER-21</t>
        </is>
      </c>
      <c r="B29" s="7" t="inlineStr">
        <is>
          <t>Mở màn Người giám sát từ Hồ sơ</t>
        </is>
      </c>
      <c r="C29" s="8" t="inlineStr">
        <is>
          <t>App mobile; có 2 người giám sát (1 không tên, 1 liên kết cũ)</t>
        </is>
      </c>
      <c r="D29" s="8" t="inlineStr">
        <is>
          <t>1. Hồ sơ &gt; Người giám sát</t>
        </is>
      </c>
      <c r="E29" s="8" t="inlineStr">
        <is>
          <t>approved_at = 2026-10-14T18:00:00Z</t>
        </is>
      </c>
      <c r="F29" s="8" t="inlineStr">
        <is>
          <t>Không còn "Sắp ra mắt"; hiện tên, "Chấp thuận ngày 15/10/2026", "Người dùng DrugTime", "Liên kết trước khi có bước xác nhận đồng ý", công tắc đúng giá trị</t>
        </is>
      </c>
      <c r="G29" s="8" t="inlineStr">
        <is>
          <t>Đúng như mong đợi</t>
        </is>
      </c>
      <c r="H29" s="7" t="inlineStr">
        <is>
          <t>Pass</t>
        </is>
      </c>
      <c r="I29" s="8" t="inlineStr">
        <is>
          <t>AC20 · caregivers_screen_test.dart (AC20), profile_screens_test.dart (AC20) · evidence/implement-final-frontend.log</t>
        </is>
      </c>
    </row>
    <row r="30" ht="74" customHeight="1">
      <c r="A30" s="7" t="inlineStr">
        <is>
          <t>TC-CAREGIVER-22</t>
        </is>
      </c>
      <c r="B30" s="7" t="inlineStr">
        <is>
          <t>Màn trống: bấm Mở tab Người thân</t>
        </is>
      </c>
      <c r="C30" s="8" t="inlineStr">
        <is>
          <t>Chưa có người giám sát</t>
        </is>
      </c>
      <c r="D30" s="8" t="inlineStr">
        <is>
          <t>1. Hồ sơ &gt; Người giám sát
2. Bấm "Mở tab Người thân"</t>
        </is>
      </c>
      <c r="E30" s="8" t="inlineStr">
        <is>
          <t>-</t>
        </is>
      </c>
      <c r="F30" s="8" t="inlineStr">
        <is>
          <t>Hiện "Chưa có người giám sát"; bấm nút thì đóng màn, shell chuyển sang tab Người thân và tải yêu cầu đang chờ</t>
        </is>
      </c>
      <c r="G30" s="8" t="inlineStr">
        <is>
          <t>Đúng như mong đợi</t>
        </is>
      </c>
      <c r="H30" s="7" t="inlineStr">
        <is>
          <t>Pass</t>
        </is>
      </c>
      <c r="I30" s="8" t="inlineStr">
        <is>
          <t>AC20 · app_shell_test.dart (AC20), caregivers_screen_test.dart · evidence/implement-final-frontend.log</t>
        </is>
      </c>
    </row>
    <row r="31" ht="74" customHeight="1">
      <c r="A31" s="7" t="inlineStr">
        <is>
          <t>TC-CAREGIVER-23</t>
        </is>
      </c>
      <c r="B31" s="7" t="inlineStr">
        <is>
          <t>Gạt công tắc chia sẻ trên app</t>
        </is>
      </c>
      <c r="C31" s="8" t="inlineStr">
        <is>
          <t>Có người giám sát</t>
        </is>
      </c>
      <c r="D31" s="8" t="inlineStr">
        <is>
          <t>1. Gạt công tắc
2. Trong lúc chờ gạt lại
3. Lần khác: server trả lỗi mạng</t>
        </is>
      </c>
      <c r="E31" s="8" t="inlineStr">
        <is>
          <t>-</t>
        </is>
      </c>
      <c r="F31" s="8" t="inlineStr">
        <is>
          <t>Công tắc và nút hủy khóa khi đang gửi, chỉ 1 request; hiện giá trị server trả và báo "Đã bật/tắt chia sẻ với …"; lỗi mạng thì giữ giá trị cũ và báo lỗi</t>
        </is>
      </c>
      <c r="G31" s="8" t="inlineStr">
        <is>
          <t>Đúng như mong đợi</t>
        </is>
      </c>
      <c r="H31" s="7" t="inlineStr">
        <is>
          <t>Pass</t>
        </is>
      </c>
      <c r="I31" s="8" t="inlineStr">
        <is>
          <t>AC21 · Đoán lỗi (bấm liên tục, mất mạng) · caregivers_screen_test.dart (AC21) · evidence/implement-final-frontend.log</t>
        </is>
      </c>
    </row>
    <row r="32" ht="90.5" customHeight="1">
      <c r="A32" s="7" t="inlineStr">
        <is>
          <t>TC-CAREGIVER-24</t>
        </is>
      </c>
      <c r="B32" s="7" t="inlineStr">
        <is>
          <t>Hủy liên kết trên app có hộp xác nhận</t>
        </is>
      </c>
      <c r="C32" s="8" t="inlineStr">
        <is>
          <t>Có người giám sát Nguyễn Văn An</t>
        </is>
      </c>
      <c r="D32" s="8" t="inlineStr">
        <is>
          <t>1. Bấm Hủy liên kết rồi Giữ liên kết
2. Bấm Hủy liên kết rồi xác nhận</t>
        </is>
      </c>
      <c r="E32" s="8" t="inlineStr">
        <is>
          <t>-</t>
        </is>
      </c>
      <c r="F32" s="8" t="inlineStr">
        <is>
          <t>Hộp nêu người thân mất quyền xem ngay và phải gửi yêu cầu mới; giữ thì không gọi API; xác nhận thì gọi revoke rồi tải lại, mục biến mất, báo "Đã hủy liên kết với Nguyễn Văn An."</t>
        </is>
      </c>
      <c r="G32" s="8" t="inlineStr">
        <is>
          <t>Đúng như mong đợi</t>
        </is>
      </c>
      <c r="H32" s="7" t="inlineStr">
        <is>
          <t>Pass</t>
        </is>
      </c>
      <c r="I32" s="8" t="inlineStr">
        <is>
          <t>AC21 · caregivers_screen_test.dart (AC21) · evidence/implement-final-frontend.log</t>
        </is>
      </c>
    </row>
    <row r="33" ht="57.5" customHeight="1">
      <c r="A33" s="7" t="inlineStr">
        <is>
          <t>TC-CAREGIVER-25</t>
        </is>
      </c>
      <c r="B33" s="7" t="inlineStr">
        <is>
          <t>Chưa bật family_sharing: chỉ tắt được, không bật được</t>
        </is>
      </c>
      <c r="C33" s="8" t="inlineStr">
        <is>
          <t>Tài khoản chưa bật family_sharing; 1 người giám sát đang tắt, 1 đang bật</t>
        </is>
      </c>
      <c r="D33" s="8" t="inlineStr">
        <is>
          <t>1. Mở màn Người giám sát
2. Bấm "Mở Quyền riêng tư"</t>
        </is>
      </c>
      <c r="E33" s="8" t="inlineStr">
        <is>
          <t>-</t>
        </is>
      </c>
      <c r="F33" s="8" t="inlineStr">
        <is>
          <t>Có dải nhắc; công tắc đang tắt bị khóa, công tắc đang bật vẫn tắt được; nút mở màn Quyền riêng tư</t>
        </is>
      </c>
      <c r="G33" s="8" t="inlineStr">
        <is>
          <t>Đúng như mong đợi</t>
        </is>
      </c>
      <c r="H33" s="7" t="inlineStr">
        <is>
          <t>Pass</t>
        </is>
      </c>
      <c r="I33" s="8" t="inlineStr">
        <is>
          <t>AC19 · caregivers_screen_test.dart (AC19) · evidence/implement-final-frontend.log</t>
        </is>
      </c>
    </row>
    <row r="34" ht="57.5" customHeight="1">
      <c r="A34" s="7" t="inlineStr">
        <is>
          <t>TC-CAREGIVER-26</t>
        </is>
      </c>
      <c r="B34" s="7" t="inlineStr">
        <is>
          <t>Xử lý lỗi khi bật chia sẻ trên app</t>
        </is>
      </c>
      <c r="C34" s="8" t="inlineStr">
        <is>
          <t>Có người giám sát; server trả lỗi</t>
        </is>
      </c>
      <c r="D34" s="8" t="inlineStr">
        <is>
          <t>1. Bật chia sẻ khi server trả lần lượt 403 consent_revoked, 409, 404, 409 consent_confirmation_missing, lỗi mạng</t>
        </is>
      </c>
      <c r="E34" s="8" t="inlineStr">
        <is>
          <t>-</t>
        </is>
      </c>
      <c r="F34" s="8" t="inlineStr">
        <is>
          <t>Báo đúng câu cho từng lỗi; công tắc giữ giá trị cũ; 409/404 thì tải lại danh sách</t>
        </is>
      </c>
      <c r="G34" s="8" t="inlineStr">
        <is>
          <t>Đúng như mong đợi</t>
        </is>
      </c>
      <c r="H34" s="7" t="inlineStr">
        <is>
          <t>Pass</t>
        </is>
      </c>
      <c r="I34" s="8" t="inlineStr">
        <is>
          <t>AC22 · caregivers_screen_test.dart (AC22) · evidence/implement-final-frontend.log</t>
        </is>
      </c>
    </row>
    <row r="35" ht="57.5" customHeight="1">
      <c r="A35" s="7" t="inlineStr">
        <is>
          <t>TC-CAREGIVER-27</t>
        </is>
      </c>
      <c r="B35" s="7" t="inlineStr">
        <is>
          <t>Mở lại màn và kéo xuống luôn gọi lại API</t>
        </is>
      </c>
      <c r="C35" s="8" t="inlineStr">
        <is>
          <t>Có người giám sát</t>
        </is>
      </c>
      <c r="D35" s="8" t="inlineStr">
        <is>
          <t>1. Kéo xuống
2. Đóng rồi mở lại màn</t>
        </is>
      </c>
      <c r="E35" s="8" t="inlineStr">
        <is>
          <t>-</t>
        </is>
      </c>
      <c r="F35" s="8" t="inlineStr">
        <is>
          <t>Mỗi lần gọi lại listCaregivers; không dùng dữ liệu cũ</t>
        </is>
      </c>
      <c r="G35" s="8" t="inlineStr">
        <is>
          <t>Đúng như mong đợi</t>
        </is>
      </c>
      <c r="H35" s="7" t="inlineStr">
        <is>
          <t>Pass</t>
        </is>
      </c>
      <c r="I35" s="8" t="inlineStr">
        <is>
          <t>AC22 · caregivers_screen_test.dart (AC20, AC22) · evidence/implement-final-frontend.log</t>
        </is>
      </c>
    </row>
    <row r="36" ht="90.5" customHeight="1">
      <c r="A36" s="7" t="inlineStr">
        <is>
          <t>TC-CAREGIVER-28</t>
        </is>
      </c>
      <c r="B36" s="7" t="inlineStr">
        <is>
          <t>Bật/tắt chia sẻ và hủy liên kết thật trên hai thiết bị</t>
        </is>
      </c>
      <c r="C36" s="8" t="inlineStr">
        <is>
          <t>P và F đã liên kết, chia sẻ bật; backend đang chạy</t>
        </is>
      </c>
      <c r="D36" s="8" t="inlineStr">
        <is>
          <t>1. F mở dữ liệu thuốc của P
2. P tắt chia sẻ ở Hồ sơ &gt; Người giám sát
3. F tải lại
4. P bật lại rồi Hủy liên kết
5. F tải lại; F gửi lại mã</t>
        </is>
      </c>
      <c r="E36" s="8" t="inlineStr">
        <is>
          <t>-</t>
        </is>
      </c>
      <c r="F36" s="8" t="inlineStr">
        <is>
          <t>F xem được khi đang chia sẻ; sau khi tắt hoặc hủy, lần tải kế tiếp F bị từ chối; sau khi hủy F gửi lại mã tạo được yêu cầu mới</t>
        </is>
      </c>
      <c r="G36" s="8" t="inlineStr"/>
      <c r="H36" s="7" t="inlineStr">
        <is>
          <t>Pending</t>
        </is>
      </c>
      <c r="I36" s="8" t="inlineStr">
        <is>
          <t>AC23 · manual</t>
        </is>
      </c>
    </row>
    <row r="37"/>
    <row r="38"/>
    <row r="39">
      <c r="G39" s="12" t="inlineStr">
        <is>
          <t>Pass</t>
        </is>
      </c>
      <c r="H39" s="13">
        <f>COUNTIF(H9:H36,"Pass")</f>
        <v/>
      </c>
    </row>
    <row r="40">
      <c r="G40" s="12" t="inlineStr">
        <is>
          <t>Fail</t>
        </is>
      </c>
      <c r="H40" s="13">
        <f>COUNTIF(H9:H36,"Fail")</f>
        <v/>
      </c>
    </row>
    <row r="41">
      <c r="G41" s="12" t="inlineStr">
        <is>
          <t>Pending</t>
        </is>
      </c>
      <c r="H41" s="13">
        <f>COUNTIF(H9:H36,"Pending")</f>
        <v/>
      </c>
    </row>
    <row r="42">
      <c r="G42" s="12" t="inlineStr">
        <is>
          <t>Total</t>
        </is>
      </c>
      <c r="H42" s="13">
        <f>SUM(H39:H41)</f>
        <v/>
      </c>
    </row>
  </sheetData>
  <autoFilter ref="A8:I36"/>
  <conditionalFormatting sqref="H9:H36">
    <cfRule type="cellIs" priority="1" operator="equal" dxfId="0">
      <formula>"Fail"</formula>
    </cfRule>
  </conditionalFormatting>
  <dataValidations count="1">
    <dataValidation sqref="H9:H36" showDropDown="0" showInputMessage="0" showErrorMessage="0" allowBlank="0" type="list">
      <formula1>"Pass,Fail,Pending"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app'!$H$16+'Duyệt yêu cầu liên kết'!$H$38+'Người giám sát'!$H$39</f>
        <v/>
      </c>
      <c r="D3" s="11">
        <f>'Chọn thuốc danh mục'!$H$40+'Hồi quy xác nhận liều'!$H$12</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app'!$H$17+'Duyệt yêu cầu liên kết'!$H$39+'Người giám sát'!$H$40</f>
        <v/>
      </c>
      <c r="D4" s="11">
        <f>'Chọn thuốc danh mục'!$H$41+'Hồi quy xác nhận liều'!$H$13</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app'!$H$18+'Duyệt yêu cầu liên kết'!$H$40+'Người giám sát'!$H$41</f>
        <v/>
      </c>
      <c r="D6" s="11">
        <f>'Chọn thuốc danh mục'!$H$42+'Hồi quy xác nhận liều'!$H$14</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26" ht="107" customHeight="1">
      <c r="A26" s="11" t="inlineStr">
        <is>
          <t>Duyệt yêu cầu liên kết người thân</t>
        </is>
      </c>
      <c r="B26" s="10" t="inlineStr">
        <is>
          <t>Patient xem yêu cầu theo dõi đang chờ, chấp thuận kèm xác nhận đồng ý chia sẻ (PB16/3.17) hoặc từ chối; BS-04 chặn gửi lại sau 5 lần bị từ chối. Backend /family/links*, mobile tab Người thân.</t>
        </is>
      </c>
      <c r="C26" s="11" t="inlineStr">
        <is>
          <t>Duyệt yêu cầu liên kết</t>
        </is>
      </c>
      <c r="D26" s="18">
        <f>IFERROR(('Duyệt yêu cầu liên kết'!$H$41-'Duyệt yêu cầu liên kết'!$H$40)/'Duyệt yêu cầu liên kết'!$H$41,0)</f>
        <v/>
      </c>
      <c r="E26" s="18">
        <f>IFERROR('Duyệt yêu cầu liên kết'!$H$38/'Duyệt yêu cầu liên kết'!$H$41,0)</f>
        <v/>
      </c>
      <c r="F26" s="18">
        <f>IFERROR('Duyệt yêu cầu liên kết'!$H$39/'Duyệt yêu cầu liên kết'!$H$41,0)</f>
        <v/>
      </c>
      <c r="G26" s="11" t="inlineStr">
        <is>
          <t>High</t>
        </is>
      </c>
      <c r="H26" s="10" t="inlineStr">
        <is>
          <t>Toàn bộ test tự động (tích hợp Postgres thật, unit, widget) pass trong phiên 2026-10-21. Còn Pending: 2 điểm biên độ dài document_version chưa có test riêng và 2 kịch bản chạy tay trên hai thiết bị (AC23).</t>
        </is>
      </c>
      <c r="I26" s="11" t="inlineStr">
        <is>
          <t>zannguyen</t>
        </is>
      </c>
    </row>
    <row r="27" ht="123.5" customHeight="1">
      <c r="A27" s="11" t="inlineStr">
        <is>
          <t>Quản lý người giám sát</t>
        </is>
      </c>
      <c r="B27" s="10" t="inlineStr">
        <is>
          <t>Patient xem người giám sát đã chấp thuận, bật/tắt chia sẻ từng người và hủy liên kết; quyết định có hiệu lực ngay ở request kế tiếp. Backend /family/caregivers, /family/links/{id}/sharing|revoke, migration audit; mobile Hồ sơ &gt; Người giám sát.</t>
        </is>
      </c>
      <c r="C27" s="11" t="inlineStr">
        <is>
          <t>Người giám sát</t>
        </is>
      </c>
      <c r="D27" s="18">
        <f>IFERROR(('Người giám sát'!$H$42-'Người giám sát'!$H$41)/'Người giám sát'!$H$42,0)</f>
        <v/>
      </c>
      <c r="E27" s="18">
        <f>IFERROR('Người giám sát'!$H$39/'Người giám sát'!$H$42,0)</f>
        <v/>
      </c>
      <c r="F27" s="18">
        <f>IFERROR('Người giám sát'!$H$40/'Người giám sát'!$H$42,0)</f>
        <v/>
      </c>
      <c r="G27" s="11" t="inlineStr">
        <is>
          <t>High</t>
        </is>
      </c>
      <c r="H27" s="10" t="inlineStr">
        <is>
          <t>Toàn bộ test tự động (tích hợp Postgres thật gồm phân quyền chéo, hiệu lực ngay, chạy đua; unit; widget) pass trong phiên 2026-10-21. Còn Pending: kịch bản chạy tay trên hai thiết bị (AC23).</t>
        </is>
      </c>
      <c r="I27" s="11" t="inlineStr">
        <is>
          <t>zannguyen</t>
        </is>
      </c>
    </row>
    <row r="50">
      <c r="A50" s="19" t="inlineStr">
        <is>
          <t>Bug Report</t>
        </is>
      </c>
    </row>
    <row r="51">
      <c r="A51" s="20" t="inlineStr">
        <is>
          <t>Bug ID</t>
        </is>
      </c>
      <c r="B51" s="20" t="inlineStr">
        <is>
          <t>Description</t>
        </is>
      </c>
      <c r="C51" s="20" t="inlineStr">
        <is>
          <t>Steps to Reproduce</t>
        </is>
      </c>
      <c r="D51" s="20" t="inlineStr">
        <is>
          <t>Input Data</t>
        </is>
      </c>
      <c r="E51" s="20" t="inlineStr">
        <is>
          <t>Expected Result</t>
        </is>
      </c>
      <c r="F51" s="20" t="inlineStr">
        <is>
          <t>Actual Result</t>
        </is>
      </c>
      <c r="G51" s="20" t="inlineStr">
        <is>
          <t>Severity</t>
        </is>
      </c>
      <c r="H51" s="20" t="inlineStr">
        <is>
          <t>Name of Tester</t>
        </is>
      </c>
      <c r="I51" s="20" t="inlineStr">
        <is>
          <t>Logs</t>
        </is>
      </c>
    </row>
    <row r="52" ht="123.5" customHeight="1">
      <c r="A52" s="22" t="inlineStr">
        <is>
          <t>BUG-LOGIN-08</t>
        </is>
      </c>
      <c r="B52" s="22" t="inlineStr">
        <is>
          <t>Gửi số điện thoại có ký tự xuống dòng ở cuối</t>
        </is>
      </c>
      <c r="C52" s="22" t="inlineStr">
        <is>
          <t>1. POST /auth/mobile/otp {phone: "0900000001\n"}
2. POST /auth/mobile/verify {phone: "0900000001\n", token: 123456}</t>
        </is>
      </c>
      <c r="D52" s="22" t="inlineStr">
        <is>
          <t>phone: 0900000001 + ký tự \n</t>
        </is>
      </c>
      <c r="E52" s="22" t="inlineStr">
        <is>
          <t>422 {"detail":"invalid_phone"} (theo AC6 của 01-requirement)</t>
        </is>
      </c>
      <c r="F52" s="22" t="inlineStr">
        <is>
          <t>OTP 204, verify 200 và cấp phiên (backend bỏ ký tự trắng hai đầu)</t>
        </is>
      </c>
      <c r="G52" s="22" t="inlineStr">
        <is>
          <t>Low</t>
        </is>
      </c>
      <c r="H52" s="22" t="inlineStr">
        <is>
          <t>zannguyen</t>
        </is>
      </c>
      <c r="I52"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53" ht="123.5" customHeight="1">
      <c r="A53" s="22" t="inlineStr">
        <is>
          <t>BUG-LOGIN-11</t>
        </is>
      </c>
      <c r="B53" s="22" t="inlineStr">
        <is>
          <t>Gửi số điện thoại viết bằng chữ số Unicode</t>
        </is>
      </c>
      <c r="C53" s="22" t="inlineStr">
        <is>
          <t>1. POST /auth/mobile/otp {phone}
2. POST /auth/mobile/verify {phone, token: 123456}</t>
        </is>
      </c>
      <c r="D53" s="22" t="inlineStr">
        <is>
          <t>+８４９０００００００１ (full-width) | +٨٤٩٠٠٠٠٠٠٠١ (chữ số Ả Rập)</t>
        </is>
      </c>
      <c r="E53" s="22" t="inlineStr">
        <is>
          <t>422 {"detail":"invalid_phone"}, không gọi Supabase</t>
        </is>
      </c>
      <c r="F53" s="22" t="inlineStr">
        <is>
          <t>OTP 503 {"detail":"auth_provider_unavailable"}, verify 401 {"detail":"Invalid credentials"} — request đã tới Supabase</t>
        </is>
      </c>
      <c r="G53" s="22" t="inlineStr">
        <is>
          <t>Low</t>
        </is>
      </c>
      <c r="H53" s="22" t="inlineStr">
        <is>
          <t>zannguyen</t>
        </is>
      </c>
      <c r="I53"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54" ht="189.5" customHeight="1">
      <c r="A54" s="22" t="inlineStr">
        <is>
          <t>BUG-LOGIN-25</t>
        </is>
      </c>
      <c r="B54" s="22" t="inlineStr">
        <is>
          <t>Lưu họ tên có ký tự NUL</t>
        </is>
      </c>
      <c r="C54" s="22" t="inlineStr">
        <is>
          <t>1. POST /auth/profile {ho_ten: "abc\u0000def", ngày sinh, giới tính hợp lệ}</t>
        </is>
      </c>
      <c r="D54" s="22" t="inlineStr">
        <is>
          <t>ho_ten: abc\u0000def</t>
        </is>
      </c>
      <c r="E54" s="22" t="inlineStr">
        <is>
          <t>Không 5xx (từ chối 422 hoặc lưu được); không lộ chi tiết nội bộ</t>
        </is>
      </c>
      <c r="F54" s="22" t="inlineStr">
        <is>
          <t>500 Internal Server Error</t>
        </is>
      </c>
      <c r="G54" s="22" t="inlineStr">
        <is>
          <t>Medium</t>
        </is>
      </c>
      <c r="H54" s="22" t="inlineStr">
        <is>
          <t>zannguyen</t>
        </is>
      </c>
      <c r="I54"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55" ht="90.5" customHeight="1">
      <c r="A55" s="22" t="inlineStr">
        <is>
          <t>BUG-LOGIN-30</t>
        </is>
      </c>
      <c r="B55" s="22" t="inlineStr">
        <is>
          <t>Lưu họ tên dài 256 ký tự</t>
        </is>
      </c>
      <c r="C55" s="22" t="inlineStr">
        <is>
          <t>1. POST /auth/profile {ho_ten: A*256}</t>
        </is>
      </c>
      <c r="D55" s="22" t="inlineStr">
        <is>
          <t>A*256</t>
        </is>
      </c>
      <c r="E55" s="22" t="inlineStr">
        <is>
          <t>422; hồ sơ không đổi (giới hạn 255 theo Q4 của 01-requirement)</t>
        </is>
      </c>
      <c r="F55" s="22" t="inlineStr">
        <is>
          <t>204, đã lưu</t>
        </is>
      </c>
      <c r="G55" s="22" t="inlineStr">
        <is>
          <t>Low</t>
        </is>
      </c>
      <c r="H55" s="22" t="inlineStr">
        <is>
          <t>zannguyen</t>
        </is>
      </c>
      <c r="I55" s="22" t="inlineStr">
        <is>
          <t>Không có giới hạn độ dài họ tên: `_validate_profile` (sign_in.py) chỉ kiểm rỗng; cột users.full_name kiểu text không giới hạn
Log: evidence/test-integration.log</t>
        </is>
      </c>
    </row>
    <row r="56" ht="90.5" customHeight="1">
      <c r="A56" s="22" t="inlineStr">
        <is>
          <t>BUG-LOGIN-32</t>
        </is>
      </c>
      <c r="B56" s="22" t="inlineStr">
        <is>
          <t>Lưu ngày sinh trước 1900-01-01</t>
        </is>
      </c>
      <c r="C56" s="22" t="inlineStr">
        <is>
          <t>1. POST /auth/profile {ngay_sinh}</t>
        </is>
      </c>
      <c r="D56" s="22" t="inlineStr">
        <is>
          <t>1899-12-31 | 0001-01-01</t>
        </is>
      </c>
      <c r="E56" s="22" t="inlineStr">
        <is>
          <t>422; hồ sơ không đổi (cận dưới 1900-01-01 theo Q4)</t>
        </is>
      </c>
      <c r="F56" s="22" t="inlineStr">
        <is>
          <t>204 ở cả hai giá trị, đã lưu</t>
        </is>
      </c>
      <c r="G56" s="22" t="inlineStr">
        <is>
          <t>Low</t>
        </is>
      </c>
      <c r="H56" s="22" t="inlineStr">
        <is>
          <t>zannguyen</t>
        </is>
      </c>
      <c r="I56" s="22" t="inlineStr">
        <is>
          <t>`_validate_birth_date` (sign_in.py:229–231) chỉ chặn ngày tương lai, không có cận dưới. App mobile đã giới hạn date picker từ 1900 nên chỉ gặp khi gọi API trực tiếp
Log: evidence/test-integration.log</t>
        </is>
      </c>
    </row>
    <row r="57" ht="123.5" customHeight="1">
      <c r="A57" s="22" t="inlineStr">
        <is>
          <t>BUG-LOGIN-35</t>
        </is>
      </c>
      <c r="B57" s="22" t="inlineStr">
        <is>
          <t>Lưu ngày sinh là hôm nay lúc 00:30 giờ Việt Nam</t>
        </is>
      </c>
      <c r="C57" s="22" t="inlineStr">
        <is>
          <t>1. POST /auth/profile {ngay_sinh: "2026-10-08"}</t>
        </is>
      </c>
      <c r="D57" s="22" t="inlineStr">
        <is>
          <t>ngay_sinh: 2026-10-08</t>
        </is>
      </c>
      <c r="E57" s="22" t="inlineStr">
        <is>
          <t>204 (hôm nay theo giờ Asia/Ho_Chi_Minh — bất biến 7)</t>
        </is>
      </c>
      <c r="F57" s="22" t="inlineStr">
        <is>
          <t>422 {"detail":"invalid_date_of_birth"}</t>
        </is>
      </c>
      <c r="G57" s="22" t="inlineStr">
        <is>
          <t>Medium</t>
        </is>
      </c>
      <c r="H57" s="22" t="inlineStr">
        <is>
          <t>zannguyen</t>
        </is>
      </c>
      <c r="I57"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58" ht="173" customHeight="1">
      <c r="A58" s="22" t="inlineStr">
        <is>
          <t>BUG-LOGIN-42</t>
        </is>
      </c>
      <c r="B58" s="22" t="inlineStr">
        <is>
          <t>Chạm lại ô OTP sau khi nhập sai để sửa mã</t>
        </is>
      </c>
      <c r="C58" s="22" t="inlineStr">
        <is>
          <t>1. Chạm vào ô mã OTP
2. Theo dõi request backend nhận được</t>
        </is>
      </c>
      <c r="D58" s="22" t="inlineStr">
        <is>
          <t>Ô đang chứa 000000</t>
        </is>
      </c>
      <c r="E58" s="22" t="inlineStr">
        <is>
          <t>Không gửi xác thực cho tới khi người dùng nhập mã mới đủ 6 số</t>
        </is>
      </c>
      <c r="F58" s="22" t="inlineStr">
        <is>
          <t>Backend nhận thêm một POST /auth/mobile/verify 401 với mã cũ ngay khi chạm ô (chuỗi request: otp 204, verify 401, verify 401, verify 200)</t>
        </is>
      </c>
      <c r="G58" s="22" t="inlineStr">
        <is>
          <t>Low</t>
        </is>
      </c>
      <c r="H58" s="22" t="inlineStr">
        <is>
          <t>zannguyen</t>
        </is>
      </c>
      <c r="I58"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59" ht="222.5" customHeight="1">
      <c r="A59" s="22" t="inlineStr">
        <is>
          <t>BUG-LINKCODE-28</t>
        </is>
      </c>
      <c r="B59" s="22" t="inlineStr">
        <is>
          <t>Toàn bộ unit test, architecture test và ruff toàn repo pass</t>
        </is>
      </c>
      <c r="C59" s="22" t="inlineStr">
        <is>
          <t>1. pytest tests/unit tests/architecture -q
2. ruff check .
3. So với baseline trước khi sửa code</t>
        </is>
      </c>
      <c r="D59" s="22" t="inlineStr">
        <is>
          <t>-</t>
        </is>
      </c>
      <c r="E59" s="22" t="inlineStr">
        <is>
          <t>pytest và ruff đều pass</t>
        </is>
      </c>
      <c r="F59"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59" s="22" t="inlineStr">
        <is>
          <t>Low</t>
        </is>
      </c>
      <c r="H59" s="22" t="inlineStr">
        <is>
          <t>zannguyen</t>
        </is>
      </c>
      <c r="I59"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60" ht="239" customHeight="1">
      <c r="A60" s="22" t="inlineStr">
        <is>
          <t>BUG-REGDOSE-01</t>
        </is>
      </c>
      <c r="B60" s="22" t="inlineStr">
        <is>
          <t>Đối chiếu scheduled_at có giây khi xác nhận liều</t>
        </is>
      </c>
      <c r="C60"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60" s="22" t="inlineStr">
        <is>
          <t>client_uuid: UUID mới; schedule_id: fixture; scheduled_at=2026-10-02T01:00:59.999Z; taken_at=2026-10-02T01:05:59.999Z</t>
        </is>
      </c>
      <c r="E60" s="22" t="inlineStr">
        <is>
          <t>Theo test hiện có: HTTP 200, synced, da_uong và scheduled_at=2026-10-02T01:00:00Z.</t>
        </is>
      </c>
      <c r="F60" s="22" t="inlineStr">
        <is>
          <t>HTTP 200, synced, da_uong; scheduled_at=2026-10-02T01:00:59.999000Z. Fail trong suite DB và lặp lại khi chạy riêng (1 failed trong 1.67s).</t>
        </is>
      </c>
      <c r="G60" s="22" t="inlineStr">
        <is>
          <t>Medium</t>
        </is>
      </c>
      <c r="H60" s="22" t="inlineStr">
        <is>
          <t>phucnguyenngoc</t>
        </is>
      </c>
      <c r="I60"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sheetData>
  <mergeCells count="2">
    <mergeCell ref="A1:G1"/>
    <mergeCell ref="A3:A5"/>
  </mergeCells>
  <conditionalFormatting sqref="F11:F27">
    <cfRule type="cellIs" priority="1" operator="greaterThan" dxfId="0">
      <formula>0.2</formula>
    </cfRule>
  </conditionalFormatting>
  <conditionalFormatting sqref="G11:G27">
    <cfRule type="expression" priority="2" dxfId="0">
      <formula>OR(G11="Critical",G11="High")</formula>
    </cfRule>
  </conditionalFormatting>
  <conditionalFormatting sqref="G52:G60">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27" showDropDown="0" showInputMessage="0" showErrorMessage="0" allowBlank="1" type="list">
      <formula1>"Critical,High,Medium,Low"</formula1>
    </dataValidation>
    <dataValidation sqref="G52:G60"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2026-10-21T08:22:41Z</dcterms:modified>
  <cp:lastModifiedBy>Người dùng Khách</cp:lastModifiedBy>
</cp:coreProperties>
</file>