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Landing page" sheetId="11" state="visible" r:id="rId11"/>
    <sheet name="Yêu cầu liên kết người thân" sheetId="12" state="visible" r:id="rId12"/>
    <sheet name="Theo dõi người thân (app)" sheetId="13" state="visible" r:id="rId13"/>
    <sheet name="Link mời người thân" sheetId="14" state="visible" r:id="rId14"/>
    <sheet name="Khung điều hướng app" sheetId="15" state="visible" r:id="rId15"/>
    <sheet name="Duyệt yêu cầu liên kết" sheetId="16" state="visible" r:id="rId16"/>
    <sheet name="Người giám sát" sheetId="17" state="visible" r:id="rId17"/>
    <sheet name="Cảnh báo người thân" sheetId="18" state="visible" r:id="rId18"/>
    <sheet name="FCM token Android" sheetId="19" state="visible" r:id="rId19"/>
    <sheet name="Redeem flow E2E" sheetId="20" state="visible" r:id="rId20"/>
    <sheet name="Lịch sử tuân thủ người thân" sheetId="21" state="visible" r:id="rId21"/>
    <sheet name="Bỏ lỡ liều có xác minh" sheetId="22" state="visible" r:id="rId22"/>
    <sheet name="Checkpoint đồng bộ liều" sheetId="23" state="visible" r:id="rId23"/>
    <sheet name="Lịch sử chưa xác minh" sheetId="24" state="visible" r:id="rId24"/>
    <sheet name="Report" sheetId="25" state="visible" r:id="rId25"/>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sát'!$A$8:$I$44</definedName>
    <definedName name="_xlnm._FilterDatabase" localSheetId="17" hidden="1">'Cảnh báo người thân'!$A$8:$I$81</definedName>
    <definedName name="_xlnm._FilterDatabase" localSheetId="18" hidden="1">'FCM token Android'!$A$8:$I$21</definedName>
    <definedName name="_xlnm._FilterDatabase" localSheetId="19" hidden="1">'Redeem flow E2E'!$A$8:$I$31</definedName>
    <definedName name="_xlnm._FilterDatabase" localSheetId="20" hidden="1">'Lịch sử tuân thủ người thân'!$A$8:$I$61</definedName>
    <definedName name="_xlnm._FilterDatabase" localSheetId="21" hidden="1">'Bỏ lỡ liều có xác minh'!$A$8:$I$57</definedName>
    <definedName name="_xlnm._FilterDatabase" localSheetId="22" hidden="1">'Checkpoint đồng bộ liều'!$A$8:$I$28</definedName>
    <definedName name="_xlnm._FilterDatabase" localSheetId="23" hidden="1">'Lịch sử chưa xác minh'!$A$8:$I$18</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'Report'!$A$11:$A$34</f>
            </numRef>
          </cat>
          <val>
            <numRef>
              <f>'Report'!$D$11:$D$34</f>
            </numRef>
          </val>
        </ser>
        <ser>
          <idx val="1"/>
          <order val="1"/>
          <tx>
            <strRef>
              <f>'Report'!E10</f>
            </strRef>
          </tx>
          <spPr>
            <a:ln>
              <a:prstDash val="solid"/>
            </a:ln>
          </spPr>
          <cat>
            <numRef>
              <f>'Report'!$A$11:$A$34</f>
            </numRef>
          </cat>
          <val>
            <numRef>
              <f>'Report'!$E$11:$E$34</f>
            </numRef>
          </val>
        </ser>
        <ser>
          <idx val="2"/>
          <order val="2"/>
          <tx>
            <strRef>
              <f>'Report'!F10</f>
            </strRef>
          </tx>
          <spPr>
            <a:ln>
              <a:prstDash val="solid"/>
            </a:ln>
          </spPr>
          <cat>
            <numRef>
              <f>'Report'!$A$11:$A$34</f>
            </numRef>
          </cat>
          <val>
            <numRef>
              <f>'Report'!$F$11:$F$34</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'Report'!$F$3:$F$4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36</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DrugTime Team</t>
        </is>
      </c>
    </row>
    <row r="4">
      <c r="A4" s="1" t="inlineStr">
        <is>
          <t>Creation Date</t>
        </is>
      </c>
      <c r="B4" s="21" t="n">
        <v>46319</v>
      </c>
    </row>
    <row r="5">
      <c r="A5" s="1" t="inlineStr">
        <is>
          <t>Reviewed By</t>
        </is>
      </c>
      <c r="B5" s="2" t="inlineStr"/>
    </row>
    <row r="6">
      <c r="A6" s="1" t="inlineStr">
        <is>
          <t>Reviewed Date</t>
        </is>
      </c>
      <c r="B6" s="2" t="n"/>
    </row>
    <row r="7">
      <c r="K7" s="4" t="inlineStr">
        <is>
          <t>Equivalence Partitioning</t>
        </is>
      </c>
      <c r="Q7" s="4" t="inlineStr">
        <is>
          <t>Quyền xem dữ liệu và thao tác gỡ liên kết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8
9
10
11
12</t>
        </is>
      </c>
      <c r="Q9" s="10" t="inlineStr">
        <is>
          <t>Người gọi là Patient sở hữu liên kết?</t>
        </is>
      </c>
      <c r="R9" s="11" t="inlineStr">
        <is>
          <t>Yes</t>
        </is>
      </c>
      <c r="S9" s="11" t="inlineStr">
        <is>
          <t>Yes</t>
        </is>
      </c>
      <c r="T9" s="11" t="inlineStr">
        <is>
          <t>Yes</t>
        </is>
      </c>
      <c r="U9" s="11" t="inlineStr">
        <is>
          <t>No</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13
14
15
16
17
18
19</t>
        </is>
      </c>
      <c r="Q10" s="10" t="inlineStr">
        <is>
          <t>Trạng thái liên kết trước khi gỡ?</t>
        </is>
      </c>
      <c r="R10" s="11" t="inlineStr">
        <is>
          <t>active</t>
        </is>
      </c>
      <c r="S10" s="11" t="inlineStr">
        <is>
          <t>active</t>
        </is>
      </c>
      <c r="T10" s="11" t="inlineStr">
        <is>
          <t>revoked</t>
        </is>
      </c>
      <c r="U10" s="11" t="inlineStr">
        <is>
          <t>active</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K11" s="9" t="inlineStr">
        <is>
          <t>action_dialog (thao tác hộp thoại gỡ liên kết)</t>
        </is>
      </c>
      <c r="L11" s="10" t="inlineStr">
        <is>
          <t>Bấm "Gỡ liên kết" (xác nhận gọi API)
Bấm "Hủy" (đóng hộp thoại)</t>
        </is>
      </c>
      <c r="M11" s="10" t="inlineStr">
        <is>
          <t>4
5</t>
        </is>
      </c>
      <c r="N11" s="10" t="inlineStr">
        <is>
          <t>Bấm ngoài dialog khi đang loading
Gửi request trùng khi đang busy</t>
        </is>
      </c>
      <c r="O11" s="10" t="inlineStr">
        <is>
          <t>20
21</t>
        </is>
      </c>
      <c r="Q11" s="10" t="inlineStr">
        <is>
          <t>Xác nhận trên hộp thoại gỡ liên kết?</t>
        </is>
      </c>
      <c r="R11" s="11" t="inlineStr">
        <is>
          <t>Yes (Gỡ)</t>
        </is>
      </c>
      <c r="S11" s="11" t="inlineStr">
        <is>
          <t>No (Hủy)</t>
        </is>
      </c>
      <c r="T11" s="11" t="inlineStr">
        <is>
          <t>Yes (Gỡ)</t>
        </is>
      </c>
      <c r="U11" s="11" t="inlineStr">
        <is>
          <t>-</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K12" s="9" t="inlineStr">
        <is>
          <t>revocation_event (nguồn phát hiện thu hồi quyền ở Family Member)</t>
        </is>
      </c>
      <c r="L12" s="10" t="inlineStr">
        <is>
          <t>HTTP 403 Forbidden khi truy cập dữ liệu
Đồng bộ danh sách liên kết mới thiếu Patient</t>
        </is>
      </c>
      <c r="M12" s="10" t="inlineStr">
        <is>
          <t>6
7</t>
        </is>
      </c>
      <c r="N12" s="10" t="inlineStr">
        <is>
          <t>Lỗi mạng tạm thời hoặc 5xx
Token hết hạn 401</t>
        </is>
      </c>
      <c r="O12" s="10" t="inlineStr">
        <is>
          <t>22
23</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DELETE /family/links/{id} -&gt; 204 No Content, gỡ khỏi UI, SnackBar</t>
        </is>
      </c>
      <c r="R13" s="11" t="inlineStr">
        <is>
          <t>X</t>
        </is>
      </c>
      <c r="S13" s="11" t="inlineStr"/>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Đóng dialog, giữ nguyên liên kết, không gọi API</t>
        </is>
      </c>
      <c r="R14" s="11" t="inlineStr"/>
      <c r="S14" s="11" t="inlineStr">
        <is>
          <t>X</t>
        </is>
      </c>
      <c r="T14" s="11" t="inlineStr"/>
      <c r="U14" s="11" t="inlineStr"/>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c r="Q15" s="10" t="inlineStr">
        <is>
          <t>HTTP 403 Forbidden khong_co_quyen</t>
        </is>
      </c>
      <c r="R15" s="11" t="inlineStr"/>
      <c r="S15" s="11" t="inlineStr"/>
      <c r="T15" s="11" t="inlineStr"/>
      <c r="U15" s="11" t="inlineStr">
        <is>
          <t>X</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c r="Q18" s="4" t="inlineStr">
        <is>
          <t>Xử lý cache &amp; state khi Family Member bị thu hồi quyền truy cập</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c r="Q19" s="6" t="inlineStr">
        <is>
          <t>Rule</t>
        </is>
      </c>
      <c r="R19" s="5" t="inlineStr">
        <is>
          <t>R1</t>
        </is>
      </c>
      <c r="S19" s="5" t="inlineStr">
        <is>
          <t>R2</t>
        </is>
      </c>
      <c r="T19" s="5" t="inlineStr">
        <is>
          <t>R3</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c r="Q20" s="10" t="inlineStr">
        <is>
          <t>Nhận HTTP 403 Forbidden do bị thu hồi liên kết?</t>
        </is>
      </c>
      <c r="R20" s="11" t="inlineStr">
        <is>
          <t>Yes</t>
        </is>
      </c>
      <c r="S20" s="11" t="inlineStr">
        <is>
          <t>No</t>
        </is>
      </c>
      <c r="T20" s="11" t="inlineStr">
        <is>
          <t>Yes</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c r="Q21" s="10" t="inlineStr">
        <is>
          <t>Dữ liệu/cache thuộc phạm vi Patient bị thu hồi?</t>
        </is>
      </c>
      <c r="R21" s="11" t="inlineStr">
        <is>
          <t>Yes</t>
        </is>
      </c>
      <c r="S21" s="11" t="inlineStr">
        <is>
          <t>Yes</t>
        </is>
      </c>
      <c r="T21" s="11" t="inlineStr">
        <is>
          <t>No (Patient khác)</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c r="Q22" s="6" t="inlineStr">
        <is>
          <t>Action</t>
        </is>
      </c>
      <c r="R22" s="5" t="inlineStr">
        <is>
          <t>R1</t>
        </is>
      </c>
      <c r="S22" s="5" t="inlineStr">
        <is>
          <t>R2</t>
        </is>
      </c>
      <c r="T22" s="5" t="inlineStr">
        <is>
          <t>R3</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c r="Q23" s="10" t="inlineStr">
        <is>
          <t>Xóa Patient khỏi state &amp; xóa SQLite cache &amp; xóa RAM history &amp; dọn alert</t>
        </is>
      </c>
      <c r="R23" s="11" t="inlineStr">
        <is>
          <t>X</t>
        </is>
      </c>
      <c r="S23" s="11" t="inlineStr"/>
      <c r="T23" s="11" t="inlineStr"/>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c r="Q24" s="10" t="inlineStr">
        <is>
          <t>Giữ nguyên dữ liệu &amp; cache, không xóa nhầm</t>
        </is>
      </c>
      <c r="R24" s="11" t="inlineStr"/>
      <c r="S24" s="11" t="inlineStr">
        <is>
          <t>X</t>
        </is>
      </c>
      <c r="T24" s="11" t="inlineStr">
        <is>
          <t>X</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123.5" customHeight="1">
      <c r="A32" s="7" t="inlineStr">
        <is>
          <t>TC-CAREGIVER-24</t>
        </is>
      </c>
      <c r="B32" s="7" t="inlineStr">
        <is>
          <t>Gỡ liên kết trên app với hộp thoại xác nhận</t>
        </is>
      </c>
      <c r="C32" s="8" t="inlineStr">
        <is>
          <t>Có người giám sát trong danh sách liên kết active (ví dụ Bác An)</t>
        </is>
      </c>
      <c r="D32" s="8" t="inlineStr">
        <is>
          <t>1. Mở màn Người thân đã liên kết (CaregiversScreen)
2. Bấm nút Gỡ liên kết tại mục Bác An
3. Tại hộp thoại Gỡ liên kết với người thân?, bấm Hủy
4. Bấm lại Gỡ liên kết và chọn Gỡ liên kết (xác nhận)</t>
        </is>
      </c>
      <c r="E32" s="8" t="inlineStr">
        <is>
          <t>linkId=1, name='Bác An'</t>
        </is>
      </c>
      <c r="F32" s="8" t="inlineStr">
        <is>
          <t>Hộp thoại nêu rõ người thân mất quyền xem ngay; chọn Hủy thì đóng hộp thoại không gọi API; xác nhận thì gọi DELETE /family/links/{id}, nút chuyển loading, gỡ mục khỏi danh sách và hiện SnackBar 'Đã gỡ liên kết với Bác An.'</t>
        </is>
      </c>
      <c r="G32" s="8" t="inlineStr">
        <is>
          <t>Đúng như mong đợi (hộp thoại chuẩn, nút Hủy đóng dialog, xác nhận gọi DELETE 204 và hiện SnackBar)</t>
        </is>
      </c>
      <c r="H32" s="7" t="inlineStr">
        <is>
          <t>Pass</t>
        </is>
      </c>
      <c r="I32" s="8" t="inlineStr">
        <is>
          <t>AC1, AC2, AC3 · caregivers_screen_test.dart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ht="90.5" customHeight="1">
      <c r="A37" s="7" t="inlineStr">
        <is>
          <t>TC-CAREGIVER-29</t>
        </is>
      </c>
      <c r="B37" s="7" t="inlineStr">
        <is>
          <t>Màn hình Người thân đã liên kết hiển thị danh sách và nút Gỡ liên kết cho từng người; bấm Hủy không đổi dữ liệu</t>
        </is>
      </c>
      <c r="C37" s="8" t="inlineStr">
        <is>
          <t>Patient đã đăng nhập, có ít nhất một người thân liên kết hợp lệ</t>
        </is>
      </c>
      <c r="D37" s="8" t="inlineStr">
        <is>
          <t>1. Mở màn hình Hồ sơ &gt; Người thân đã liên kết
2. Kiểm tra danh sách hiển thị và sự xuất hiện của nút Gỡ liên kết
3. Bấm Gỡ liên kết, sau đó bấm Hủy trên dialog xác nhận</t>
        </is>
      </c>
      <c r="E37" s="8" t="inlineStr">
        <is>
          <t>caregiver: Bác An (linkId=1)</t>
        </is>
      </c>
      <c r="F37" s="8" t="inlineStr">
        <is>
          <t>Hiển thị đúng tên, ngày liên kết; mỗi item có nút Gỡ liên kết; khi bấm Hủy, dialog đóng lại, không gọi API DELETE và giữ nguyên danh sách.</t>
        </is>
      </c>
      <c r="G37" s="8" t="inlineStr">
        <is>
          <t>Đúng như mong đợi (CaregiversScreen render đủ thông tin, dialog đóng khi hủy, không gọi API)</t>
        </is>
      </c>
      <c r="H37" s="7" t="inlineStr">
        <is>
          <t>Pass</t>
        </is>
      </c>
      <c r="I37" s="8" t="inlineStr">
        <is>
          <t>AC1, AC2 · caregivers_screen_test.dart · evidence/implement-final-frontend.log</t>
        </is>
      </c>
    </row>
    <row r="38" ht="90.5" customHeight="1">
      <c r="A38" s="7" t="inlineStr">
        <is>
          <t>TC-CAREGIVER-30</t>
        </is>
      </c>
      <c r="B38" s="7" t="inlineStr">
        <is>
          <t>Xác nhận gỡ liên kết gọi đúng API DELETE /family/links/{id} nhận 204 No Content và cập nhật UI</t>
        </is>
      </c>
      <c r="C38" s="8" t="inlineStr">
        <is>
          <t>Patient đang mở dialog xác nhận gỡ liên kết với Bác An</t>
        </is>
      </c>
      <c r="D38" s="8" t="inlineStr">
        <is>
          <t>1. Bấm nút Gỡ liên kết trên dialog xác nhận
2. Theo dõi request gửi đi từ RemoteCaregiverRepository
3. Kiểm tra phản hồi HTTP 204 No Content và cập nhật state/UI</t>
        </is>
      </c>
      <c r="E38" s="8" t="inlineStr">
        <is>
          <t>linkId=1, method=DELETE, url=/family/links/1</t>
        </is>
      </c>
      <c r="F38" s="8" t="inlineStr">
        <is>
          <t>Gửi đúng DELETE /family/links/1 (không body), nhận 204 No Content; mục Bác An biến mất khỏi danh sách và hiển thị SnackBar: Đã gỡ liên kết với Bác An.</t>
        </is>
      </c>
      <c r="G38" s="8" t="inlineStr">
        <is>
          <t>Đúng như mong đợi (gọi DELETE 204, item được gỡ và SnackBar hiển thị chuẩn)</t>
        </is>
      </c>
      <c r="H38" s="7" t="inlineStr">
        <is>
          <t>Pass</t>
        </is>
      </c>
      <c r="I38" s="8" t="inlineStr">
        <is>
          <t>AC3 · remote_caregiver_repository_test.dart, caregivers_screen_test.dart · evidence/implement-final-frontend.log</t>
        </is>
      </c>
    </row>
    <row r="39" ht="74" customHeight="1">
      <c r="A39" s="7" t="inlineStr">
        <is>
          <t>TC-CAREGIVER-31</t>
        </is>
      </c>
      <c r="B39" s="7" t="inlineStr">
        <is>
          <t>Xử lý khi API gỡ liên kết thất bại (lỗi mạng hoặc server)</t>
        </is>
      </c>
      <c r="C39" s="8" t="inlineStr">
        <is>
          <t>Patient xác nhận gỡ liên kết nhưng backend trả lỗi (ví dụ lỗi mạng hoặc 500)</t>
        </is>
      </c>
      <c r="D39" s="8" t="inlineStr">
        <is>
          <t>1. Bấm nút Gỡ liên kết trên dialog xác nhận
2. Backend giả lập ném CaregiverFailureKind.network
3. Quan sát giao diện và danh sách hiển thị</t>
        </is>
      </c>
      <c r="E39" s="8" t="inlineStr">
        <is>
          <t>linkId=1, failure=network</t>
        </is>
      </c>
      <c r="F39" s="8" t="inlineStr">
        <is>
          <t>Giữ nguyên danh sách người thân, không xóa nhầm dữ liệu; hiển thị thông báo lỗi phù hợp trên SnackBar và cho phép người dùng thử lại.</t>
        </is>
      </c>
      <c r="G39" s="8" t="inlineStr">
        <is>
          <t>Đúng như mong đợi (danh sách giữ nguyên, SnackBar báo lỗi và cho phép thử lại)</t>
        </is>
      </c>
      <c r="H39" s="7" t="inlineStr">
        <is>
          <t>Pass</t>
        </is>
      </c>
      <c r="I39" s="8" t="inlineStr">
        <is>
          <t>AC4 · caregivers_screen_test.dart · evidence/implement-final-frontend.log</t>
        </is>
      </c>
    </row>
    <row r="40" ht="90.5" customHeight="1">
      <c r="A40" s="7" t="inlineStr">
        <is>
          <t>TC-CAREGIVER-32</t>
        </is>
      </c>
      <c r="B40" s="7" t="inlineStr">
        <is>
          <t>Khóa nút và hiển thị loading spinner chống bấm trùng; tự động tải lại nếu link đã bị gỡ từ trước</t>
        </is>
      </c>
      <c r="C40" s="8" t="inlineStr">
        <is>
          <t>Patient bấm nút Gỡ liên kết</t>
        </is>
      </c>
      <c r="D40" s="8" t="inlineStr">
        <is>
          <t>1. Bấm xác nhận gỡ liên kết
2. Trong khi request đang pending, cố gắng bấm nút lần nữa
3. Kiểm tra trường hợp server trả 404 (đã bị gỡ từ trước)</t>
        </is>
      </c>
      <c r="E40" s="8" t="inlineStr">
        <is>
          <t>linkId=1</t>
        </is>
      </c>
      <c r="F40" s="8" t="inlineStr">
        <is>
          <t>Nút chuyển sang CircularProgressIndicator và bị khóa không cho bấm trùng; nếu server báo link không tồn tại (404), tự động gọi load() làm mới danh sách.</t>
        </is>
      </c>
      <c r="G40" s="8" t="inlineStr">
        <is>
          <t>Đúng như mong đợi (loading spinner hiển thị, nút bị khóa, tự reload khi gặp lỗi transition/not found)</t>
        </is>
      </c>
      <c r="H40" s="7" t="inlineStr">
        <is>
          <t>Pass</t>
        </is>
      </c>
      <c r="I40" s="8" t="inlineStr">
        <is>
          <t>AC5 · caregivers_screen_test.dart · evidence/implement-final-frontend.log</t>
        </is>
      </c>
    </row>
    <row r="41" ht="107" customHeight="1">
      <c r="A41" s="7" t="inlineStr">
        <is>
          <t>TC-CAREGIVER-33</t>
        </is>
      </c>
      <c r="B41" s="7" t="inlineStr">
        <is>
          <t>Family Member gặp HTTP 403 Forbidden khi truy cập dữ liệu Patient bị gỡ: xóa khỏi state và dọn dẹp cache</t>
        </is>
      </c>
      <c r="C41" s="8" t="inlineStr">
        <is>
          <t>Family Member đang liên kết với Patient A và Patient B; Patient A đã gỡ liên kết</t>
        </is>
      </c>
      <c r="D41" s="8" t="inlineStr">
        <is>
          <t>1. Family Member gửi request truy cập lịch sử tuân thủ hoặc cảnh báo của Patient A
2. API trả về HTTP 403 Forbidden (AdherenceFailureKind.denied)
3. LinkedPatientsController và AdherenceController xử lý phản hồi 403</t>
        </is>
      </c>
      <c r="E41" s="8" t="inlineStr">
        <is>
          <t>patientId=patient-A-uuid</t>
        </is>
      </c>
      <c r="F41" s="8" t="inlineStr">
        <is>
          <t>Patient A bị xóa khỏi danh sách linked patients; SQLite cache lịch uống của Patient A bị dọn sạch (clearPatientData); history trên RAM bị xóa (history=null); alerts của Patient A bị loại bỏ.</t>
        </is>
      </c>
      <c r="G41" s="8" t="inlineStr">
        <is>
          <t>Đúng như mong đợi (state loại bỏ patientA, clearPatientData được gọi, history reset null, alert bị dọn)</t>
        </is>
      </c>
      <c r="H41" s="7" t="inlineStr">
        <is>
          <t>Pass</t>
        </is>
      </c>
      <c r="I41" s="8" t="inlineStr">
        <is>
          <t>AC6 · linked_patients_controller_test.dart, adherence_controller_test.dart · evidence/implement-final-frontend.log</t>
        </is>
      </c>
    </row>
    <row r="42" ht="90.5" customHeight="1">
      <c r="A42" s="7" t="inlineStr">
        <is>
          <t>TC-CAREGIVER-34</t>
        </is>
      </c>
      <c r="B42" s="7" t="inlineStr">
        <is>
          <t>Family Member đồng bộ danh sách liên kết mới từ backend: xóa bỏ các Patient không còn trong danh sách</t>
        </is>
      </c>
      <c r="C42" s="8" t="inlineStr">
        <is>
          <t>Family Member có state cục bộ gồm Patient A, Patient B, Patient C</t>
        </is>
      </c>
      <c r="D42" s="8" t="inlineStr">
        <is>
          <t>1. Backend trả về danh sách liên kết mới chỉ gồm Patient B và Patient C
2. LinkedPatientsController.syncPatients được kích hoạt
3. Kiểm tra danh sách hiển thị và cache cục bộ</t>
        </is>
      </c>
      <c r="E42" s="8" t="inlineStr">
        <is>
          <t>newActivePatients=[Patient B, Patient C]</t>
        </is>
      </c>
      <c r="F42" s="8" t="inlineStr">
        <is>
          <t>Patient A tự động bị xóa khỏi state hiển thị; toàn bộ cache SQLite và alert của Patient A được dọn sạch; dữ liệu của Patient B và C giữ nguyên.</t>
        </is>
      </c>
      <c r="G42" s="8" t="inlineStr">
        <is>
          <t>Đúng như mong đợi (Patient A bị loại bỏ, cache SQLite được dọn, Patient B và C còn nguyên)</t>
        </is>
      </c>
      <c r="H42" s="7" t="inlineStr">
        <is>
          <t>Pass</t>
        </is>
      </c>
      <c r="I42" s="8" t="inlineStr">
        <is>
          <t>AC7 · linked_patients_controller_test.dart · evidence/implement-final-frontend.log</t>
        </is>
      </c>
    </row>
    <row r="43" ht="90.5" customHeight="1">
      <c r="A43" s="7" t="inlineStr">
        <is>
          <t>TC-CAREGIVER-35</t>
        </is>
      </c>
      <c r="B43" s="7" t="inlineStr">
        <is>
          <t>Độc lập dữ liệu giữa các bệnh nhân khi gỡ liên kết</t>
        </is>
      </c>
      <c r="C43" s="8" t="inlineStr">
        <is>
          <t>Local database và alert store đang lưu dữ liệu của cả Patient A và Patient B</t>
        </is>
      </c>
      <c r="D43" s="8" t="inlineStr">
        <is>
          <t>1. Kích hoạt thu hồi quyền truy cập đối với Patient A (clearPatientData và removePatient)
2. Truy vấn dữ liệu SQLite của schedulesTable
3. Kiểm tra danh sách alerts trong FamilyAlertController</t>
        </is>
      </c>
      <c r="E43" s="8" t="inlineStr">
        <is>
          <t>patientA, patientB</t>
        </is>
      </c>
      <c r="F43" s="8" t="inlineStr">
        <is>
          <t>Toàn bộ bản ghi của Patient A bị xóa sạch; toàn bộ bản ghi của Patient B được bảo toàn 100%, không bị ảnh hưởng.</t>
        </is>
      </c>
      <c r="G43" s="8" t="inlineStr">
        <is>
          <t>Đúng như mong đợi (bản ghi Patient A bị xóa, Patient B còn nguyên vẹn)</t>
        </is>
      </c>
      <c r="H43" s="7" t="inlineStr">
        <is>
          <t>Pass</t>
        </is>
      </c>
      <c r="I43" s="8" t="inlineStr">
        <is>
          <t>AC8 · local_medication_store_test.dart, linked_patients_controller_test.dart · evidence/implement-final-frontend.log</t>
        </is>
      </c>
    </row>
    <row r="44" ht="90.5" customHeight="1">
      <c r="A44" s="7" t="inlineStr">
        <is>
          <t>TC-CAREGIVER-36</t>
        </is>
      </c>
      <c r="B44" s="7" t="inlineStr">
        <is>
          <t>An toàn khi nhiều request 403 thu hồi quyền diễn ra đồng thời hoặc lặp lại (concurrency &amp; idempotency)</t>
        </is>
      </c>
      <c r="C44" s="8" t="inlineStr">
        <is>
          <t>LinkedPatientsController đang quản lý Patient A</t>
        </is>
      </c>
      <c r="D44" s="8" t="inlineStr">
        <is>
          <t>1. Gửi đồng thời 5 lời gọi handleRevocation cho cùng Patient A
2. Chờ toàn bộ các lời gọi hoàn tất
3. Gửi thêm một lời gọi handleRevocation lặp lại khi Patient A đã bị gỡ</t>
        </is>
      </c>
      <c r="E44" s="8" t="inlineStr">
        <is>
          <t>5 concurrent calls for patientA</t>
        </is>
      </c>
      <c r="F44" s="8" t="inlineStr">
        <is>
          <t>Các lời gọi hoàn thành an toàn, không ném exception; patientA bị xóa sạch và không bị nhân bản hay hồi phục dữ liệu trái phép.</t>
        </is>
      </c>
      <c r="G44" s="8" t="inlineStr">
        <is>
          <t>Đúng như mong đợi (5 concurrent calls hoàn thành an toàn, không có race condition)</t>
        </is>
      </c>
      <c r="H44" s="7" t="inlineStr">
        <is>
          <t>Pass</t>
        </is>
      </c>
      <c r="I44" s="8" t="inlineStr">
        <is>
          <t>AC9 · linked_patients_controller_test.dart · evidence/implement-final-frontend.log</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Kiểm thử xuyên hệ thống gửi yêu cầu liên kết (REDEEMFLOW)</t>
        </is>
      </c>
    </row>
    <row r="3">
      <c r="A3" s="1" t="inlineStr">
        <is>
          <t>Created By</t>
        </is>
      </c>
      <c r="B3" s="2" t="inlineStr">
        <is>
          <t>phucnguyenngoc</t>
        </is>
      </c>
    </row>
    <row r="4">
      <c r="A4" s="1" t="inlineStr">
        <is>
          <t>Creation Date</t>
        </is>
      </c>
      <c r="B4" s="21" t="n">
        <v>46318</v>
      </c>
    </row>
    <row r="5">
      <c r="A5" s="1" t="inlineStr">
        <is>
          <t>Reviewed By</t>
        </is>
      </c>
      <c r="B5" s="2" t="inlineStr"/>
    </row>
    <row r="6">
      <c r="A6" s="1" t="inlineStr">
        <is>
          <t>Reviewed Date</t>
        </is>
      </c>
      <c r="B6" s="2" t="n"/>
    </row>
    <row r="7">
      <c r="K7" s="4" t="inlineStr">
        <is>
          <t>Equivalence Partitioning</t>
        </is>
      </c>
      <c r="Q7" s="4" t="inlineStr">
        <is>
          <t>Quyền đọc schedules sau redeem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74" customHeight="1">
      <c r="A9" s="7" t="inlineStr">
        <is>
          <t>TC-REDEEMFLOW-01</t>
        </is>
      </c>
      <c r="B9" s="7" t="inlineStr">
        <is>
          <t>Nhập mã qua Mobile để tạo yêu cầu pending</t>
        </is>
      </c>
      <c r="C9" s="8" t="inlineStr">
        <is>
          <t>Supabase local và Android LM_G710 qua ADB; patient có family_sharing; family đăng nhập trong gói test riêng.</t>
        </is>
      </c>
      <c r="D9" s="8" t="inlineStr">
        <is>
          <t>1. Chạy run_e2e.py --phase direct_pending.
2. Mở tab Người thân, chọn nhập mã và bấm gửi.
3. Đối chiếu response POST với caregiver_links và schedules.</t>
        </is>
      </c>
      <c r="E9" s="8" t="inlineStr">
        <is>
          <t>code=body.code của GET /family/link-code; client_uuid=UUID v4 do Mobile tạo</t>
        </is>
      </c>
      <c r="F9" s="8" t="inlineStr">
        <is>
          <t>POST 201 {id,status=pending,requested_at}; một link pending, sharing_enabled=false; UI chờ; schedules 403 và denied log.</t>
        </is>
      </c>
      <c r="G9" s="8" t="inlineStr">
        <is>
          <t>PASS direct_pending: UI/API/DB, schedules 403 và denied log; evidence/test-android-direct-id-fix.log.</t>
        </is>
      </c>
      <c r="H9" s="7" t="inlineStr">
        <is>
          <t>Pass</t>
        </is>
      </c>
      <c r="I9" s="8" t="inlineStr">
        <is>
          <t>AC1, AC3 · EP (1) · direct_pending</t>
        </is>
      </c>
      <c r="K9" s="9" t="inlineStr">
        <is>
          <t>code</t>
        </is>
      </c>
      <c r="L9" s="10" t="inlineStr">
        <is>
          <t>Mã 10 ký tự lấy từ GET /family/link-code</t>
        </is>
      </c>
      <c r="M9" s="10" t="inlineStr">
        <is>
          <t>1</t>
        </is>
      </c>
      <c r="N9" s="10" t="inlineStr">
        <is>
          <t>Mã 10 ký tự không tồn tại
Mã dài 9 hoặc 11 ký tự
Mã của chính người gửi</t>
        </is>
      </c>
      <c r="O9" s="10" t="inlineStr">
        <is>
          <t>5
6
7</t>
        </is>
      </c>
      <c r="Q9" s="10" t="inlineStr">
        <is>
          <t>Link active?</t>
        </is>
      </c>
      <c r="R9" s="11" t="inlineStr">
        <is>
          <t>No</t>
        </is>
      </c>
      <c r="S9" s="11" t="inlineStr">
        <is>
          <t>Yes</t>
        </is>
      </c>
      <c r="T9" s="11" t="inlineStr">
        <is>
          <t>Yes</t>
        </is>
      </c>
      <c r="U9" s="11" t="inlineStr">
        <is>
          <t>Yes</t>
        </is>
      </c>
    </row>
    <row r="10" ht="74" customHeight="1">
      <c r="A10" s="7" t="inlineStr">
        <is>
          <t>TC-REDEEMFLOW-02</t>
        </is>
      </c>
      <c r="B10" s="7" t="inlineStr">
        <is>
          <t>Quét QR hợp lệ và chờ xác nhận trước khi gửi</t>
        </is>
      </c>
      <c r="C10" s="8" t="inlineStr">
        <is>
          <t>Patient đã lấy qr_payload từ API; family ở màn quét QR.</t>
        </is>
      </c>
      <c r="D10" s="8" t="inlineStr">
        <is>
          <t>1. Cấp qr_payload cho scanner callback.
2. Kiểm số POST trước khi bấm xác nhận.
3. Bấm xác nhận và kiểm pending.</t>
        </is>
      </c>
      <c r="E10" s="8" t="inlineStr">
        <is>
          <t>qr_payload=body.qr_payload của GET /family/link-code</t>
        </is>
      </c>
      <c r="F10" s="8" t="inlineStr">
        <is>
          <t>Mã được điền; 0 POST trước xác nhận; sau xác nhận một POST 201 và một pending.</t>
        </is>
      </c>
      <c r="G10" s="8" t="inlineStr">
        <is>
          <t>Widget và Android LM_G710: 1 POST trước xác nhận (Expected 0, Actual 1); evidence/test-widget-redeem.log và evidence/test-android-remaining-phases.log.</t>
        </is>
      </c>
      <c r="H10" s="7" t="inlineStr">
        <is>
          <t>Fail</t>
        </is>
      </c>
      <c r="I10" s="8" t="inlineStr">
        <is>
          <t>AC2, AC11 · EP (1) · QR valid · F1</t>
        </is>
      </c>
      <c r="K10" s="9" t="inlineStr">
        <is>
          <t>client_uuid</t>
        </is>
      </c>
      <c r="L10" s="10" t="inlineStr">
        <is>
          <t>UUID v4 mới
UUID v4 đã gửi thành công</t>
        </is>
      </c>
      <c r="M10" s="10" t="inlineStr">
        <is>
          <t>2
3</t>
        </is>
      </c>
      <c r="N10" s="10" t="inlineStr">
        <is>
          <t>Thiếu client_uuid
Chuỗi không phải UUID</t>
        </is>
      </c>
      <c r="O10" s="10" t="inlineStr">
        <is>
          <t>8
9</t>
        </is>
      </c>
      <c r="Q10" s="10" t="inlineStr">
        <is>
          <t>Consent family_sharing còn?</t>
        </is>
      </c>
      <c r="R10" s="11" t="inlineStr">
        <is>
          <t>-</t>
        </is>
      </c>
      <c r="S10" s="11" t="inlineStr">
        <is>
          <t>No</t>
        </is>
      </c>
      <c r="T10" s="11" t="inlineStr">
        <is>
          <t>Yes</t>
        </is>
      </c>
      <c r="U10" s="11" t="inlineStr">
        <is>
          <t>Yes</t>
        </is>
      </c>
    </row>
    <row r="11" ht="74" customHeight="1">
      <c r="A11" s="7" t="inlineStr">
        <is>
          <t>TC-REDEEMFLOW-03</t>
        </is>
      </c>
      <c r="B11" s="7" t="inlineStr">
        <is>
          <t>Từ chối QR payload sai mà không gửi redeem</t>
        </is>
      </c>
      <c r="C11" s="8" t="inlineStr">
        <is>
          <t>Family ở màn quét QR.</t>
        </is>
      </c>
      <c r="D11" s="8" t="inlineStr">
        <is>
          <t>1. Cấp chuỗi invalid cho scanner callback.
2. Kiểm thông báo và số POST.</t>
        </is>
      </c>
      <c r="E11" s="8" t="inlineStr">
        <is>
          <t>qr_payload=invalid</t>
        </is>
      </c>
      <c r="F11" s="8" t="inlineStr">
        <is>
          <t>Hiện lỗi QR, còn ở màn quét, 0 POST.</t>
        </is>
      </c>
      <c r="G11" s="8" t="inlineStr">
        <is>
          <t>Widget và Android LM_G710 QR sai pass, 0 POST; evidence/test-widget-redeem.log và evidence/test-android-remaining-phases.log.</t>
        </is>
      </c>
      <c r="H11" s="7" t="inlineStr">
        <is>
          <t>Pass</t>
        </is>
      </c>
      <c r="I11" s="8" t="inlineStr">
        <is>
          <t>AC2, AC5 · EP (2) · qr_invalid</t>
        </is>
      </c>
      <c r="K11" s="9" t="inlineStr">
        <is>
          <t>phiên</t>
        </is>
      </c>
      <c r="L11" s="10" t="inlineStr">
        <is>
          <t>Phiên mobile của người thân</t>
        </is>
      </c>
      <c r="M11" s="10" t="inlineStr">
        <is>
          <t>4</t>
        </is>
      </c>
      <c r="N11" s="10" t="inlineStr">
        <is>
          <t>Không có bearer
Phiên của admin</t>
        </is>
      </c>
      <c r="O11" s="10" t="inlineStr">
        <is>
          <t>10
11</t>
        </is>
      </c>
      <c r="Q11" s="10" t="inlineStr">
        <is>
          <t>sharing_enabled?</t>
        </is>
      </c>
      <c r="R11" s="11" t="inlineStr">
        <is>
          <t>-</t>
        </is>
      </c>
      <c r="S11" s="11" t="inlineStr">
        <is>
          <t>-</t>
        </is>
      </c>
      <c r="T11" s="11" t="inlineStr">
        <is>
          <t>No</t>
        </is>
      </c>
      <c r="U11" s="11" t="inlineStr">
        <is>
          <t>Yes</t>
        </is>
      </c>
    </row>
    <row r="12" ht="57.5" customHeight="1">
      <c r="A12" s="7" t="inlineStr">
        <is>
          <t>TC-REDEEMFLOW-04</t>
        </is>
      </c>
      <c r="B12" s="7" t="inlineStr">
        <is>
          <t>Từ chối đọc lịch thuốc khi liên kết còn pending</t>
        </is>
      </c>
      <c r="C12" s="8" t="inlineStr">
        <is>
          <t>Family vừa POST redeem thành công, link đang pending.</t>
        </is>
      </c>
      <c r="D12" s="8" t="inlineStr">
        <is>
          <t>1. Gọi GET /patients/{patient_id}/schedules với bearer của family.
2. Đọc access_logs cho cặp actor/patient.</t>
        </is>
      </c>
      <c r="E12" s="8" t="inlineStr">
        <is>
          <t>patient_id=UUID patient của mã vừa redeem</t>
        </is>
      </c>
      <c r="F12" s="8" t="inlineStr">
        <is>
          <t>403 {detail:khong_co_quyen}, không có lịch thuốc; denied log tồn tại.</t>
        </is>
      </c>
      <c r="G12" s="8" t="inlineStr">
        <is>
          <t>test_pending_link_grants_no_access__AC2 pass trong evidence/test-redeem-pep-targeted.log.</t>
        </is>
      </c>
      <c r="H12" s="7" t="inlineStr">
        <is>
          <t>Pass</t>
        </is>
      </c>
      <c r="I12" s="8" t="inlineStr">
        <is>
          <t>AC3, AC9 · Decision Table (R1)</t>
        </is>
      </c>
      <c r="Q12" s="6" t="inlineStr">
        <is>
          <t>Action</t>
        </is>
      </c>
      <c r="R12" s="5" t="inlineStr">
        <is>
          <t>R1</t>
        </is>
      </c>
      <c r="S12" s="5" t="inlineStr">
        <is>
          <t>R2</t>
        </is>
      </c>
      <c r="T12" s="5" t="inlineStr">
        <is>
          <t>R3</t>
        </is>
      </c>
      <c r="U12" s="5" t="inlineStr">
        <is>
          <t>R4</t>
        </is>
      </c>
    </row>
    <row r="13" ht="74" customHeight="1">
      <c r="A13" s="7" t="inlineStr">
        <is>
          <t>TC-REDEEMFLOW-05</t>
        </is>
      </c>
      <c r="B13" s="7" t="inlineStr">
        <is>
          <t>Gửi lại cùng client_uuid sau khi server đã lưu</t>
        </is>
      </c>
      <c r="C13" s="8" t="inlineStr">
        <is>
          <t>POST đầu đã tạo pending; family giữ UUID cũ.</t>
        </is>
      </c>
      <c r="D13" s="8" t="inlineStr">
        <is>
          <t>1. Gửi lại POST /family/link-requests cùng code và client_uuid.
2. Đếm caregiver_links.</t>
        </is>
      </c>
      <c r="E13" s="8" t="inlineStr">
        <is>
          <t>client_uuid=11111111-1111-4111-8111-111111111111, dùng lại ở lần hai</t>
        </is>
      </c>
      <c r="F13" s="8" t="inlineStr">
        <is>
          <t>Lần đầu 201, lần sau 200 cùng id/created_at; DB chỉ một link.</t>
        </is>
      </c>
      <c r="G13" s="8" t="inlineStr">
        <is>
          <t>test_replay_200_current_status__AC29 và test_concurrent_same_client_uuid_201_and_200__AC31 pass trong evidence/test-redeem-pep-targeted.log.</t>
        </is>
      </c>
      <c r="H13" s="7" t="inlineStr">
        <is>
          <t>Pass</t>
        </is>
      </c>
      <c r="I13" s="8" t="inlineStr">
        <is>
          <t>AC4 · EP (2) · state pending→pending</t>
        </is>
      </c>
      <c r="Q13" s="10" t="inlineStr">
        <is>
          <t>403 + access_logs denied</t>
        </is>
      </c>
      <c r="R13" s="11" t="inlineStr">
        <is>
          <t>X</t>
        </is>
      </c>
      <c r="S13" s="11" t="inlineStr">
        <is>
          <t>X</t>
        </is>
      </c>
      <c r="T13" s="11" t="inlineStr">
        <is>
          <t>X</t>
        </is>
      </c>
      <c r="U13" s="11" t="inlineStr"/>
    </row>
    <row r="14" ht="74" customHeight="1">
      <c r="A14" s="7" t="inlineStr">
        <is>
          <t>TC-REDEEMFLOW-06</t>
        </is>
      </c>
      <c r="B14" s="7" t="inlineStr">
        <is>
          <t>Chặn request redeem không có phiên và phiên admin</t>
        </is>
      </c>
      <c r="C14" s="8" t="inlineStr">
        <is>
          <t>Patient có mã; chưa có link với family.</t>
        </is>
      </c>
      <c r="D14" s="8" t="inlineStr">
        <is>
          <t>1. POST /family/link-requests không có Authorization.
2. POST cùng body bằng phiên admin.
3. Đếm caregiver_links.</t>
        </is>
      </c>
      <c r="E14" s="8" t="inlineStr">
        <is>
          <t>code=body.code; client_uuid=22222222-2222-4222-8222-222222222222</t>
        </is>
      </c>
      <c r="F14" s="8" t="inlineStr">
        <is>
          <t>Không phiên 401, admin 403; không tạo link.</t>
        </is>
      </c>
      <c r="G14" s="8" t="inlineStr">
        <is>
          <t>test_unauthenticated_401__AC3 và test_admin_403__AC16 pass trong evidence/test-redeem-pep-targeted.log.</t>
        </is>
      </c>
      <c r="H14" s="7" t="inlineStr">
        <is>
          <t>Pass</t>
        </is>
      </c>
      <c r="I14" s="8" t="inlineStr">
        <is>
          <t>AC5 · EP (2,3)</t>
        </is>
      </c>
      <c r="Q14" s="10" t="inlineStr">
        <is>
          <t>200 + access_logs allowed</t>
        </is>
      </c>
      <c r="R14" s="11" t="inlineStr"/>
      <c r="S14" s="11" t="inlineStr"/>
      <c r="T14" s="11" t="inlineStr"/>
      <c r="U14" s="11" t="inlineStr">
        <is>
          <t>X</t>
        </is>
      </c>
    </row>
    <row r="15" ht="74" customHeight="1">
      <c r="A15" s="7" t="inlineStr">
        <is>
          <t>TC-REDEEMFLOW-07</t>
        </is>
      </c>
      <c r="B15" s="7" t="inlineStr">
        <is>
          <t>Báo mã không tồn tại và mã của chính mình</t>
        </is>
      </c>
      <c r="C15" s="8" t="inlineStr">
        <is>
          <t>Patient có mã của mình và bearer mobile.</t>
        </is>
      </c>
      <c r="D15" s="8" t="inlineStr">
        <is>
          <t>1. Gửi mã 10 ký tự không tồn tại bằng family khác.
2. Gửi mã thật bằng chính patient.
3. Kiểm DB.</t>
        </is>
      </c>
      <c r="E15" s="8" t="inlineStr">
        <is>
          <t>code_sai=AAAAAAAAAA; code_self=body.code; UUID v4 mới mỗi request</t>
        </is>
      </c>
      <c r="F15" s="8" t="inlineStr">
        <is>
          <t>Mã không tồn tại 404 link_code_not_found; tự liên kết 422 self_link_not_allowed; không link.</t>
        </is>
      </c>
      <c r="G15" s="8" t="inlineStr">
        <is>
          <t>test_unknown_code_404_counted__AC4 và test_self_code_422__AC5 pass trong evidence/test-redeem-pep-targeted.log.</t>
        </is>
      </c>
      <c r="H15" s="7" t="inlineStr">
        <is>
          <t>Pass</t>
        </is>
      </c>
      <c r="I15" s="8" t="inlineStr">
        <is>
          <t>AC5 · EP (2,4)</t>
        </is>
      </c>
    </row>
    <row r="16" ht="90.5" customHeight="1">
      <c r="A16" s="7" t="inlineStr">
        <is>
          <t>TC-REDEEMFLOW-08</t>
        </is>
      </c>
      <c r="B16" s="7" t="inlineStr">
        <is>
          <t>Từ chối body mã sai độ dài và UUID không hợp lệ</t>
        </is>
      </c>
      <c r="C16" s="8" t="inlineStr">
        <is>
          <t>Family có bearer mobile; chưa có link.</t>
        </is>
      </c>
      <c r="D16" s="8" t="inlineStr">
        <is>
          <t>1. POST code dài 9 ký tự.
2. POST code dài 11 ký tự.
3. POST thiếu client_uuid hoặc không phải UUID.
4. Kiểm DB.</t>
        </is>
      </c>
      <c r="E16" s="8" t="inlineStr">
        <is>
          <t>code=K7M2Q9XAR (9), K7M2Q9XAR44 (11); client_uuid=(blank), not-a-uuid</t>
        </is>
      </c>
      <c r="F16" s="8" t="inlineStr">
        <is>
          <t>Mỗi body 422 ValidationError; không tạo link hoặc tính lượt sai mã.</t>
        </is>
      </c>
      <c r="G16" s="8" t="inlineStr">
        <is>
          <t>test_validation_422_not_counted__AC20 parametrized pass trong evidence/test-redeem-pep-targeted.log.</t>
        </is>
      </c>
      <c r="H16" s="7" t="inlineStr">
        <is>
          <t>Pass</t>
        </is>
      </c>
      <c r="I16" s="8" t="inlineStr">
        <is>
          <t>AC5 · EP (3,4) · BVA (9,10,11)</t>
        </is>
      </c>
    </row>
    <row r="17" ht="57.5" customHeight="1">
      <c r="A17" s="7" t="inlineStr">
        <is>
          <t>TC-REDEEMFLOW-09</t>
        </is>
      </c>
      <c r="B17" s="7" t="inlineStr">
        <is>
          <t>Chặn UUID mới khi cặp đang pending hoặc active</t>
        </is>
      </c>
      <c r="C17" s="8" t="inlineStr">
        <is>
          <t>Family/patient có link pending hoặc active.</t>
        </is>
      </c>
      <c r="D17" s="8" t="inlineStr">
        <is>
          <t>1. POST cùng code bằng client_uuid mới.
2. Kiểm status/body và số row.</t>
        </is>
      </c>
      <c r="E17" s="8" t="inlineStr">
        <is>
          <t>code=body.code; client_uuid mới=33333333-3333-4333-8333-333333333333</t>
        </is>
      </c>
      <c r="F17" s="8" t="inlineStr">
        <is>
          <t>409 link_request_pending hoặc already_linked; không thêm row.</t>
        </is>
      </c>
      <c r="G17" s="8" t="inlineStr">
        <is>
          <t>test_open_pair_409__AC6 parametrized pass trong evidence/test-redeem-pep-targeted.log.</t>
        </is>
      </c>
      <c r="H17" s="7" t="inlineStr">
        <is>
          <t>Pass</t>
        </is>
      </c>
      <c r="I17" s="8" t="inlineStr">
        <is>
          <t>AC6 · state pending/active→không thêm</t>
        </is>
      </c>
    </row>
    <row r="18" ht="90.5" customHeight="1">
      <c r="A18" s="7" t="inlineStr">
        <is>
          <t>TC-REDEEMFLOW-10</t>
        </is>
      </c>
      <c r="B18" s="7" t="inlineStr">
        <is>
          <t>Rút rồi cấp lại family_sharing và dùng mã cũ</t>
        </is>
      </c>
      <c r="C18" s="8" t="inlineStr">
        <is>
          <t>Patient và family riêng, patient từng lấy mã qua API.</t>
        </is>
      </c>
      <c r="D18" s="8" t="inlineStr">
        <is>
          <t>1. POST /consents/family_sharing/withdraw.
2. Family POST redeem bằng mã cũ.
3. POST /consents cấp lại.
4. GET /family/link-code và POST redeem bằng mã cũ.</t>
        </is>
      </c>
      <c r="E18" s="8" t="inlineStr">
        <is>
          <t>purpose=family_sharing; document_version=2026-10-v1; code=body.code ban đầu</t>
        </is>
      </c>
      <c r="F18" s="8" t="inlineStr">
        <is>
          <t>Sau rút: 404 như mã sai, 0 link. Sau cấp lại: mã không đổi, POST 201 pending.</t>
        </is>
      </c>
      <c r="G18" s="8" t="inlineStr">
        <is>
          <t>test_owner_regrant_via_api_reuses_code_and_redeems__AC7 pass trong evidence/test-redeem-acceptance.log.</t>
        </is>
      </c>
      <c r="H18" s="7" t="inlineStr">
        <is>
          <t>Pass</t>
        </is>
      </c>
      <c r="I18" s="8" t="inlineStr">
        <is>
          <t>AC7 · state consent granted→withdrawn→granted</t>
        </is>
      </c>
    </row>
    <row r="19" ht="74" customHeight="1">
      <c r="A19" s="7" t="inlineStr">
        <is>
          <t>TC-REDEEMFLOW-11</t>
        </is>
      </c>
      <c r="B19" s="7" t="inlineStr">
        <is>
          <t>Khóa sau năm mã sai và mở đúng hạn 15 phút</t>
        </is>
      </c>
      <c r="C19" s="8" t="inlineStr">
        <is>
          <t>Family chưa có liên kết; đồng hồ test cố định.</t>
        </is>
      </c>
      <c r="D19" s="8" t="inlineStr">
        <is>
          <t>1. Gửi 5 mã sai trong 15 phút.
2. Gửi mã đúng ngay trước hết hạn.
3. Gửi lại đúng mốc hết hạn.</t>
        </is>
      </c>
      <c r="E19" s="8" t="inlineStr">
        <is>
          <t>5 mã sai 10 ký tự; mốc thứ năm T; thử tại T+14:59.5 và T+15:00</t>
        </is>
      </c>
      <c r="F19" s="8" t="inlineStr">
        <is>
          <t>Trước hạn 429 link_request_locked + Retry-After; đúng hạn 201; không khóa patient.</t>
        </is>
      </c>
      <c r="G19" s="8" t="inlineStr">
        <is>
          <t>test_fifth_failure_locks_then_unlocks__AC10 và test_locked_family_does_not_block_patient_code__AC15 pass trong evidence/test-redeem-pep-targeted.log.</t>
        </is>
      </c>
      <c r="H19" s="7" t="inlineStr">
        <is>
          <t>Pass</t>
        </is>
      </c>
      <c r="I19" s="8" t="inlineStr">
        <is>
          <t>AC8 · BVA (4,5,6; T+14:59.5,T+15:00)</t>
        </is>
      </c>
    </row>
    <row r="20" ht="57.5" customHeight="1">
      <c r="A20" s="7" t="inlineStr">
        <is>
          <t>TC-REDEEMFLOW-12</t>
        </is>
      </c>
      <c r="B20" s="7" t="inlineStr">
        <is>
          <t>Áp quota mười request theo ngày VN và mở ở 00:00</t>
        </is>
      </c>
      <c r="C20" s="8" t="inlineStr">
        <is>
          <t>Family có 10 request thành công trong ngày VN hiện tại.</t>
        </is>
      </c>
      <c r="D20" s="8" t="inlineStr">
        <is>
          <t>1. Thử request thứ 11 tại 23:59:59 VN.
2. Kiểm DB không thêm.
3. Thử lại 00:00:00 VN.</t>
        </is>
      </c>
      <c r="E20" s="8" t="inlineStr">
        <is>
          <t>10 link linked_at trong cùng ngày VN; T=23:59:59 và 00:00:00 VN</t>
        </is>
      </c>
      <c r="F20" s="8" t="inlineStr">
        <is>
          <t>Trước 00:00 trả 429 link_request_daily_limit, Retry-After=1; tại 00:00 trả 201.</t>
        </is>
      </c>
      <c r="G20" s="8" t="inlineStr">
        <is>
          <t>test_daily_quota_last_second_and_midnight_vn__AC8 pass trong evidence/test-redeem-acceptance.log.</t>
        </is>
      </c>
      <c r="H20" s="7" t="inlineStr">
        <is>
          <t>Pass</t>
        </is>
      </c>
      <c r="I20" s="8" t="inlineStr">
        <is>
          <t>AC8 · BVA (9,10,11; 23:59:59,00:00:00)</t>
        </is>
      </c>
    </row>
    <row r="21" ht="74" customHeight="1">
      <c r="A21" s="7" t="inlineStr">
        <is>
          <t>TC-REDEEMFLOW-13</t>
        </is>
      </c>
      <c r="B21" s="7" t="inlineStr">
        <is>
          <t>Chặn cặp sau năm lần từ chối và mở đúng 24 giờ</t>
        </is>
      </c>
      <c r="C21" s="8" t="inlineStr">
        <is>
          <t>Patient từ chối request qua endpoint thật năm lần liên tiếp.</t>
        </is>
      </c>
      <c r="D21" s="8" t="inlineStr">
        <is>
          <t>1. POST /family/links/{id}/reject qua tài khoản patient mỗi lần.
2. Thử redeem trước mốc 24 giờ.
3. Thử lại đúng mốc 24 giờ.</t>
        </is>
      </c>
      <c r="E21" s="8" t="inlineStr">
        <is>
          <t>rejected_at của lần thứ năm; thử T+23:59 và T+24:00</t>
        </is>
      </c>
      <c r="F21" s="8" t="inlineStr">
        <is>
          <t>Trước hạn 429 link_request_cooldown; tại T+24:00 trả 201; người thân khác không bị khóa.</t>
        </is>
      </c>
      <c r="G21" s="8" t="inlineStr">
        <is>
          <t>test_five_rejections_via_endpoint_block_24h_others_unaffected__AC9 pass trong evidence/test-redeem-pep-targeted.log.</t>
        </is>
      </c>
      <c r="H21" s="7" t="inlineStr">
        <is>
          <t>Pass</t>
        </is>
      </c>
      <c r="I21" s="8" t="inlineStr">
        <is>
          <t>AC8 · BVA (4,5,6; 23:59,24:00)</t>
        </is>
      </c>
    </row>
    <row r="22" ht="57.5" customHeight="1">
      <c r="A22" s="7" t="inlineStr">
        <is>
          <t>TC-REDEEMFLOW-14</t>
        </is>
      </c>
      <c r="B22" s="7" t="inlineStr">
        <is>
          <t>Cho family active đủ consent và sharing đọc schedules</t>
        </is>
      </c>
      <c r="C22" s="8" t="inlineStr">
        <is>
          <t>Link active, family_sharing và sharing_enabled=true.</t>
        </is>
      </c>
      <c r="D22" s="8" t="inlineStr">
        <is>
          <t>1. GET /patients/{patient_id}/schedules bằng family.
2. Kiểm access_logs.</t>
        </is>
      </c>
      <c r="E22" s="8" t="inlineStr">
        <is>
          <t>patient_id=UUID patient của link active</t>
        </is>
      </c>
      <c r="F22" s="8" t="inlineStr">
        <is>
          <t>200 với dữ liệu tối thiểu; có allowed log.</t>
        </is>
      </c>
      <c r="G22" s="8" t="inlineStr">
        <is>
          <t>test_family_allowed_logged_each_page__AC13 pass trong evidence/test-redeem-pep-targeted.log.</t>
        </is>
      </c>
      <c r="H22" s="7" t="inlineStr">
        <is>
          <t>Pass</t>
        </is>
      </c>
      <c r="I22" s="8" t="inlineStr">
        <is>
          <t>AC9 · Decision Table (R4)</t>
        </is>
      </c>
    </row>
    <row r="23" ht="57.5" customHeight="1">
      <c r="A23" s="7" t="inlineStr">
        <is>
          <t>TC-REDEEMFLOW-15</t>
        </is>
      </c>
      <c r="B23" s="7" t="inlineStr">
        <is>
          <t>Từ chối family active khi thiếu consent</t>
        </is>
      </c>
      <c r="C23" s="8" t="inlineStr">
        <is>
          <t>Link active, sharing_enabled=true, patient rút family_sharing.</t>
        </is>
      </c>
      <c r="D23" s="8" t="inlineStr">
        <is>
          <t>1. GET /patients/{patient_id}/schedules bằng family.
2. Kiểm access_logs.</t>
        </is>
      </c>
      <c r="E23" s="8" t="inlineStr">
        <is>
          <t>patient_id=UUID patient, consent_type=family_sharing</t>
        </is>
      </c>
      <c r="F23" s="8" t="inlineStr">
        <is>
          <t>403 khong_co_quyen, không có lịch thuốc; denied log.</t>
        </is>
      </c>
      <c r="G23" s="8" t="inlineStr">
        <is>
          <t>test_family_missing_consent_or_sharing_off_denied pass trong evidence/test-redeem-pep-targeted.log.</t>
        </is>
      </c>
      <c r="H23" s="7" t="inlineStr">
        <is>
          <t>Pass</t>
        </is>
      </c>
      <c r="I23" s="8" t="inlineStr">
        <is>
          <t>AC9 · Decision Table (R2)</t>
        </is>
      </c>
    </row>
    <row r="24" ht="57.5" customHeight="1">
      <c r="A24" s="7" t="inlineStr">
        <is>
          <t>TC-REDEEMFLOW-16</t>
        </is>
      </c>
      <c r="B24" s="7" t="inlineStr">
        <is>
          <t>Từ chối family active khi patient tắt chia sẻ</t>
        </is>
      </c>
      <c r="C24" s="8" t="inlineStr">
        <is>
          <t>Link active, consent còn, sharing_enabled=false.</t>
        </is>
      </c>
      <c r="D24" s="8" t="inlineStr">
        <is>
          <t>1. GET /patients/{patient_id}/schedules bằng family.
2. Kiểm access_logs.</t>
        </is>
      </c>
      <c r="E24" s="8" t="inlineStr">
        <is>
          <t>patient_id=UUID patient, sharing_enabled=false</t>
        </is>
      </c>
      <c r="F24" s="8" t="inlineStr">
        <is>
          <t>403 khong_co_quyen, không có lịch thuốc; denied log.</t>
        </is>
      </c>
      <c r="G24" s="8" t="inlineStr">
        <is>
          <t>test_family_missing_consent_or_sharing_off_denied pass trong evidence/test-redeem-pep-targeted.log.</t>
        </is>
      </c>
      <c r="H24" s="7" t="inlineStr">
        <is>
          <t>Pass</t>
        </is>
      </c>
      <c r="I24" s="8" t="inlineStr">
        <is>
          <t>AC9 · Decision Table (R3)</t>
        </is>
      </c>
    </row>
    <row r="25" ht="74" customHeight="1">
      <c r="A25" s="7" t="inlineStr">
        <is>
          <t>TC-REDEEMFLOW-17</t>
        </is>
      </c>
      <c r="B25" s="7" t="inlineStr">
        <is>
          <t>Rút quyền và chặn request kế tiếp cùng JWT</t>
        </is>
      </c>
      <c r="C25" s="8" t="inlineStr">
        <is>
          <t>Family từng đọc schedules được, link active.</t>
        </is>
      </c>
      <c r="D25" s="8" t="inlineStr">
        <is>
          <t>1. Gọi schedules lần đầu.
2. Rút consent hoặc revoke link.
3. Gọi schedules ngay bằng cùng bearer.</t>
        </is>
      </c>
      <c r="E25" s="8" t="inlineStr">
        <is>
          <t>patient_id=UUID patient; bearer family giữ nguyên</t>
        </is>
      </c>
      <c r="F25" s="8" t="inlineStr">
        <is>
          <t>Lần đầu 200+allowed; request sau 403+denied.</t>
        </is>
      </c>
      <c r="G25" s="8" t="inlineStr">
        <is>
          <t>test_revocation_takes_effect_immediately_same_jwt__AC7 và test_revoke_between_pages_403__AC14 pass trong evidence/test-redeem-pep-targeted.log.</t>
        </is>
      </c>
      <c r="H25" s="7" t="inlineStr">
        <is>
          <t>Pass</t>
        </is>
      </c>
      <c r="I25" s="8" t="inlineStr">
        <is>
          <t>AC7, AC9 · state active→revoked</t>
        </is>
      </c>
    </row>
    <row r="26" ht="57.5" customHeight="1">
      <c r="A26" s="7" t="inlineStr">
        <is>
          <t>TC-REDEEMFLOW-18</t>
        </is>
      </c>
      <c r="B26" s="7" t="inlineStr">
        <is>
          <t>Từ chối patient_id tráo sang bệnh nhân khác</t>
        </is>
      </c>
      <c r="C26" s="8" t="inlineStr">
        <is>
          <t>Family có link active với P nhưng không có link với Q.</t>
        </is>
      </c>
      <c r="D26" s="8" t="inlineStr">
        <is>
          <t>1. GET /patients/{Q}/schedules bằng bearer của family.
2. Kiểm access_logs cho Q.</t>
        </is>
      </c>
      <c r="E26" s="8" t="inlineStr">
        <is>
          <t>patient_id=UUID Q khác P</t>
        </is>
      </c>
      <c r="F26" s="8" t="inlineStr">
        <is>
          <t>403 khong_co_quyen, không lộ lịch Q; denied log cho Q.</t>
        </is>
      </c>
      <c r="G26" s="8" t="inlineStr">
        <is>
          <t>test_family_swaps_patient_id_denied pass trong evidence/test-redeem-pep-targeted.log.</t>
        </is>
      </c>
      <c r="H26" s="7" t="inlineStr">
        <is>
          <t>Pass</t>
        </is>
      </c>
      <c r="I26" s="8" t="inlineStr">
        <is>
          <t>AC9 · Decision Table (R1) · security</t>
        </is>
      </c>
    </row>
    <row r="27" ht="90.5" customHeight="1">
      <c r="A27" s="7" t="inlineStr">
        <is>
          <t>TC-REDEEMFLOW-19</t>
        </is>
      </c>
      <c r="B27" s="7" t="inlineStr">
        <is>
          <t>Chặn dữ liệu sức khỏe khi ghi audit lỗi và giữ denied sau rollback</t>
        </is>
      </c>
      <c r="C27" s="8" t="inlineStr">
        <is>
          <t>Endpoint /adherence có dữ liệu; tiêm lỗi ghi audit hoặc transaction rollback.</t>
        </is>
      </c>
      <c r="D27" s="8" t="inlineStr">
        <is>
          <t>1. Gọi GET /adherence khi Access Log Writer lỗi.
2. Gọi khi bị denied rồi rollback transaction ngoài.
3. Kiểm response và access_logs.</t>
        </is>
      </c>
      <c r="E27" s="8" t="inlineStr">
        <is>
          <t>failure=allowed_insert,commit,denied_insert,permission_read</t>
        </is>
      </c>
      <c r="F27" s="8" t="inlineStr">
        <is>
          <t>Lỗi audit/permission: 500 không trả sức khỏe; denied vẫn ghi sau rollback ngoài.</t>
        </is>
      </c>
      <c r="G27" s="8" t="inlineStr">
        <is>
          <t>5 ca test audit pass trong evidence/test-audit-fail-closed.log.</t>
        </is>
      </c>
      <c r="H27" s="7" t="inlineStr">
        <is>
          <t>Pass</t>
        </is>
      </c>
      <c r="I27" s="8" t="inlineStr">
        <is>
          <t>AC10, AC9 · security · rollback</t>
        </is>
      </c>
    </row>
    <row r="28" ht="74" customHeight="1">
      <c r="A28" s="7" t="inlineStr">
        <is>
          <t>TC-REDEEMFLOW-20</t>
        </is>
      </c>
      <c r="B28" s="7" t="inlineStr">
        <is>
          <t>Báo thiếu emulator trước khi tạo fixture</t>
        </is>
      </c>
      <c r="C28" s="8" t="inlineStr">
        <is>
          <t>Supabase local chạy; adb devices không có emulator online.</t>
        </is>
      </c>
      <c r="D28" s="8" t="inlineStr">
        <is>
          <t>1. Chạy run_e2e.py --preflight.
2. Kiểm exit và DB không có fixture mới.</t>
        </is>
      </c>
      <c r="E28" s="8" t="inlineStr">
        <is>
          <t>adb devices chỉ có dòng tiêu đề</t>
        </is>
      </c>
      <c r="F28" s="8" t="inlineStr">
        <is>
          <t>Báo thiếu Android emulator, exit 2, chưa tạo dữ liệu.</t>
        </is>
      </c>
      <c r="G28" s="8" t="inlineStr">
        <is>
          <t>Preflight báo Không có Android emulator online; unit runner 11 pass; evidence/test-runner-preflight.log và evidence/test-runner-unit.log.</t>
        </is>
      </c>
      <c r="H28" s="7" t="inlineStr">
        <is>
          <t>Pass</t>
        </is>
      </c>
      <c r="I28" s="8" t="inlineStr">
        <is>
          <t>AC12, AC10 · EP (thiếu emulator)</t>
        </is>
      </c>
    </row>
    <row r="29" ht="57.5" customHeight="1">
      <c r="A29" s="7" t="inlineStr">
        <is>
          <t>TC-REDEEMFLOW-21</t>
        </is>
      </c>
      <c r="B29" s="7" t="inlineStr">
        <is>
          <t>Thử lại sau khi server lưu nhưng client mất response</t>
        </is>
      </c>
      <c r="C29" s="8" t="inlineStr">
        <is>
          <t>Android LM_G710 qua ADB, backend/DB local chạy.</t>
        </is>
      </c>
      <c r="D29" s="8" t="inlineStr">
        <is>
          <t>1. Chạy run_e2e.py --phase response_lost.
2. Relay bỏ response đầu sau upstream commit.
3. Bấm Thử lại và kiểm DB.</t>
        </is>
      </c>
      <c r="E29" s="8" t="inlineStr">
        <is>
          <t>code=body.code; client_uuid do Mobile sinh và giữ lại</t>
        </is>
      </c>
      <c r="F29" s="8" t="inlineStr">
        <is>
          <t>POST 201 rồi 200 cùng UUID/id; UI pending; một row DB.</t>
        </is>
      </c>
      <c r="G29" s="8" t="inlineStr">
        <is>
          <t>PASS response_lost: UI/API/DB, 201 rồi 200 cùng UUID và một DB row; evidence/test-android-remaining-phases.log.</t>
        </is>
      </c>
      <c r="H29" s="7" t="inlineStr">
        <is>
          <t>Pass</t>
        </is>
      </c>
      <c r="I29" s="8" t="inlineStr">
        <is>
          <t>AC4, AC6 · state request→timeout→retry</t>
        </is>
      </c>
    </row>
    <row r="30" ht="57.5" customHeight="1">
      <c r="A30" s="7" t="inlineStr">
        <is>
          <t>TC-REDEEMFLOW-22</t>
        </is>
      </c>
      <c r="B30" s="7" t="inlineStr">
        <is>
          <t>Bấm gửi hai lần khi request đầu đang chờ</t>
        </is>
      </c>
      <c r="C30" s="8" t="inlineStr">
        <is>
          <t>Android LM_G710 qua ADB, backend/DB local chạy.</t>
        </is>
      </c>
      <c r="D30" s="8" t="inlineStr">
        <is>
          <t>1. Chạy run_e2e.py --phase double_tap.
2. Bấm gửi hai lần nhanh.
3. Kiểm số POST và DB.</t>
        </is>
      </c>
      <c r="E30" s="8" t="inlineStr">
        <is>
          <t>code=body.code; relay trì hoãn response 400ms</t>
        </is>
      </c>
      <c r="F30" s="8" t="inlineStr">
        <is>
          <t>Chỉ một POST, một pending, UI chờ.</t>
        </is>
      </c>
      <c r="G30" s="8" t="inlineStr">
        <is>
          <t>PASS double_tap: UI/API/DB, một POST và một pending; evidence/test-android-remaining-phases.log.</t>
        </is>
      </c>
      <c r="H30" s="7" t="inlineStr">
        <is>
          <t>Pass</t>
        </is>
      </c>
      <c r="I30" s="8" t="inlineStr">
        <is>
          <t>AC4 · error guessing (double tap)</t>
        </is>
      </c>
    </row>
    <row r="31" ht="107" customHeight="1">
      <c r="A31" s="7" t="inlineStr">
        <is>
          <t>TC-REDEEMFLOW-23</t>
        </is>
      </c>
      <c r="B31" s="7" t="inlineStr">
        <is>
          <t>Quét QR bằng camera thật và thử từ chối quyền</t>
        </is>
      </c>
      <c r="C31" s="8" t="inlineStr">
        <is>
          <t>Android có camera, hai tài khoản/thiết bị; Supabase local có thể truy cập từ emulator.</t>
        </is>
      </c>
      <c r="D31" s="8" t="inlineStr">
        <is>
          <t>1. Hiển thị QR bệnh nhân trên thiết bị thứ nhất.
2. Quét bằng camera thiết bị thứ hai và xác nhận.
3. Rút quyền camera rồi quét lại; thử QR sai.
4. Đối chiếu pending DB.</t>
        </is>
      </c>
      <c r="E31" s="8" t="inlineStr">
        <is>
          <t>QR thực từ GET /family/link-code; camera permission=granted/denied</t>
        </is>
      </c>
      <c r="F31" s="8" t="inlineStr">
        <is>
          <t>Chỉ gửi sau xác nhận; một pending; khi từ chối quyền hoặc QR sai có lối nhập mã và không POST.</t>
        </is>
      </c>
      <c r="G31" s="8" t="inlineStr"/>
      <c r="H31" s="7" t="inlineStr">
        <is>
          <t>Pending</t>
        </is>
      </c>
      <c r="I31" s="8" t="inlineStr">
        <is>
          <t>AC11 · manual · EP (camera granted/denied)</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Lịch sử tuân thủ cho người thân (FADH)</t>
        </is>
      </c>
    </row>
    <row r="3">
      <c r="A3" s="1" t="inlineStr">
        <is>
          <t>Created By</t>
        </is>
      </c>
      <c r="B3" s="2" t="inlineStr">
        <is>
          <t>phucnguyenngoc</t>
        </is>
      </c>
    </row>
    <row r="4">
      <c r="A4" s="1" t="inlineStr">
        <is>
          <t>Creation Date</t>
        </is>
      </c>
      <c r="B4" s="21" t="n">
        <v>46319</v>
      </c>
    </row>
    <row r="5">
      <c r="A5" s="1" t="inlineStr">
        <is>
          <t>Reviewed By</t>
        </is>
      </c>
      <c r="B5" s="2" t="inlineStr"/>
    </row>
    <row r="6">
      <c r="A6" s="1" t="inlineStr">
        <is>
          <t>Reviewed Date</t>
        </is>
      </c>
      <c r="B6" s="2" t="n"/>
    </row>
    <row r="7">
      <c r="K7" s="4" t="inlineStr">
        <is>
          <t>Equivalence Partitioning</t>
        </is>
      </c>
      <c r="Q7" s="4" t="inlineStr">
        <is>
          <t>Quyền xem lịch sử PB21</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56.5" customHeight="1">
      <c r="A9" s="7" t="inlineStr">
        <is>
          <t>TC-FADH-01</t>
        </is>
      </c>
      <c r="B9" s="7" t="inlineStr">
        <is>
          <t>Xem cùng lịch sử bằng patient và người thân</t>
        </is>
      </c>
      <c r="C9" s="8" t="inlineStr">
        <is>
          <t>DB Supabase local reset sạch; dùng fixture history_data; patient P có health_data; family F liên kết active, sharing=true và family_sharing của P còn hiệu lực.</t>
        </is>
      </c>
      <c r="D9" s="8" t="inlineStr">
        <is>
          <t>1. Tạo patient/family và lịch 08:00 qua fixture history_data.
2. Gọi GET /adherence?patient_id=P&amp;from=2026-10-19&amp;to=2026-10-19 bằng app session của F.
3. Đối chiếu response, dose_logs và access_logs bằng assertion của test nêu ở Comments.</t>
        </is>
      </c>
      <c r="E9" s="8" t="inlineStr">
        <is>
          <t>2026-10-19 08:00 +07; status=da_uong</t>
        </is>
      </c>
      <c r="F9" s="8" t="inlineStr">
        <is>
          <t>200; payload đúng contract, hai response giống nhau; mỗi caller có allowed; audit không chứa nội dung thuốc/liều.</t>
        </is>
      </c>
      <c r="G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9" s="7" t="inlineStr">
        <is>
          <t>Pass</t>
        </is>
      </c>
      <c r="I9" s="8" t="inlineStr">
        <is>
          <t>PB21 · AC1,AC9 · Decision Table (R1) · EP (1) · test_self_and_family_success_are_audited · evidence/test-contract-history-final.log/xml · Retest evidence/test-p7-integration.log/xml</t>
        </is>
      </c>
      <c r="K9" s="9" t="inlineStr">
        <is>
          <t>Quyền người thân</t>
        </is>
      </c>
      <c r="L9" s="10" t="inlineStr">
        <is>
          <t>Link active + sharing + hai consent</t>
        </is>
      </c>
      <c r="M9" s="10" t="inlineStr">
        <is>
          <t>1</t>
        </is>
      </c>
      <c r="N9" s="10" t="inlineStr">
        <is>
          <t>Không liên kết hoặc patient khác
Thiếu health_data
Thiếu family_sharing
Sharing tắt</t>
        </is>
      </c>
      <c r="O9" s="10" t="inlineStr">
        <is>
          <t>4
5
6
7</t>
        </is>
      </c>
      <c r="Q9" s="10" t="inlineStr">
        <is>
          <t>Link active</t>
        </is>
      </c>
      <c r="R9" s="11" t="inlineStr">
        <is>
          <t>Yes</t>
        </is>
      </c>
      <c r="S9" s="11" t="inlineStr">
        <is>
          <t>No</t>
        </is>
      </c>
      <c r="T9" s="11" t="inlineStr">
        <is>
          <t>Yes</t>
        </is>
      </c>
      <c r="U9" s="11" t="inlineStr">
        <is>
          <t>Yes</t>
        </is>
      </c>
      <c r="V9" s="11" t="inlineStr">
        <is>
          <t>Yes</t>
        </is>
      </c>
    </row>
    <row r="10" ht="156.5" customHeight="1">
      <c r="A10" s="7" t="inlineStr">
        <is>
          <t>TC-FADH-02</t>
        </is>
      </c>
      <c r="B10" s="7" t="inlineStr">
        <is>
          <t>Chặn người thân chưa liên kết</t>
        </is>
      </c>
      <c r="C10" s="8" t="inlineStr">
        <is>
          <t>Supabase local; patient P tồn tại, có health_data và liều; family F là user khác, không có caregiver_link tới P. Không dựng liên kết active trong ca này.</t>
        </is>
      </c>
      <c r="D10" s="8" t="inlineStr">
        <is>
          <t>1. Dựng P và liều bằng history_data; tạo F bằng make.user(), không gọi family_of/link.
2. GET /adherence?patient_id=P bằng bearer mobile của F.
3. Kiểm 403 {detail: khong_co_quyen}, Cache-Control: no-store; không có lịch sử trong body.
4. Đọc access_logs của P: actor F, result denied; so dose_logs trước/sau không đổi.</t>
        </is>
      </c>
      <c r="E10" s="8" t="inlineStr">
        <is>
          <t>case=unlinked; patient_id=P</t>
        </is>
      </c>
      <c r="F10" s="8" t="inlineStr">
        <is>
          <t>403 {detail: khong_co_quyen}; Cache-Control: no-store; có denied và dose_logs không đổi.</t>
        </is>
      </c>
      <c r="G1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0" s="7" t="inlineStr">
        <is>
          <t>Pass</t>
        </is>
      </c>
      <c r="I10" s="8" t="inlineStr">
        <is>
          <t>PB21 · AC4 · Decision Table (R2) · EP (4) · test_unlinked_missing_consents_sharing_off_admin_denied_and_audited__AC11[unlinked] · evidence/test-contract-history-final.log/xml · Retest evidence/test-p7-integration.log/xml</t>
        </is>
      </c>
      <c r="K10" s="9" t="inlineStr">
        <is>
          <t>Mẫu số tỷ lệ</t>
        </is>
      </c>
      <c r="L10" s="10" t="inlineStr">
        <is>
          <t>Liều xác nhận hợp lệ hoặc chưa xác nhận đã quá +120
Không có liều đủ điều kiện</t>
        </is>
      </c>
      <c r="M10" s="10" t="inlineStr">
        <is>
          <t>2
3</t>
        </is>
      </c>
      <c r="N10" s="10" t="inlineStr"/>
      <c r="O10" s="10" t="inlineStr"/>
      <c r="Q10" s="10" t="inlineStr">
        <is>
          <t>health_data</t>
        </is>
      </c>
      <c r="R10" s="11" t="inlineStr">
        <is>
          <t>Yes</t>
        </is>
      </c>
      <c r="S10" s="11" t="inlineStr">
        <is>
          <t>Yes</t>
        </is>
      </c>
      <c r="T10" s="11" t="inlineStr">
        <is>
          <t>No</t>
        </is>
      </c>
      <c r="U10" s="11" t="inlineStr">
        <is>
          <t>Yes</t>
        </is>
      </c>
      <c r="V10" s="11" t="inlineStr">
        <is>
          <t>Yes</t>
        </is>
      </c>
    </row>
    <row r="11" ht="156.5" customHeight="1">
      <c r="A11" s="7" t="inlineStr">
        <is>
          <t>TC-FADH-03</t>
        </is>
      </c>
      <c r="B11" s="7" t="inlineStr">
        <is>
          <t>Chặn khi thiếu consent sức khỏe</t>
        </is>
      </c>
      <c r="C11" s="8" t="inlineStr">
        <is>
          <t>DB Supabase local reset sạch; dùng fixture history_data; patient P có health_data; family F liên kết active, sharing=true và family_sharing của P còn hiệu lực. Thu hồi health_data của P</t>
        </is>
      </c>
      <c r="D11" s="8" t="inlineStr">
        <is>
          <t>1. Tạo patient/family và lịch 08:00 qua fixture history_data.
2. Gọi GET /adherence?patient_id=P&amp;from=2026-10-19&amp;to=2026-10-19 bằng app session của F.
3. Đối chiếu response, dose_logs và access_logs bằng assertion của test nêu ở Comments.</t>
        </is>
      </c>
      <c r="E11" s="8" t="inlineStr">
        <is>
          <t>case=health_consent; patient_id=P</t>
        </is>
      </c>
      <c r="F11" s="8" t="inlineStr">
        <is>
          <t>403 {detail: khong_co_quyen}; Cache-Control: no-store; có denied và dose_logs không đổi.</t>
        </is>
      </c>
      <c r="G1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1" s="7" t="inlineStr">
        <is>
          <t>Pass</t>
        </is>
      </c>
      <c r="I11" s="8" t="inlineStr">
        <is>
          <t>PB21 · AC4 · Decision Table (R3) · EP (5) · test_unlinked_missing_consents_sharing_off_admin_denied_and_audited__AC11[health_consent] · evidence/test-contract-history-final.log/xml · Retest evidence/test-p7-integration.log/xml</t>
        </is>
      </c>
      <c r="Q11" s="10" t="inlineStr">
        <is>
          <t>family_sharing</t>
        </is>
      </c>
      <c r="R11" s="11" t="inlineStr">
        <is>
          <t>Yes</t>
        </is>
      </c>
      <c r="S11" s="11" t="inlineStr">
        <is>
          <t>Yes</t>
        </is>
      </c>
      <c r="T11" s="11" t="inlineStr">
        <is>
          <t>Yes</t>
        </is>
      </c>
      <c r="U11" s="11" t="inlineStr">
        <is>
          <t>No</t>
        </is>
      </c>
      <c r="V11" s="11" t="inlineStr">
        <is>
          <t>Yes</t>
        </is>
      </c>
    </row>
    <row r="12" ht="156.5" customHeight="1">
      <c r="A12" s="7" t="inlineStr">
        <is>
          <t>TC-FADH-04</t>
        </is>
      </c>
      <c r="B12" s="7" t="inlineStr">
        <is>
          <t>Chặn khi thiếu consent chia sẻ</t>
        </is>
      </c>
      <c r="C12" s="8" t="inlineStr">
        <is>
          <t>DB Supabase local reset sạch; dùng fixture history_data; patient P có health_data; family F liên kết active, sharing=true và family_sharing của P còn hiệu lực. Thu hồi family_sharing của P</t>
        </is>
      </c>
      <c r="D12" s="8" t="inlineStr">
        <is>
          <t>1. Tạo patient/family và lịch 08:00 qua fixture history_data.
2. Gọi GET /adherence?patient_id=P&amp;from=2026-10-19&amp;to=2026-10-19 bằng app session của F.
3. Đối chiếu response, dose_logs và access_logs bằng assertion của test nêu ở Comments.</t>
        </is>
      </c>
      <c r="E12" s="8" t="inlineStr">
        <is>
          <t>case=family_consent; patient_id=P</t>
        </is>
      </c>
      <c r="F12" s="8" t="inlineStr">
        <is>
          <t>403 {detail: khong_co_quyen}; Cache-Control: no-store; có denied và dose_logs không đổi.</t>
        </is>
      </c>
      <c r="G1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2" s="7" t="inlineStr">
        <is>
          <t>Pass</t>
        </is>
      </c>
      <c r="I12" s="8" t="inlineStr">
        <is>
          <t>PB21 · AC4 · Decision Table (R4) · EP (6) · test_unlinked_missing_consents_sharing_off_admin_denied_and_audited__AC11[family_consent] · evidence/test-contract-history-final.log/xml · Retest evidence/test-p7-integration.log/xml</t>
        </is>
      </c>
      <c r="Q12" s="10" t="inlineStr">
        <is>
          <t>sharing_enabled</t>
        </is>
      </c>
      <c r="R12" s="11" t="inlineStr">
        <is>
          <t>Yes</t>
        </is>
      </c>
      <c r="S12" s="11" t="inlineStr">
        <is>
          <t>Yes</t>
        </is>
      </c>
      <c r="T12" s="11" t="inlineStr">
        <is>
          <t>Yes</t>
        </is>
      </c>
      <c r="U12" s="11" t="inlineStr">
        <is>
          <t>Yes</t>
        </is>
      </c>
      <c r="V12" s="11" t="inlineStr">
        <is>
          <t>No</t>
        </is>
      </c>
    </row>
    <row r="13" ht="156.5" customHeight="1">
      <c r="A13" s="7" t="inlineStr">
        <is>
          <t>TC-FADH-05</t>
        </is>
      </c>
      <c r="B13" s="7" t="inlineStr">
        <is>
          <t>Chặn khi bệnh nhân tắt chia sẻ</t>
        </is>
      </c>
      <c r="C13" s="8" t="inlineStr">
        <is>
          <t>DB Supabase local reset sạch; dùng fixture history_data; patient P có health_data; family F liên kết active, sharing=true và family_sharing của P còn hiệu lực. Đặt sharing_enabled=false</t>
        </is>
      </c>
      <c r="D13" s="8" t="inlineStr">
        <is>
          <t>1. Tạo patient/family và lịch 08:00 qua fixture history_data.
2. Gọi GET /adherence?patient_id=P&amp;from=2026-10-19&amp;to=2026-10-19 bằng app session của F.
3. Đối chiếu response, dose_logs và access_logs bằng assertion của test nêu ở Comments.</t>
        </is>
      </c>
      <c r="E13" s="8" t="inlineStr">
        <is>
          <t>case=sharing_off; patient_id=P</t>
        </is>
      </c>
      <c r="F13" s="8" t="inlineStr">
        <is>
          <t>403 {detail: khong_co_quyen}; Cache-Control: no-store; có denied và dose_logs không đổi.</t>
        </is>
      </c>
      <c r="G1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3" s="7" t="inlineStr">
        <is>
          <t>Pass</t>
        </is>
      </c>
      <c r="I13" s="8" t="inlineStr">
        <is>
          <t>PB21 · AC4 · Decision Table (R5) · EP (7) · test_unlinked_missing_consents_sharing_off_admin_denied_and_audited__AC11[sharing_off] · evidence/test-contract-history-final.log/xml · Retest evidence/test-p7-integration.log/xml</t>
        </is>
      </c>
      <c r="Q13" s="6" t="inlineStr">
        <is>
          <t>Action</t>
        </is>
      </c>
      <c r="R13" s="5" t="inlineStr">
        <is>
          <t>R1</t>
        </is>
      </c>
      <c r="S13" s="5" t="inlineStr">
        <is>
          <t>R2</t>
        </is>
      </c>
      <c r="T13" s="5" t="inlineStr">
        <is>
          <t>R3</t>
        </is>
      </c>
      <c r="U13" s="5" t="inlineStr">
        <is>
          <t>R4</t>
        </is>
      </c>
      <c r="V13" s="5" t="inlineStr">
        <is>
          <t>R5</t>
        </is>
      </c>
    </row>
    <row r="14" ht="189.5" customHeight="1">
      <c r="A14" s="7" t="inlineStr">
        <is>
          <t>TC-FADH-06</t>
        </is>
      </c>
      <c r="B14" s="7" t="inlineStr">
        <is>
          <t>Chặn sửa patient_id sang bệnh nhân khác</t>
        </is>
      </c>
      <c r="C14" s="8" t="inlineStr">
        <is>
          <t>DB Supabase local reset sạch; dùng fixture history_data; patient P có health_data; family F liên kết active, sharing=true và family_sharing của P còn hiệu lực. Thêm patient Q không liên kết với F.</t>
        </is>
      </c>
      <c r="D14" s="8" t="inlineStr">
        <is>
          <t>1. Dựng P có liều; family F liên kết active, sharing bật và hai consent của P còn hiệu lực; tạo patient Q không liên kết với F.
2. GET /adherence?patient_id=P bằng token F, kiểm 200 và allowed của P theo contract chuẩn.
3. Giữ nguyên token F, sửa query thành patient_id=Q rồi GET /adherence.
4. Kiểm request Q trả 403 {detail: khong_co_quyen}, không có dữ liệu P/Q; access_logs Q có denied actor F; P chỉ có allowed từ request đầu.</t>
        </is>
      </c>
      <c r="E14" s="8" t="inlineStr">
        <is>
          <t>patient_id=Q</t>
        </is>
      </c>
      <c r="F14" s="8" t="inlineStr">
        <is>
          <t>403; denied cho Q; không trả dữ liệu Q; request P trước đó có allowed.</t>
        </is>
      </c>
      <c r="G1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4" s="7" t="inlineStr">
        <is>
          <t>Pass</t>
        </is>
      </c>
      <c r="I14" s="8" t="inlineStr">
        <is>
          <t>PB21 · AC4 · EP (4) · kiểm truy cập chéo · test_family_patient_selector_tamper · evidence/test-contract-history-final.log/xml · Retest evidence/test-p7-integration.log/xml</t>
        </is>
      </c>
      <c r="Q14" s="10" t="inlineStr">
        <is>
          <t>200 + allowed</t>
        </is>
      </c>
      <c r="R14" s="11" t="inlineStr">
        <is>
          <t>X</t>
        </is>
      </c>
      <c r="S14" s="11" t="inlineStr"/>
      <c r="T14" s="11" t="inlineStr"/>
      <c r="U14" s="11" t="inlineStr"/>
      <c r="V14" s="11" t="inlineStr"/>
    </row>
    <row r="15" ht="156.5" customHeight="1">
      <c r="A15" s="7" t="inlineStr">
        <is>
          <t>TC-FADH-07</t>
        </is>
      </c>
      <c r="B15" s="7" t="inlineStr">
        <is>
          <t>Mất quyền ngay sau thay đổi health_consent</t>
        </is>
      </c>
      <c r="C15" s="8" t="inlineStr">
        <is>
          <t>DB Supabase local reset sạch; dùng fixture history_data; patient P có health_data; family F liên kết active, sharing=true và family_sharing của P còn hiệu lực.</t>
        </is>
      </c>
      <c r="D15" s="8" t="inlineStr">
        <is>
          <t>1. Tạo patient/family và lịch 08:00 qua fixture history_data.
2. Gọi GET /adherence?patient_id=P&amp;from=2026-10-19&amp;to=2026-10-19 bằng app session của F.
3. Giữ nguyên token; thực hiện health_consent.
4. Gửi GET /adherence ngay bằng cùng token và kiểm denied.</t>
        </is>
      </c>
      <c r="E15" s="8" t="inlineStr">
        <is>
          <t>change=health_consent; cùng bearer session</t>
        </is>
      </c>
      <c r="F15" s="8" t="inlineStr">
        <is>
          <t>Request đầu 200, request kế tiếp 403 {detail: khong_co_quyen}; audit lần lượt allowed, denied.</t>
        </is>
      </c>
      <c r="G1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5" s="7" t="inlineStr">
        <is>
          <t>Pass</t>
        </is>
      </c>
      <c r="I15" s="8" t="inlineStr">
        <is>
          <t>PB21 · AC5 · Chuyển trạng thái (allowed → denied) · test_revoke_sharing_off_unlink_denies_immediate_next_request_same_token__AC12[health_consent] · evidence/test-contract-history-final.log/xml · Retest evidence/test-p7-integration.log/xml</t>
        </is>
      </c>
      <c r="Q15" s="10" t="inlineStr">
        <is>
          <t>403 + denied</t>
        </is>
      </c>
      <c r="R15" s="11" t="inlineStr"/>
      <c r="S15" s="11" t="inlineStr">
        <is>
          <t>X</t>
        </is>
      </c>
      <c r="T15" s="11" t="inlineStr">
        <is>
          <t>X</t>
        </is>
      </c>
      <c r="U15" s="11" t="inlineStr">
        <is>
          <t>X</t>
        </is>
      </c>
      <c r="V15" s="11" t="inlineStr">
        <is>
          <t>X</t>
        </is>
      </c>
    </row>
    <row r="16" ht="156.5" customHeight="1">
      <c r="A16" s="7" t="inlineStr">
        <is>
          <t>TC-FADH-08</t>
        </is>
      </c>
      <c r="B16" s="7" t="inlineStr">
        <is>
          <t>Mất quyền ngay sau thay đổi family_consent</t>
        </is>
      </c>
      <c r="C16" s="8" t="inlineStr">
        <is>
          <t>DB Supabase local reset sạch; dùng fixture history_data; patient P có health_data; family F liên kết active, sharing=true và family_sharing của P còn hiệu lực.</t>
        </is>
      </c>
      <c r="D16" s="8" t="inlineStr">
        <is>
          <t>1. Tạo patient/family và lịch 08:00 qua fixture history_data.
2. Gọi GET /adherence?patient_id=P&amp;from=2026-10-19&amp;to=2026-10-19 bằng app session của F.
3. Giữ nguyên token; thực hiện family_consent.
4. Gửi GET /adherence ngay bằng cùng token và kiểm denied.</t>
        </is>
      </c>
      <c r="E16" s="8" t="inlineStr">
        <is>
          <t>change=family_consent; cùng bearer session</t>
        </is>
      </c>
      <c r="F16" s="8" t="inlineStr">
        <is>
          <t>Request đầu 200, request kế tiếp 403 {detail: khong_co_quyen}; audit lần lượt allowed, denied.</t>
        </is>
      </c>
      <c r="G1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6" s="7" t="inlineStr">
        <is>
          <t>Pass</t>
        </is>
      </c>
      <c r="I16" s="8" t="inlineStr">
        <is>
          <t>PB21 · AC5 · Chuyển trạng thái (allowed → denied) · test_revoke_sharing_off_unlink_denies_immediate_next_request_same_token__AC12[family_consent] · evidence/test-contract-history-final.log/xml · Retest evidence/test-p7-integration.log/xml</t>
        </is>
      </c>
    </row>
    <row r="17" ht="156.5" customHeight="1">
      <c r="A17" s="7" t="inlineStr">
        <is>
          <t>TC-FADH-09</t>
        </is>
      </c>
      <c r="B17" s="7" t="inlineStr">
        <is>
          <t>Mất quyền ngay sau thay đổi sharing_off</t>
        </is>
      </c>
      <c r="C17" s="8" t="inlineStr">
        <is>
          <t>DB Supabase local reset sạch; dùng fixture history_data; patient P có health_data; family F liên kết active, sharing=true và family_sharing của P còn hiệu lực.</t>
        </is>
      </c>
      <c r="D17" s="8" t="inlineStr">
        <is>
          <t>1. Tạo patient/family và lịch 08:00 qua fixture history_data.
2. Gọi GET /adherence?patient_id=P&amp;from=2026-10-19&amp;to=2026-10-19 bằng app session của F.
3. Giữ nguyên token; thực hiện sharing_off.
4. Gửi GET /adherence ngay bằng cùng token và kiểm denied.</t>
        </is>
      </c>
      <c r="E17" s="8" t="inlineStr">
        <is>
          <t>change=sharing_off; cùng bearer session</t>
        </is>
      </c>
      <c r="F17" s="8" t="inlineStr">
        <is>
          <t>Request đầu 200, request kế tiếp 403 {detail: khong_co_quyen}; audit lần lượt allowed, denied.</t>
        </is>
      </c>
      <c r="G1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7" s="7" t="inlineStr">
        <is>
          <t>Pass</t>
        </is>
      </c>
      <c r="I17" s="8" t="inlineStr">
        <is>
          <t>PB21 · AC5 · Chuyển trạng thái (allowed → denied) · test_revoke_sharing_off_unlink_denies_immediate_next_request_same_token__AC12[sharing_off] · evidence/test-contract-history-final.log/xml · Retest evidence/test-p7-integration.log/xml</t>
        </is>
      </c>
    </row>
    <row r="18" ht="156.5" customHeight="1">
      <c r="A18" s="7" t="inlineStr">
        <is>
          <t>TC-FADH-10</t>
        </is>
      </c>
      <c r="B18" s="7" t="inlineStr">
        <is>
          <t>Mất quyền ngay sau thay đổi unlink</t>
        </is>
      </c>
      <c r="C18" s="8" t="inlineStr">
        <is>
          <t>DB Supabase local reset sạch; dùng fixture history_data; patient P có health_data; family F liên kết active, sharing=true và family_sharing của P còn hiệu lực.</t>
        </is>
      </c>
      <c r="D18" s="8" t="inlineStr">
        <is>
          <t>1. Tạo patient/family và lịch 08:00 qua fixture history_data.
2. Gọi GET /adherence?patient_id=P&amp;from=2026-10-19&amp;to=2026-10-19 bằng app session của F.
3. Giữ nguyên token; thực hiện unlink.
4. Gửi GET /adherence ngay bằng cùng token và kiểm denied.</t>
        </is>
      </c>
      <c r="E18" s="8" t="inlineStr">
        <is>
          <t>change=unlink; cùng bearer session</t>
        </is>
      </c>
      <c r="F18" s="8" t="inlineStr">
        <is>
          <t>Request đầu 200, request kế tiếp 403 {detail: khong_co_quyen}; audit lần lượt allowed, denied.</t>
        </is>
      </c>
      <c r="G1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8" s="7" t="inlineStr">
        <is>
          <t>Pass</t>
        </is>
      </c>
      <c r="I18" s="8" t="inlineStr">
        <is>
          <t>PB21 · AC5 · Chuyển trạng thái (allowed → denied) · test_revoke_sharing_off_unlink_denies_immediate_next_request_same_token__AC12[unlink] · evidence/test-contract-history-final.log/xml · Retest evidence/test-p7-integration.log/xml</t>
        </is>
      </c>
    </row>
    <row r="19" ht="156.5" customHeight="1">
      <c r="A19" s="7" t="inlineStr">
        <is>
          <t>TC-FADH-11</t>
        </is>
      </c>
      <c r="B19" s="7" t="inlineStr">
        <is>
          <t>Chặn lịch sử khi lỗi allowed_insert</t>
        </is>
      </c>
      <c r="C19" s="8" t="inlineStr">
        <is>
          <t>DB Supabase local reset sạch; dùng fixture history_data; patient P có health_data; family F liên kết active, sharing=true và family_sharing của P còn hiệu lực.</t>
        </is>
      </c>
      <c r="D19" s="8" t="inlineStr">
        <is>
          <t>1. Tạo patient/family và lịch 08:00 qua fixture history_data.
2. Gắn fault injection allowed_insert theo test access.
3. GET /adherence, kiểm status/body, log, SQL history read và snapshot DB.</t>
        </is>
      </c>
      <c r="E19" s="8" t="inlineStr">
        <is>
          <t>failure=allowed_insert</t>
        </is>
      </c>
      <c r="F19" s="8" t="inlineStr">
        <is>
          <t>500 {detail: Internal server error}; no-store; không trả dữ liệu sức khỏe; không thay dose_logs; lỗi quyền/audit trước đọc thì không SELECT lịch sử.</t>
        </is>
      </c>
      <c r="G1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9" s="7" t="inlineStr">
        <is>
          <t>Pass</t>
        </is>
      </c>
      <c r="I19" s="8" t="inlineStr">
        <is>
          <t>PB21 · AC7 · Đoán lỗi (fail-closed) · test_audit_permission_and_commit_failure_fail_closed_without_health__AC13[allowed_insert] · evidence/test-contract-history-final.log/xml · Retest evidence/test-p7-integration.log/xml</t>
        </is>
      </c>
    </row>
    <row r="20" ht="156.5" customHeight="1">
      <c r="A20" s="7" t="inlineStr">
        <is>
          <t>TC-FADH-12</t>
        </is>
      </c>
      <c r="B20" s="7" t="inlineStr">
        <is>
          <t>Chặn lịch sử khi lỗi commit</t>
        </is>
      </c>
      <c r="C20" s="8" t="inlineStr">
        <is>
          <t>DB Supabase local reset sạch; dùng fixture history_data; patient P có health_data; family F liên kết active, sharing=true và family_sharing của P còn hiệu lực.</t>
        </is>
      </c>
      <c r="D20" s="8" t="inlineStr">
        <is>
          <t>1. Tạo patient/family và lịch 08:00 qua fixture history_data.
2. Gắn fault injection commit theo test access.
3. GET /adherence, kiểm status/body, log, SQL history read và snapshot DB.</t>
        </is>
      </c>
      <c r="E20" s="8" t="inlineStr">
        <is>
          <t>failure=commit</t>
        </is>
      </c>
      <c r="F20" s="8" t="inlineStr">
        <is>
          <t>500 {detail: Internal server error}; no-store; không trả dữ liệu sức khỏe; không thay dose_logs; lỗi quyền/audit trước đọc thì không SELECT lịch sử.</t>
        </is>
      </c>
      <c r="G2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0" s="7" t="inlineStr">
        <is>
          <t>Pass</t>
        </is>
      </c>
      <c r="I20" s="8" t="inlineStr">
        <is>
          <t>PB21 · AC7 · Đoán lỗi (fail-closed) · test_audit_permission_and_commit_failure_fail_closed_without_health__AC13[commit] · evidence/test-contract-history-final.log/xml · Retest evidence/test-p7-integration.log/xml</t>
        </is>
      </c>
    </row>
    <row r="21" ht="156.5" customHeight="1">
      <c r="A21" s="7" t="inlineStr">
        <is>
          <t>TC-FADH-13</t>
        </is>
      </c>
      <c r="B21" s="7" t="inlineStr">
        <is>
          <t>Chặn lịch sử khi lỗi denied_insert</t>
        </is>
      </c>
      <c r="C21" s="8" t="inlineStr">
        <is>
          <t>DB Supabase local reset sạch; dùng fixture history_data; patient P có health_data; family F liên kết active, sharing=true và family_sharing của P còn hiệu lực.</t>
        </is>
      </c>
      <c r="D21" s="8" t="inlineStr">
        <is>
          <t>1. Tạo patient/family và lịch 08:00 qua fixture history_data.
2. Gắn fault injection denied_insert theo test access.
3. GET /adherence, kiểm status/body, log, SQL history read và snapshot DB.</t>
        </is>
      </c>
      <c r="E21" s="8" t="inlineStr">
        <is>
          <t>failure=denied_insert</t>
        </is>
      </c>
      <c r="F21" s="8" t="inlineStr">
        <is>
          <t>500 {detail: Internal server error}; no-store; không trả dữ liệu sức khỏe; không thay dose_logs; lỗi quyền/audit trước đọc thì không SELECT lịch sử.</t>
        </is>
      </c>
      <c r="G2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1" s="7" t="inlineStr">
        <is>
          <t>Pass</t>
        </is>
      </c>
      <c r="I21" s="8" t="inlineStr">
        <is>
          <t>PB21 · AC7 · Đoán lỗi (fail-closed) · test_audit_permission_and_commit_failure_fail_closed_without_health__AC13[denied_insert] · evidence/test-contract-history-final.log/xml · Retest evidence/test-p7-integration.log/xml</t>
        </is>
      </c>
    </row>
    <row r="22" ht="156.5" customHeight="1">
      <c r="A22" s="7" t="inlineStr">
        <is>
          <t>TC-FADH-14</t>
        </is>
      </c>
      <c r="B22" s="7" t="inlineStr">
        <is>
          <t>Chặn lịch sử khi lỗi permission_read</t>
        </is>
      </c>
      <c r="C22" s="8" t="inlineStr">
        <is>
          <t>DB Supabase local reset sạch; dùng fixture history_data; patient P có health_data; family F liên kết active, sharing=true và family_sharing của P còn hiệu lực.</t>
        </is>
      </c>
      <c r="D22" s="8" t="inlineStr">
        <is>
          <t>1. Tạo patient/family và lịch 08:00 qua fixture history_data.
2. Gắn fault injection permission_read theo test access.
3. GET /adherence, kiểm status/body, log, SQL history read và snapshot DB.</t>
        </is>
      </c>
      <c r="E22" s="8" t="inlineStr">
        <is>
          <t>failure=permission_read</t>
        </is>
      </c>
      <c r="F22" s="8" t="inlineStr">
        <is>
          <t>500 {detail: Internal server error}; no-store; không trả dữ liệu sức khỏe; không thay dose_logs; lỗi quyền/audit trước đọc thì không SELECT lịch sử.</t>
        </is>
      </c>
      <c r="G2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2" s="7" t="inlineStr">
        <is>
          <t>Pass</t>
        </is>
      </c>
      <c r="I22" s="8" t="inlineStr">
        <is>
          <t>PB21 · AC7 · Đoán lỗi (fail-closed) · test_audit_permission_and_commit_failure_fail_closed_without_health__AC13[permission_read] · evidence/test-contract-history-final.log/xml · Retest evidence/test-p7-integration.log/xml</t>
        </is>
      </c>
    </row>
    <row r="23" ht="156.5" customHeight="1">
      <c r="A23" s="7" t="inlineStr">
        <is>
          <t>TC-FADH-15</t>
        </is>
      </c>
      <c r="B23" s="7" t="inlineStr">
        <is>
          <t>Giữ denied audit sau rollback nghiệp vụ</t>
        </is>
      </c>
      <c r="C23" s="8" t="inlineStr">
        <is>
          <t>DB Supabase local reset sạch; dùng fixture history_data; patient P có health_data; family F liên kết active, sharing=true và family_sharing của P còn hiệu lực. Thu hồi health_data.</t>
        </is>
      </c>
      <c r="D23" s="8" t="inlineStr">
        <is>
          <t>1. Gắn context theo dõi rollback như test.
2. GET /adherence bằng patient P.
3. Sau rollback đọc access_logs bằng kết nối DB riêng.</t>
        </is>
      </c>
      <c r="E23" s="8" t="inlineStr">
        <is>
          <t>health_data=thu_hoi</t>
        </is>
      </c>
      <c r="F23" s="8" t="inlineStr">
        <is>
          <t>403; outer transaction đã rollback; denied consent_revoked còn bền.</t>
        </is>
      </c>
      <c r="G2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3" s="7" t="inlineStr">
        <is>
          <t>Pass</t>
        </is>
      </c>
      <c r="I23" s="8" t="inlineStr">
        <is>
          <t>PB21 · AC7 · Đoán lỗi (rollback) · test_denied_audit_survives_outer_transaction_rollback · evidence/test-contract-history-final.log/xml · Retest evidence/test-p7-integration.log/xml</t>
        </is>
      </c>
    </row>
    <row r="24" ht="156.5" customHeight="1">
      <c r="A24" s="7" t="inlineStr">
        <is>
          <t>TC-FADH-16</t>
        </is>
      </c>
      <c r="B24" s="7" t="inlineStr">
        <is>
          <t>Từ chối phiên missing</t>
        </is>
      </c>
      <c r="C24" s="8" t="inlineStr">
        <is>
          <t>DB Supabase local reset sạch; dùng fixture history_data; patient P có health_data; family F liên kết active, sharing=true và family_sharing của P còn hiệu lực.</t>
        </is>
      </c>
      <c r="D24" s="8" t="inlineStr">
        <is>
          <t>1. Chuẩn bị auth theo kind của test (không in token).
2. GET /adherence.
3. Kiểm 401, no-store, body chỉ có detail và không ghi allowed.</t>
        </is>
      </c>
      <c r="E24" s="8" t="inlineStr">
        <is>
          <t>kind=missing</t>
        </is>
      </c>
      <c r="F24" s="8" t="inlineStr">
        <is>
          <t>401; no-store; không trả dữ liệu sức khỏe; không có access_logs.</t>
        </is>
      </c>
      <c r="G2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4" s="7" t="inlineStr">
        <is>
          <t>Pass</t>
        </is>
      </c>
      <c r="I24" s="8" t="inlineStr">
        <is>
          <t>PB21 · AC4 · Đoán lỗi (xác thực) · test_authentication_401_and_no_store_without_health_payload__AC14[missing] · evidence/test-contract-history-final.log/xml · Retest evidence/test-p7-integration.log/xml</t>
        </is>
      </c>
    </row>
    <row r="25" ht="156.5" customHeight="1">
      <c r="A25" s="7" t="inlineStr">
        <is>
          <t>TC-FADH-17</t>
        </is>
      </c>
      <c r="B25" s="7" t="inlineStr">
        <is>
          <t>Từ chối phiên invalid</t>
        </is>
      </c>
      <c r="C25" s="8" t="inlineStr">
        <is>
          <t>DB Supabase local reset sạch; dùng fixture history_data; patient P có health_data; family F liên kết active, sharing=true và family_sharing của P còn hiệu lực.</t>
        </is>
      </c>
      <c r="D25" s="8" t="inlineStr">
        <is>
          <t>1. Chuẩn bị auth theo kind của test (không in token).
2. GET /adherence.
3. Kiểm 401, no-store, body chỉ có detail và không ghi allowed.</t>
        </is>
      </c>
      <c r="E25" s="8" t="inlineStr">
        <is>
          <t>kind=invalid</t>
        </is>
      </c>
      <c r="F25" s="8" t="inlineStr">
        <is>
          <t>401; no-store; không trả dữ liệu sức khỏe; không có access_logs.</t>
        </is>
      </c>
      <c r="G2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5" s="7" t="inlineStr">
        <is>
          <t>Pass</t>
        </is>
      </c>
      <c r="I25" s="8" t="inlineStr">
        <is>
          <t>PB21 · AC4 · Đoán lỗi (xác thực) · test_authentication_401_and_no_store_without_health_payload__AC14[invalid] · evidence/test-contract-history-final.log/xml · Retest evidence/test-p7-integration.log/xml</t>
        </is>
      </c>
    </row>
    <row r="26" ht="156.5" customHeight="1">
      <c r="A26" s="7" t="inlineStr">
        <is>
          <t>TC-FADH-18</t>
        </is>
      </c>
      <c r="B26" s="7" t="inlineStr">
        <is>
          <t>Từ chối phiên expired</t>
        </is>
      </c>
      <c r="C26" s="8" t="inlineStr">
        <is>
          <t>DB Supabase local reset sạch; dùng fixture history_data; patient P có health_data; family F liên kết active, sharing=true và family_sharing của P còn hiệu lực.</t>
        </is>
      </c>
      <c r="D26" s="8" t="inlineStr">
        <is>
          <t>1. Chuẩn bị auth theo kind của test (không in token).
2. GET /adherence.
3. Kiểm 401, no-store, body chỉ có detail và không ghi allowed.</t>
        </is>
      </c>
      <c r="E26" s="8" t="inlineStr">
        <is>
          <t>kind=expired</t>
        </is>
      </c>
      <c r="F26" s="8" t="inlineStr">
        <is>
          <t>401; no-store; không trả dữ liệu sức khỏe; không có access_logs.</t>
        </is>
      </c>
      <c r="G2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6" s="7" t="inlineStr">
        <is>
          <t>Pass</t>
        </is>
      </c>
      <c r="I26" s="8" t="inlineStr">
        <is>
          <t>PB21 · AC4 · Đoán lỗi (xác thực) · test_authentication_401_and_no_store_without_health_payload__AC14[expired] · evidence/test-contract-history-final.log/xml · Retest evidence/test-p7-integration.log/xml</t>
        </is>
      </c>
    </row>
    <row r="27" ht="156.5" customHeight="1">
      <c r="A27" s="7" t="inlineStr">
        <is>
          <t>TC-FADH-19</t>
        </is>
      </c>
      <c r="B27" s="7" t="inlineStr">
        <is>
          <t>Từ chối phiên erased</t>
        </is>
      </c>
      <c r="C27" s="8" t="inlineStr">
        <is>
          <t>DB Supabase local reset sạch; dùng fixture history_data; patient P có health_data; family F liên kết active, sharing=true và family_sharing của P còn hiệu lực.</t>
        </is>
      </c>
      <c r="D27" s="8" t="inlineStr">
        <is>
          <t>1. Chuẩn bị auth theo kind của test (không in token).
2. GET /adherence.
3. Kiểm 401, no-store, body chỉ có detail và không ghi allowed.</t>
        </is>
      </c>
      <c r="E27" s="8" t="inlineStr">
        <is>
          <t>kind=erased</t>
        </is>
      </c>
      <c r="F27" s="8" t="inlineStr">
        <is>
          <t>401; no-store; không trả dữ liệu sức khỏe; không có access_logs.</t>
        </is>
      </c>
      <c r="G2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7" s="7" t="inlineStr">
        <is>
          <t>Pass</t>
        </is>
      </c>
      <c r="I27" s="8" t="inlineStr">
        <is>
          <t>PB21 · AC4 · Đoán lỗi (xác thực) · test_authentication_401_and_no_store_without_health_payload__AC14[erased] · evidence/test-contract-history-final.log/xml · Retest evidence/test-p7-integration.log/xml</t>
        </is>
      </c>
    </row>
    <row r="28" ht="173" customHeight="1">
      <c r="A28" s="7" t="inlineStr">
        <is>
          <t>TC-FADH-20</t>
        </is>
      </c>
      <c r="B28" s="7" t="inlineStr">
        <is>
          <t>Tính ngay xác nhận tại -30 phút</t>
        </is>
      </c>
      <c r="C28" s="8" t="inlineStr">
        <is>
          <t>Unit application: access Mock cho phép, reader trả một HistoryRow; chưa chứng minh PEP/DB.</t>
        </is>
      </c>
      <c r="D28" s="8" t="inlineStr">
        <is>
          <t>1. Chạy test tại backend/tests/unit/test_get_adherence_history.py với delay0, cả group_by=date và medication.
2. Quan sát ở đúng taken_at; kiểm summary, nhóm và một dose.</t>
        </is>
      </c>
      <c r="E28" s="8" t="inlineStr">
        <is>
          <t>scheduled_at=08:00 +07; delay=-30 phút; status=da_uong</t>
        </is>
      </c>
      <c r="F28" s="8" t="inlineStr">
        <is>
          <t>total=1, counted=1, rate=100.00; taken/late đúng trạng thái; đúng một liều ngay khi xác nhận.</t>
        </is>
      </c>
      <c r="G28" s="8"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H28" s="7" t="inlineStr">
        <is>
          <t>Fail</t>
        </is>
      </c>
      <c r="I28" s="8" t="inlineStr">
        <is>
          <t>PB21 · AC2,AC3 · BVA (-30 phút) · EP (2) · test_confirmed_before_deadline_counts_immediately__AC3[delay0- · evidence/test-contract-unit.log/xml · test_family_early_confirmation_counts_immediately__AC3 · evidence/test-contract-history-final.log/xml · Retest evidence/test-p7-integration.log/xml</t>
        </is>
      </c>
    </row>
    <row r="29" ht="90.5" customHeight="1">
      <c r="A29" s="7" t="inlineStr">
        <is>
          <t>TC-FADH-21</t>
        </is>
      </c>
      <c r="B29" s="7" t="inlineStr">
        <is>
          <t>Tính ngay xác nhận tại 0 phút</t>
        </is>
      </c>
      <c r="C29" s="8" t="inlineStr">
        <is>
          <t>Unit application: access Mock cho phép, reader trả một HistoryRow; chưa chứng minh PEP/DB.</t>
        </is>
      </c>
      <c r="D29" s="8" t="inlineStr">
        <is>
          <t>1. Chạy test tại backend/tests/unit/test_get_adherence_history.py với delay1, cả group_by=date và medication.
2. Quan sát ở đúng taken_at; kiểm summary, nhóm và một dose.</t>
        </is>
      </c>
      <c r="E29" s="8" t="inlineStr">
        <is>
          <t>scheduled_at=08:00 +07; delay=0 phút; status=da_uong</t>
        </is>
      </c>
      <c r="F29" s="8" t="inlineStr">
        <is>
          <t>total=1, counted=1, rate=100.00; taken/late đúng trạng thái; đúng một liều ngay khi xác nhận.</t>
        </is>
      </c>
      <c r="G29" s="8" t="inlineStr">
        <is>
          <t>2 ca Pass trong lần chạy sau khôi phục contract, 25/10/2026. Unit; chưa thay bằng chứng API/DB.</t>
        </is>
      </c>
      <c r="H29" s="7" t="inlineStr">
        <is>
          <t>Pass</t>
        </is>
      </c>
      <c r="I29" s="8" t="inlineStr">
        <is>
          <t>PB21 · AC2,AC3 · BVA (0 phút) · EP (2) · test_confirmed_before_deadline_counts_immediately__AC3[delay1- · evidence/test-contract-unit.log/xml</t>
        </is>
      </c>
    </row>
    <row r="30" ht="90.5" customHeight="1">
      <c r="A30" s="7" t="inlineStr">
        <is>
          <t>TC-FADH-22</t>
        </is>
      </c>
      <c r="B30" s="7" t="inlineStr">
        <is>
          <t>Tính ngay xác nhận tại +30 phút</t>
        </is>
      </c>
      <c r="C30" s="8" t="inlineStr">
        <is>
          <t>Unit application: access Mock cho phép, reader trả một HistoryRow; chưa chứng minh PEP/DB.</t>
        </is>
      </c>
      <c r="D30" s="8" t="inlineStr">
        <is>
          <t>1. Chạy test tại backend/tests/unit/test_get_adherence_history.py với delay2, cả group_by=date và medication.
2. Quan sát ở đúng taken_at; kiểm summary, nhóm và một dose.</t>
        </is>
      </c>
      <c r="E30" s="8" t="inlineStr">
        <is>
          <t>scheduled_at=08:00 +07; delay=+30 phút; status=da_uong</t>
        </is>
      </c>
      <c r="F30" s="8" t="inlineStr">
        <is>
          <t>total=1, counted=1, rate=100.00; taken/late đúng trạng thái; đúng một liều ngay khi xác nhận.</t>
        </is>
      </c>
      <c r="G30" s="8" t="inlineStr">
        <is>
          <t>2 ca Pass trong lần chạy sau khôi phục contract, 25/10/2026. Unit; chưa thay bằng chứng API/DB.</t>
        </is>
      </c>
      <c r="H30" s="7" t="inlineStr">
        <is>
          <t>Pass</t>
        </is>
      </c>
      <c r="I30" s="8" t="inlineStr">
        <is>
          <t>PB21 · AC2,AC3 · BVA (+30 phút) · EP (2) · test_confirmed_before_deadline_counts_immediately__AC3[delay2- · evidence/test-contract-unit.log/xml</t>
        </is>
      </c>
    </row>
    <row r="31" ht="90.5" customHeight="1">
      <c r="A31" s="7" t="inlineStr">
        <is>
          <t>TC-FADH-23</t>
        </is>
      </c>
      <c r="B31" s="7" t="inlineStr">
        <is>
          <t>Tính ngay xác nhận tại +30 phút +1µs</t>
        </is>
      </c>
      <c r="C31" s="8" t="inlineStr">
        <is>
          <t>Unit application: access Mock cho phép, reader trả một HistoryRow; chưa chứng minh PEP/DB.</t>
        </is>
      </c>
      <c r="D31" s="8" t="inlineStr">
        <is>
          <t>1. Chạy test tại backend/tests/unit/test_get_adherence_history.py với delay3, cả group_by=date và medication.
2. Quan sát ở đúng taken_at; kiểm summary, nhóm và một dose.</t>
        </is>
      </c>
      <c r="E31" s="8" t="inlineStr">
        <is>
          <t>scheduled_at=08:00 +07; delay=+30 phút +1µs; status=uong_tre</t>
        </is>
      </c>
      <c r="F31" s="8" t="inlineStr">
        <is>
          <t>total=1, counted=1, rate=100.00; taken/late đúng trạng thái; đúng một liều ngay khi xác nhận.</t>
        </is>
      </c>
      <c r="G31" s="8" t="inlineStr">
        <is>
          <t>2 ca Pass trong lần chạy sau khôi phục contract, 25/10/2026. Unit; chưa thay bằng chứng API/DB.</t>
        </is>
      </c>
      <c r="H31" s="7" t="inlineStr">
        <is>
          <t>Pass</t>
        </is>
      </c>
      <c r="I31" s="8" t="inlineStr">
        <is>
          <t>PB21 · AC2,AC3 · BVA (+30 phút +1µs) · EP (2) · test_confirmed_before_deadline_counts_immediately__AC3[delay3- · evidence/test-contract-unit.log/xml</t>
        </is>
      </c>
    </row>
    <row r="32" ht="90.5" customHeight="1">
      <c r="A32" s="7" t="inlineStr">
        <is>
          <t>TC-FADH-24</t>
        </is>
      </c>
      <c r="B32" s="7" t="inlineStr">
        <is>
          <t>Tính ngay xác nhận tại +119 phút 59 giây</t>
        </is>
      </c>
      <c r="C32" s="8" t="inlineStr">
        <is>
          <t>Unit application: access Mock cho phép, reader trả một HistoryRow; chưa chứng minh PEP/DB.</t>
        </is>
      </c>
      <c r="D32" s="8" t="inlineStr">
        <is>
          <t>1. Chạy test tại backend/tests/unit/test_get_adherence_history.py với delay4, cả group_by=date và medication.
2. Quan sát ở đúng taken_at; kiểm summary, nhóm và một dose.</t>
        </is>
      </c>
      <c r="E32" s="8" t="inlineStr">
        <is>
          <t>scheduled_at=08:00 +07; delay=+119 phút 59 giây; status=uong_tre</t>
        </is>
      </c>
      <c r="F32" s="8" t="inlineStr">
        <is>
          <t>total=1, counted=1, rate=100.00; taken/late đúng trạng thái; đúng một liều ngay khi xác nhận.</t>
        </is>
      </c>
      <c r="G32" s="8" t="inlineStr">
        <is>
          <t>2 ca Pass trong lần chạy sau khôi phục contract, 25/10/2026. Unit; chưa thay bằng chứng API/DB.</t>
        </is>
      </c>
      <c r="H32" s="7" t="inlineStr">
        <is>
          <t>Pass</t>
        </is>
      </c>
      <c r="I32" s="8" t="inlineStr">
        <is>
          <t>PB21 · AC2,AC3 · BVA (+119 phút 59 giây) · EP (2) · test_confirmed_before_deadline_counts_immediately__AC3[delay4- · evidence/test-contract-unit.log/xml</t>
        </is>
      </c>
    </row>
    <row r="33" ht="90.5" customHeight="1">
      <c r="A33" s="7" t="inlineStr">
        <is>
          <t>TC-FADH-25</t>
        </is>
      </c>
      <c r="B33" s="7" t="inlineStr">
        <is>
          <t>Tính ngay xác nhận tại +120 phút</t>
        </is>
      </c>
      <c r="C33" s="8" t="inlineStr">
        <is>
          <t>Unit application: access Mock cho phép, reader trả một HistoryRow; chưa chứng minh PEP/DB.</t>
        </is>
      </c>
      <c r="D33" s="8" t="inlineStr">
        <is>
          <t>1. Chạy test tại backend/tests/unit/test_get_adherence_history.py với delay5, cả group_by=date và medication.
2. Quan sát ở đúng taken_at; kiểm summary, nhóm và một dose.</t>
        </is>
      </c>
      <c r="E33" s="8" t="inlineStr">
        <is>
          <t>scheduled_at=08:00 +07; delay=+120 phút; status=uong_tre</t>
        </is>
      </c>
      <c r="F33" s="8" t="inlineStr">
        <is>
          <t>total=1, counted=1, rate=100.00; taken/late đúng trạng thái; đúng một liều ngay khi xác nhận.</t>
        </is>
      </c>
      <c r="G33" s="8" t="inlineStr">
        <is>
          <t>2 ca Pass trong lần chạy sau khôi phục contract, 25/10/2026. Unit; chưa thay bằng chứng API/DB.</t>
        </is>
      </c>
      <c r="H33" s="7" t="inlineStr">
        <is>
          <t>Pass</t>
        </is>
      </c>
      <c r="I33" s="8" t="inlineStr">
        <is>
          <t>PB21 · AC2,AC3 · BVA (+120 phút) · EP (2) · test_confirmed_before_deadline_counts_immediately__AC3[delay5- · evidence/test-contract-unit.log/xml</t>
        </is>
      </c>
    </row>
    <row r="34" ht="107" customHeight="1">
      <c r="A34" s="7" t="inlineStr">
        <is>
          <t>TC-FADH-26</t>
        </is>
      </c>
      <c r="B34" s="7" t="inlineStr">
        <is>
          <t>Chuyển pending tại +120 thành missed ngay sau hạn</t>
        </is>
      </c>
      <c r="C34" s="8" t="inlineStr">
        <is>
          <t>Unit: một liều taken và một liều chưa xác nhận; thử cả status=None và bo_lo cũ.</t>
        </is>
      </c>
      <c r="D34" s="8" t="inlineStr">
        <is>
          <t>1. Chạy backend/tests/unit/test_get_adherence_history.py::test_unconfirmed_pending_at_deadline_then_missed__AC3.
2. So summary tại +120 và +120+1µs, hai kiểu nhóm.</t>
        </is>
      </c>
      <c r="E34" s="8" t="inlineStr">
        <is>
          <t>scheduled=08:00; as_of=10:00 và 10:00:00.000001 +07</t>
        </is>
      </c>
      <c r="F34" s="8" t="inlineStr">
        <is>
          <t>Tại hạn pending=1,counted=1,rate=100; sau hạn missed=1,counted=2,rate=50; không nhân đôi liều.</t>
        </is>
      </c>
      <c r="G34" s="8" t="inlineStr">
        <is>
          <t>4 ca Pass trong lần chạy sau khôi phục contract, 25/10/2026. Unit; chưa thay bằng chứng API/DB.</t>
        </is>
      </c>
      <c r="H34" s="7" t="inlineStr">
        <is>
          <t>Pass</t>
        </is>
      </c>
      <c r="I34" s="8" t="inlineStr">
        <is>
          <t>PB21 · AC2,AC3 · BVA (max,max+1) · Chuyển trạng thái (pending → missed) · test_unconfirmed_pending_at_deadline_then_missed__AC3 · evidence/test-contract-unit.log/xml</t>
        </is>
      </c>
    </row>
    <row r="35" ht="90.5" customHeight="1">
      <c r="A35" s="7" t="inlineStr">
        <is>
          <t>TC-FADH-27</t>
        </is>
      </c>
      <c r="B35" s="7" t="inlineStr">
        <is>
          <t>Trả tỷ lệ null khi không có mẫu số</t>
        </is>
      </c>
      <c r="C35" s="8" t="inlineStr">
        <is>
          <t>Unit: không có liều hoặc chỉ có pending.</t>
        </is>
      </c>
      <c r="D35" s="8" t="inlineStr">
        <is>
          <t>1. Chạy backend/tests/unit/test_get_adherence_history.py::test_no_eligible_dose_has_null_rate__AC3.
2. Kiểm date và medication, có/không có pending.</t>
        </is>
      </c>
      <c r="E35" s="8" t="inlineStr">
        <is>
          <t>as_of=10:00 +07; counted=0</t>
        </is>
      </c>
      <c r="F35" s="8" t="inlineStr">
        <is>
          <t>adherence_rate=None; trường hợp rỗng không có nhóm, pending không vào mẫu số.</t>
        </is>
      </c>
      <c r="G35" s="8" t="inlineStr">
        <is>
          <t>4 ca Pass trong lần chạy sau khôi phục contract, 25/10/2026. Unit; chưa thay bằng chứng API/DB.</t>
        </is>
      </c>
      <c r="H35" s="7" t="inlineStr">
        <is>
          <t>Pass</t>
        </is>
      </c>
      <c r="I35" s="8" t="inlineStr">
        <is>
          <t>PB21 · AC3 · EP (3) · test_no_eligible_dose_has_null_rate__AC3 · evidence/test-contract-unit.log/xml</t>
        </is>
      </c>
    </row>
    <row r="36" ht="107" customHeight="1">
      <c r="A36" s="7" t="inlineStr">
        <is>
          <t>TC-FADH-28</t>
        </is>
      </c>
      <c r="B36" s="7" t="inlineStr">
        <is>
          <t>Không tăng tỷ lệ khi thực uống sau hạn</t>
        </is>
      </c>
      <c r="C36" s="8" t="inlineStr">
        <is>
          <t>Unit: tạo DoseConfirmation tại +120+1µs.</t>
        </is>
      </c>
      <c r="D36" s="8" t="inlineStr">
        <is>
          <t>1. Chạy backend/tests/unit/test_get_adherence_history.py::test_after_deadline_confirmation_does_not_raise_rate__AC3.
2. So lịch sử trước và sau xác nhận, cả hai kiểu nhóm.</t>
        </is>
      </c>
      <c r="E36" s="8" t="inlineStr">
        <is>
          <t>taken_at=10:00:00.000001 +07 cho lịch 08:00</t>
        </is>
      </c>
      <c r="F36" s="8" t="inlineStr">
        <is>
          <t>status=bo_lo; counted=1, rate=0.00 trước và sau.</t>
        </is>
      </c>
      <c r="G36" s="8" t="inlineStr">
        <is>
          <t>2 ca Pass trong lần chạy sau khôi phục contract, 25/10/2026. Unit; chưa thay bằng chứng API/DB.</t>
        </is>
      </c>
      <c r="H36" s="7" t="inlineStr">
        <is>
          <t>Pass</t>
        </is>
      </c>
      <c r="I36" s="8" t="inlineStr">
        <is>
          <t>PB21 · AC3 · BVA (max+1) · Chuyển trạng thái (missed không trở thành tuân thủ) · test_after_deadline_confirmation_does_not_raise_rate__AC3 · evidence/test-contract-unit.log/xml</t>
        </is>
      </c>
    </row>
    <row r="37" ht="123.5" customHeight="1">
      <c r="A37" s="7" t="inlineStr">
        <is>
          <t>TC-FADH-29</t>
        </is>
      </c>
      <c r="B37" s="7" t="inlineStr">
        <is>
          <t>Tính xác nhận hợp lệ được đồng bộ sau hạn</t>
        </is>
      </c>
      <c r="C37" s="8" t="inlineStr">
        <is>
          <t>Unit: thực uống +90 nhưng sync +121 phút.</t>
        </is>
      </c>
      <c r="D37" s="8" t="inlineStr">
        <is>
          <t>1. Chạy backend/tests/unit/test_get_adherence_history.py::test_valid_confirmation_synced_after_deadline_still_counts__AC3.
2. Kiểm status, taken_at và tỷ lệ.</t>
        </is>
      </c>
      <c r="E37" s="8" t="inlineStr">
        <is>
          <t>scheduled=08:00; taken=09:30; synced=10:01 +07</t>
        </is>
      </c>
      <c r="F37" s="8" t="inlineStr">
        <is>
          <t>uong_tre; total=late=counted=1, rate=100.00; taken_at=09:30.</t>
        </is>
      </c>
      <c r="G37" s="8" t="inlineStr">
        <is>
          <t>2 ca Pass trong lần chạy sau khôi phục contract, 25/10/2026. Unit; chưa thay bằng chứng API/DB. Lượt P7 chạy lại toàn backend integration: nhóm history API/PEP 66 Pass/2 Fail, TC20 vẫn Fail ở hai grouping; các ca khác trong nhóm này giữ kết quả. evidence/test-p7-integration.log/xml.</t>
        </is>
      </c>
      <c r="H37" s="7" t="inlineStr">
        <is>
          <t>Pass</t>
        </is>
      </c>
      <c r="I37" s="8" t="inlineStr">
        <is>
          <t>PB21 · AC3 · Chuyển trạng thái (đồng bộ muộn) · test_valid_confirmation_synced_after_deadline_still_counts__AC3 · evidence/test-contract-unit.log/xml · Retest evidence/test-p7-integration.log/xml</t>
        </is>
      </c>
    </row>
    <row r="38" ht="156.5" customHeight="1">
      <c r="A38" s="7" t="inlineStr">
        <is>
          <t>TC-FADH-30</t>
        </is>
      </c>
      <c r="B38" s="7" t="inlineStr">
        <is>
          <t>Phân nhóm và tính tỷ lệ 80% trên DB thật</t>
        </is>
      </c>
      <c r="C38" s="8" t="inlineStr">
        <is>
          <t>DB Supabase local reset sạch; dùng fixture history_data; patient P có health_data; family F liên kết active, sharing=true và family_sharing của P còn hiệu lực.</t>
        </is>
      </c>
      <c r="D38" s="8" t="inlineStr">
        <is>
          <t>1. Tạo patient/family và lịch 08:00 qua fixture history_data.
2. Gọi GET /adherence?patient_id=P&amp;from=2026-10-19&amp;to=2026-10-19 bằng app session của F.
3. Đối chiếu response, dose_logs và access_logs bằng assertion của test nêu ở Comments.</t>
        </is>
      </c>
      <c r="E38" s="8" t="inlineStr">
        <is>
          <t>3 taken,1 late,1 missed; hai thuốc trùng tên khác ID</t>
        </is>
      </c>
      <c r="F38" s="8" t="inlineStr">
        <is>
          <t>Hai kiểu nhóm có tổng 5, counted=5,rate=80; ID thuốc không bị gộp nhầm; no-store, allowed và DB không đổi.</t>
        </is>
      </c>
      <c r="G3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8" s="7" t="inlineStr">
        <is>
          <t>Pass</t>
        </is>
      </c>
      <c r="I38" s="8" t="inlineStr">
        <is>
          <t>PB21 · AC1,AC2,AC3 · EP (1) · test_patient_history_by_date_medication_groups_and_80_percent · evidence/test-contract-history-final.log/xml · Retest evidence/test-p7-integration.log/xml</t>
        </is>
      </c>
    </row>
    <row r="39" ht="156.5" customHeight="1">
      <c r="A39" s="7" t="inlineStr">
        <is>
          <t>TC-FADH-31</t>
        </is>
      </c>
      <c r="B39" s="7" t="inlineStr">
        <is>
          <t>Giữ đúng ngày Việt Nam qua nửa đêm</t>
        </is>
      </c>
      <c r="C39" s="8" t="inlineStr">
        <is>
          <t>DB Supabase local reset sạch; dùng fixture history_data; patient P có health_data; family F liên kết active, sharing=true và family_sharing của P còn hiệu lực.</t>
        </is>
      </c>
      <c r="D39" s="8" t="inlineStr">
        <is>
          <t>1. Tạo patient/family và lịch 08:00 qua fixture history_data.
2. Gọi GET /adherence?patient_id=P&amp;from=2026-10-19&amp;to=2026-10-19 bằng app session của F.
3. Đối chiếu response, dose_logs và access_logs bằng assertion của test nêu ở Comments.</t>
        </is>
      </c>
      <c r="E39" s="8" t="inlineStr">
        <is>
          <t>Lịch và xác nhận hai phía 00:00 Asia/Ho_Chi_Minh</t>
        </is>
      </c>
      <c r="F39" s="8" t="inlineStr">
        <is>
          <t>Nhóm theo ngày scheduled_at ở Việt Nam, thứ tự ngày đúng, không nhân đôi liều.</t>
        </is>
      </c>
      <c r="G3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9" s="7" t="inlineStr">
        <is>
          <t>Pass</t>
        </is>
      </c>
      <c r="I39" s="8" t="inlineStr">
        <is>
          <t>PB21 · AC2 · BVA (ngày) · test_scheduled_date_across_midnight · evidence/test-contract-history-final.log/xml · Retest evidence/test-p7-integration.log/xml</t>
        </is>
      </c>
    </row>
    <row r="40" ht="74" customHeight="1">
      <c r="A40" s="7" t="inlineStr">
        <is>
          <t>TC-FADH-32</t>
        </is>
      </c>
      <c r="B40" s="7" t="inlineStr">
        <is>
          <t>Chấp nhận khoảng ngày 90 và chặn 91 ngày</t>
        </is>
      </c>
      <c r="C40" s="8" t="inlineStr">
        <is>
          <t>Unit resolve_range; không có DB.</t>
        </is>
      </c>
      <c r="D40" s="8" t="inlineStr">
        <is>
          <t>1. Chạy tests/unit/test_adherence_history.py::test_inclusive_90_allowed_91_rejected.</t>
        </is>
      </c>
      <c r="E40" s="8" t="inlineStr">
        <is>
          <t>Khoảng bao gồm hai đầu dài 90 và 91 ngày</t>
        </is>
      </c>
      <c r="F40" s="8" t="inlineStr">
        <is>
          <t>90 được chấp nhận; 91 bị từ chối.</t>
        </is>
      </c>
      <c r="G40" s="8" t="inlineStr">
        <is>
          <t>1 ca Pass trong lần chạy sau khôi phục contract, 25/10/2026. Unit; chưa thay bằng chứng API/DB.</t>
        </is>
      </c>
      <c r="H40" s="7" t="inlineStr">
        <is>
          <t>Pass</t>
        </is>
      </c>
      <c r="I40" s="8" t="inlineStr">
        <is>
          <t>PB21 · AC2 · BVA (max,max+1) · test_inclusive_90_allowed_91_rejected · evidence/test-contract-unit.log/xml</t>
        </is>
      </c>
    </row>
    <row r="41" ht="156.5" customHeight="1">
      <c r="A41" s="7" t="inlineStr">
        <is>
          <t>TC-FADH-33</t>
        </is>
      </c>
      <c r="B41" s="7" t="inlineStr">
        <is>
          <t>Không tạo trùng khi sync lại cùng client_uuid</t>
        </is>
      </c>
      <c r="C41" s="8" t="inlineStr">
        <is>
          <t>DB Supabase local reset sạch; dùng fixture history_data; patient P có health_data; family F liên kết active, sharing=true và family_sharing của P còn hiệu lực.</t>
        </is>
      </c>
      <c r="D41" s="8" t="inlineStr">
        <is>
          <t>1. Chạy backend/tests/integration/test_adherence_history_api.py::test_late_sync_worker_log_and_retry_keep_one_occurrence__AC15_AC20.
2. Kiểm một occurrence, client_uuid và status sau Worker + retry.</t>
        </is>
      </c>
      <c r="E41" s="8" t="inlineStr">
        <is>
          <t>taken +90; sync sau +120; cùng client_uuid hai lần</t>
        </is>
      </c>
      <c r="F41" s="8" t="inlineStr">
        <is>
          <t>Một dose_log và một occurrence; giữ xác nhận hợp lệ; lịch sử phản ánh liều trễ.</t>
        </is>
      </c>
      <c r="G4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1" s="7" t="inlineStr">
        <is>
          <t>Pass</t>
        </is>
      </c>
      <c r="I41" s="8" t="inlineStr">
        <is>
          <t>PB21 · AC2,AC3 · Đoán lỗi (idempotency) · test_late_sync_worker_log_and_retry_keep_one_occurrence · evidence/test-contract-history-final.log/xml · Retest evidence/test-p7-integration.log/xml</t>
        </is>
      </c>
    </row>
    <row r="42" ht="156.5" customHeight="1">
      <c r="A42" s="7" t="inlineStr">
        <is>
          <t>TC-FADH-34</t>
        </is>
      </c>
      <c r="B42" s="7" t="inlineStr">
        <is>
          <t>Giữ xác nhận khi Worker chạy đua</t>
        </is>
      </c>
      <c r="C42" s="8" t="inlineStr">
        <is>
          <t>DB Supabase local reset sạch; dùng fixture history_data; patient P có health_data; family F liên kết active, sharing=true và family_sharing của P còn hiệu lực.</t>
        </is>
      </c>
      <c r="D42" s="8" t="inlineStr">
        <is>
          <t>1. Chạy backend/tests/integration/test_adherence_history_api.py::test_worker_insert_races_with_valid_late_confirmation__AC15_AC20_AC22.
2. Thử worker/confirmation ghi trước; kiểm một liều và trạng thái cuối.</t>
        </is>
      </c>
      <c r="E42" s="8" t="inlineStr">
        <is>
          <t>first_writer=worker/confirmation; taken hợp lệ +90</t>
        </is>
      </c>
      <c r="F42" s="8" t="inlineStr">
        <is>
          <t>Một occurrence/dose_log; uong_tre; không ghi đè xác nhận hợp lệ.</t>
        </is>
      </c>
      <c r="G42" s="8" t="inlineStr">
        <is>
          <t>2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2" s="7" t="inlineStr">
        <is>
          <t>Pass</t>
        </is>
      </c>
      <c r="I42" s="8" t="inlineStr">
        <is>
          <t>PB21 · AC2,AC3 · Đoán lỗi (race) · test_worker_insert_races_with_valid_late_confirmation · evidence/test-contract-history-final.log/xml · Retest evidence/test-p7-integration.log/xml</t>
        </is>
      </c>
    </row>
    <row r="43" ht="222.5" customHeight="1">
      <c r="A43" s="7" t="inlineStr">
        <is>
          <t>TC-FADH-35</t>
        </is>
      </c>
      <c r="B43" s="7" t="inlineStr">
        <is>
          <t>Kiểm biên xác nhận ngay trước −30 phút</t>
        </is>
      </c>
      <c r="C43" s="8" t="inlineStr">
        <is>
          <t>Supabase local; patient P có health_data và lịch schedule_id=S ngày 19/10/2026 lúc 08:00 +07; chưa có dose_log cho occurrence; đồng hồ test cố định sau taken_at; dùng bearer của P để xác nhận, không dùng family F.</t>
        </is>
      </c>
      <c r="D43" s="8" t="inlineStr">
        <is>
          <t>1. Ghi số dose_logs của (S, 2026-10-19T08:00:00+07:00) trước khi gọi API.
2. POST /doses/batch bằng bearer P với JSON array gồm một item: client_uuid=UUID v4 mới, schedule_id=S, scheduled_at=2026-10-19T08:00:00+07:00, taken_at=2026-10-19T07:29:59.999999+07:00.
3. Kiểm item bị từ chối theo cửa sổ QD-03; đối chiếu response với contract chuẩn khi có.
4. Đọc DB: không có xác nhận hợp lệ mới, số dose_logs của occurrence không tăng. GET lịch sử một mình không thay thế thao tác POST xác nhận này.</t>
        </is>
      </c>
      <c r="E43" s="8" t="inlineStr">
        <is>
          <t>scheduled=08:00; taken=07:29:59.999999 +07</t>
        </is>
      </c>
      <c r="F43" s="8" t="inlineStr">
        <is>
          <t>Bị từ chối theo cửa sổ xác nhận QD-03; không tạo xác nhận hợp lệ.</t>
        </is>
      </c>
      <c r="G43" s="8" t="inlineStr">
        <is>
          <t>Hai cách nhóm date/medication Pass trên API/DB thật. POST batch trả 200, item failed=1/taken_at_too_early; không tạo dose_log; family GET trả lịch sử rỗng, audit allowed. Lượt P7 chạy lại toàn backend integration: nhóm history API/PEP 66 Pass/2 Fail, TC20 vẫn Fail ở hai grouping; các ca khác trong nhóm này giữ kết quả. evidence/test-p7-integration.log/xml.</t>
        </is>
      </c>
      <c r="H43" s="7" t="inlineStr">
        <is>
          <t>Pass</t>
        </is>
      </c>
      <c r="I43" s="8" t="inlineStr">
        <is>
          <t>PB21 · AC2,AC3 · BVA (min-1) · test_family_confirmation_adjacent_boundaries__AC2_AC3[before-early-window] · evidence/test-contract-history-final.log/xml · Retest evidence/test-p7-integration.log/xml</t>
        </is>
      </c>
    </row>
    <row r="44" ht="173" customHeight="1">
      <c r="A44" s="7" t="inlineStr">
        <is>
          <t>TC-FADH-36</t>
        </is>
      </c>
      <c r="B44" s="7" t="inlineStr">
        <is>
          <t>Kiểm biên ngay trước +30 phút</t>
        </is>
      </c>
      <c r="C44" s="8" t="inlineStr">
        <is>
          <t>DB Supabase local reset sạch; dùng fixture history_data; patient P có health_data; family F liên kết active, sharing=true và family_sharing của P còn hiệu lực.</t>
        </is>
      </c>
      <c r="D44" s="8" t="inlineStr">
        <is>
          <t>1. Tạo patient/family và lịch 08:00 qua fixture history_data.
2. Dùng bearer P POST /doses/batch: client_uuid mới, schedule_id=S, scheduled_at=08:00, taken_at=08:29:59.999999 +07; đồng hồ test bằng taken_at; kiểm item synced/da_uong.
3. Gọi GET /adherence?patient_id=P&amp;from=2026-10-19&amp;to=2026-10-19 bằng app session của F.
4. Đối chiếu response, dose_logs và access_logs bằng assertion của test nêu ở Comments.</t>
        </is>
      </c>
      <c r="E44" s="8" t="inlineStr">
        <is>
          <t>scheduled=08:00; taken=08:29:59.999999 +07</t>
        </is>
      </c>
      <c r="F44" s="8" t="inlineStr">
        <is>
          <t>da_uong; tỷ lệ có liều hợp lệ ngay khi xác nhận.</t>
        </is>
      </c>
      <c r="G44" s="8" t="inlineStr">
        <is>
          <t>Hai cách nhóm date/medication Pass trên API/DB thật. POST xác nhận 08:29:59.999999 hợp lệ; family GET có một da_uong, counted=1/rate=100 ngay, audit allowed; GET không đổi dose_log. Lượt P7 chạy lại toàn backend integration: nhóm history API/PEP 66 Pass/2 Fail, TC20 vẫn Fail ở hai grouping; các ca khác trong nhóm này giữ kết quả. evidence/test-p7-integration.log/xml.</t>
        </is>
      </c>
      <c r="H44" s="7" t="inlineStr">
        <is>
          <t>Pass</t>
        </is>
      </c>
      <c r="I44" s="8" t="inlineStr">
        <is>
          <t>PB21 · AC2,AC3 · BVA (+30-1) · test_family_confirmation_adjacent_boundaries__AC2_AC3[before-on-time-deadline] · evidence/test-contract-history-final.log/xml · Retest evidence/test-p7-integration.log/xml</t>
        </is>
      </c>
    </row>
    <row r="45" ht="123.5" customHeight="1">
      <c r="A45" s="7" t="inlineStr">
        <is>
          <t>TC-FADH-37</t>
        </is>
      </c>
      <c r="B45" s="7" t="inlineStr">
        <is>
          <t>Loại liều hủy và biểu diễn xung đột/đối soát</t>
        </is>
      </c>
      <c r="C45" s="8" t="inlineStr">
        <is>
          <t>DB Supabase local reset sạch; dùng fixture history_data; patient P có health_data; family F liên kết active, sharing=true và family_sharing của P còn hiệu lực.</t>
        </is>
      </c>
      <c r="D45" s="8" t="inlineStr">
        <is>
          <t>1. Đối chiếu contract 3.23 với QD-42.
2. Khi schema hỗ trợ, tạo liều hủy/xung đột/đối soát theo fixture thật.
3. Gọi GET /adherence?patient_id=P&amp;from=2026-10-19&amp;to=2026-10-19 bằng app session của F.
4. Đối chiếu response, dose_logs và access_logs bằng assertion của test nêu ở Comments.</t>
        </is>
      </c>
      <c r="E45" s="8" t="inlineStr">
        <is>
          <t>Liều hủy; liều xung đột; liều đối soát</t>
        </is>
      </c>
      <c r="F45" s="8" t="inlineStr">
        <is>
          <t>Loại liều hủy; nhãn tạm thời, tính lại và thời điểm/phiên bản cập nhật theo QD-42 được đặc tả và kiểm chứng.</t>
        </is>
      </c>
      <c r="G45" s="8" t="inlineStr"/>
      <c r="H45" s="7" t="inlineStr">
        <is>
          <t>Pending</t>
        </is>
      </c>
      <c r="I45" s="8" t="inlineStr">
        <is>
          <t>PB21 · AC8 · Chuyển trạng thái (đối soát) · Pending: dữ liệu/field đối soát chưa được đặc tả; không tạo oracle giả.</t>
        </is>
      </c>
    </row>
    <row r="46" ht="107" customHeight="1">
      <c r="A46" s="7" t="inlineStr">
        <is>
          <t>TC-FADH-38</t>
        </is>
      </c>
      <c r="B46" s="7" t="inlineStr">
        <is>
          <t>Kiểm tỷ lệ đúng giờ riêng theo QD-42</t>
        </is>
      </c>
      <c r="C46" s="8" t="inlineStr">
        <is>
          <t>DB Supabase local reset sạch; dùng fixture history_data; patient P có health_data; family F liên kết active, sharing=true và family_sharing của P còn hiệu lực.</t>
        </is>
      </c>
      <c r="D46" s="8" t="inlineStr">
        <is>
          <t>1. Đọc định nghĩa tử số/mẫu số và field trong contract 3.23.
2. Tạo liều đúng giờ, trễ, pending và missed; GET /adherence.
3. So tỷ lệ với công thức đã chốt.</t>
        </is>
      </c>
      <c r="E46" s="8" t="inlineStr">
        <is>
          <t>1 taken,1 late,1 missed,1 pending</t>
        </is>
      </c>
      <c r="F46" s="8" t="inlineStr">
        <is>
          <t>Có công thức và response biểu diễn tỷ lệ đúng giờ riêng đã được chủ sở hữu chốt.</t>
        </is>
      </c>
      <c r="G46" s="8" t="inlineStr"/>
      <c r="H46" s="7" t="inlineStr">
        <is>
          <t>Pending</t>
        </is>
      </c>
      <c r="I46" s="8" t="inlineStr">
        <is>
          <t>PB21 · AC8 · EP (2,3) · Pending: Contract /adherence đã khôi phục nhưng chưa biểu diễn tỷ lệ đúng giờ riêng; không suy ra công thức.</t>
        </is>
      </c>
    </row>
    <row r="47" ht="239" customHeight="1">
      <c r="A47" s="7" t="inlineStr">
        <is>
          <t>TC-FADH-39</t>
        </is>
      </c>
      <c r="B47" s="7" t="inlineStr">
        <is>
          <t>Xóa dữ liệu phiên khi đổi bệnh nhân</t>
        </is>
      </c>
      <c r="C47" s="8" t="inlineStr">
        <is>
          <t>Thiết bị Android test package riêng; production UI 3.24 đã có; family F đã mở lịch sử P bằng local API/DB.</t>
        </is>
      </c>
      <c r="D47" s="8" t="inlineStr">
        <is>
          <t>1. Mở app test và chọn P trong Người thân.
2. Mở lịch sử, xác nhận có liều.
3. Thực hiện đổi bệnh nhân.
4. Kiểm không hiển thị dữ liệu cũ, không lưu bền, response cũ không phục hồi dữ liệu.</t>
        </is>
      </c>
      <c r="E47" s="8" t="inlineStr">
        <is>
          <t>P có liều 08:00; Q không có dữ liệu của P; sự kiện=đổi bệnh nhân</t>
        </is>
      </c>
      <c r="F47" s="8" t="inlineStr">
        <is>
          <t>Dữ liệu sức khỏe cũ bị xóa khỏi RAM/UI; không có cache bền; không phục hồi bởi response đến muộn.</t>
        </is>
      </c>
      <c r="G47" s="8" t="inlineStr"/>
      <c r="H47" s="7" t="inlineStr">
        <is>
          <t>Pending</t>
        </is>
      </c>
      <c r="I47" s="8" t="inlineStr">
        <is>
          <t>PB21 · AC6 · Chuyển trạng thái (session) · manual · Pending: Android emulator-5580 đã chạy production route với local API/DB thật: linked Pass, revoke hai lần Pass, cross_patient Pass; chưa kiểm thao tác selector UI chính và cache bền. Lượt đầu revoke có handshake Fail chưa xác định nguyên nhân, giữ log đỏ. evidence/test-p7-android.log; evidence/test-p7-android-revoke-diagnostic.log; evidence/test-p7-android-final.log</t>
        </is>
      </c>
    </row>
    <row r="48" ht="189.5" customHeight="1">
      <c r="A48" s="7" t="inlineStr">
        <is>
          <t>TC-FADH-40</t>
        </is>
      </c>
      <c r="B48" s="7" t="inlineStr">
        <is>
          <t>Xóa dữ liệu phiên khi mất mạng</t>
        </is>
      </c>
      <c r="C48" s="8" t="inlineStr">
        <is>
          <t>Widget test production FamilyAdherenceScreen/DrugTimeApp; repository cấp fixture thuốc giả; đã kiểm Thuốc A hiện trước trigger. Không phải Android/API thật.</t>
        </is>
      </c>
      <c r="D48" s="8" t="inlineStr">
        <is>
          <t>1. Chạy family_adherence_screen_test.dart bằng flutter test.
2. Load lịch sử, kiểm Thuốc A đang hiện.
3. Emit false qua ConnectivityMonitor do app đăng ký; pump UI.
4. Kiểm không còn text Thuốc A, kể cả offstage.
5. Emit true để online lại; kiểm có request mới và chưa hiện dữ liệu cũ.
6. Hoàn tất request mới bằng denied; kiểm thông báo Không còn quyền xem lịch sử.</t>
        </is>
      </c>
      <c r="E48" s="8" t="inlineStr">
        <is>
          <t>Fixture thuốc giả Thuốc A; ngày VN hiện tại của route app.</t>
        </is>
      </c>
      <c r="F48" s="8" t="inlineStr">
        <is>
          <t>Sau mất mạng, dữ liệu sức khỏe cũ biến mất ngay khỏi UI, kể cả offstage.</t>
        </is>
      </c>
      <c r="G48" s="8" t="inlineStr">
        <is>
          <t>Pass trên frontend 46275fa: offline xóa toàn bộ Text Thuốc A kể cả offstage; online lại tạo GET mới, chưa hiển thị dữ liệu cũ; phản hồi denied hiện Không còn quyền xem lịch sử. Widget test, chưa xác minh lifecycle Android/API thật.</t>
        </is>
      </c>
      <c r="H48" s="7" t="inlineStr">
        <is>
          <t>Pass</t>
        </is>
      </c>
      <c r="I48" s="8" t="inlineStr">
        <is>
          <t>PB21 · AC6 · Chuyển trạng thái (session) · unit/widget · AC6 QD-29: offline removes health data · BUG-3.25-02 đã xác nhận fix ở widget; native OS Pending · evidence/test-bug02-family-mobile.jsonl</t>
        </is>
      </c>
    </row>
    <row r="49" ht="255.5" customHeight="1">
      <c r="A49" s="7" t="inlineStr">
        <is>
          <t>TC-FADH-41</t>
        </is>
      </c>
      <c r="B49" s="7" t="inlineStr">
        <is>
          <t>Xóa dữ liệu phiên khi đưa app vào nền</t>
        </is>
      </c>
      <c r="C49" s="8" t="inlineStr">
        <is>
          <t>Widget test production FamilyAdherenceScreen/DrugTimeApp; repository cấp fixture thuốc giả; đã kiểm Thuốc A hiện trước trigger. Không phải Android/API thật.</t>
        </is>
      </c>
      <c r="D49" s="8" t="inlineStr">
        <is>
          <t>1. Chạy family_adherence_screen_test.dart bằng flutter test.
2. Load lịch sử, kiểm Thuốc A đang hiện.
3. Phát inactive → hidden → paused rồi pump một frame.
4. Kiểm không còn text Thuốc A, kể cả offstage.
5. Resume để bắt đầu request mới, đưa app về paused và hoàn tất response cũ; kiểm không có Thuốc A.
6. Refresh trong paused; kiểm không phát sinh GET.
7. Resume lần nữa; kiểm có request mới, trả denied và kiểm thông báo Không còn quyền xem lịch sử.</t>
        </is>
      </c>
      <c r="E49" s="8" t="inlineStr">
        <is>
          <t>Fixture thuốc giả Thuốc A; screen clock 22/10/2026; lifecycle inactive/hidden/paused.</t>
        </is>
      </c>
      <c r="F49" s="8" t="inlineStr">
        <is>
          <t>Sau vào nền, dữ liệu sức khỏe cũ biến mất ngay khỏi UI, kể cả offstage.</t>
        </is>
      </c>
      <c r="G49" s="8" t="inlineStr">
        <is>
          <t>Pass trên frontend 46275fa: inactive/hidden/paused xóa toàn bộ Text Thuốc A kể cả offstage; response thành công tới muộn không khôi phục dữ liệu; refresh khi paused không gọi thêm GET; resumed gọi lại và denied không hiện dữ liệu cũ. Widget test, chưa xác minh lifecycle Android thật.</t>
        </is>
      </c>
      <c r="H49" s="7" t="inlineStr">
        <is>
          <t>Pass</t>
        </is>
      </c>
      <c r="I49" s="8" t="inlineStr">
        <is>
          <t>PB21 · AC6 · Chuyển trạng thái (session) · unit/widget · AC6 QD-29: background removes health data · BUG-3.25-02 đã xác nhận fix ở widget; native OS Pending · evidence/test-bug02-family-mobile.jsonl</t>
        </is>
      </c>
    </row>
    <row r="50" ht="222.5" customHeight="1">
      <c r="A50" s="7" t="inlineStr">
        <is>
          <t>TC-FADH-42</t>
        </is>
      </c>
      <c r="B50" s="7" t="inlineStr">
        <is>
          <t>Xóa dữ liệu phiên khi đăng xuất</t>
        </is>
      </c>
      <c r="C50" s="8" t="inlineStr">
        <is>
          <t>Thiết bị Android test package riêng; production UI 3.24 đã có; family F đã mở lịch sử P bằng local API/DB.</t>
        </is>
      </c>
      <c r="D50" s="8" t="inlineStr">
        <is>
          <t>1. Mở app test và chọn P trong Người thân.
2. Mở lịch sử, xác nhận có liều.
3. Thực hiện đăng xuất.
4. Kiểm không hiển thị dữ liệu cũ, không lưu bền, response cũ không phục hồi dữ liệu.</t>
        </is>
      </c>
      <c r="E50" s="8" t="inlineStr">
        <is>
          <t>P có liều 08:00; Q không có dữ liệu của P; sự kiện=đăng xuất</t>
        </is>
      </c>
      <c r="F50" s="8" t="inlineStr">
        <is>
          <t>Dữ liệu sức khỏe cũ bị xóa khỏi RAM/UI; không có cache bền; không phục hồi bởi response đến muộn.</t>
        </is>
      </c>
      <c r="G50" s="8" t="inlineStr"/>
      <c r="H50" s="7" t="inlineStr">
        <is>
          <t>Pending</t>
        </is>
      </c>
      <c r="I50" s="8" t="inlineStr">
        <is>
          <t>PB21 · AC6 · Chuyển trạng thái (session) · manual · Pending: Android emulator-5580 đã chạy production route với local API/DB thật: linked Pass, revoke hai lần Pass, cross_patient Pass; chưa kiểm logout trên Android. Lượt đầu revoke có handshake Fail chưa xác định nguyên nhân, giữ log đỏ. evidence/test-p7-android.log; evidence/test-p7-android-revoke-diagnostic.log; evidence/test-p7-android-final.log</t>
        </is>
      </c>
    </row>
    <row r="51" ht="255.5" customHeight="1">
      <c r="A51" s="7" t="inlineStr">
        <is>
          <t>TC-FADH-43</t>
        </is>
      </c>
      <c r="B51" s="7" t="inlineStr">
        <is>
          <t>Xóa dữ liệu phiên khi nhận 403</t>
        </is>
      </c>
      <c r="C51" s="8" t="inlineStr">
        <is>
          <t>Thiết bị Android test package riêng; production UI 3.24 đã có; family F đã mở lịch sử P bằng local API/DB.</t>
        </is>
      </c>
      <c r="D51" s="8" t="inlineStr">
        <is>
          <t>1. Mở app test và chọn P trong Người thân.
2. Mở lịch sử, xác nhận có liều.
3. Thực hiện nhận 403.
4. Kiểm không hiển thị dữ liệu cũ, không lưu bền, response cũ không phục hồi dữ liệu.</t>
        </is>
      </c>
      <c r="E51" s="8" t="inlineStr">
        <is>
          <t>P có liều 08:00; Q không có dữ liệu của P; sự kiện=nhận 403</t>
        </is>
      </c>
      <c r="F51" s="8" t="inlineStr">
        <is>
          <t>Dữ liệu sức khỏe cũ bị xóa khỏi RAM/UI; không có cache bền; không phục hồi bởi response đến muộn.</t>
        </is>
      </c>
      <c r="G51" s="8" t="inlineStr"/>
      <c r="H51" s="7" t="inlineStr">
        <is>
          <t>Pending</t>
        </is>
      </c>
      <c r="I51" s="8" t="inlineStr">
        <is>
          <t>PB21 · AC6 · Chuyển trạng thái (session) · manual · Pending: Android emulator-5580 đã chạy production route với local API/DB thật: linked Pass, revoke hai lần Pass, cross_patient Pass; đã kiểm 403 trên route; chưa kiểm toàn bộ cache bền/response tới muộn trên thiết bị. Lượt đầu revoke có handshake Fail chưa xác định nguyên nhân, giữ log đỏ. evidence/test-p7-android.log; evidence/test-p7-android-revoke-diagnostic.log; evidence/test-p7-android-final.log</t>
        </is>
      </c>
    </row>
    <row r="52" ht="255.5" customHeight="1">
      <c r="A52" s="7" t="inlineStr">
        <is>
          <t>TC-FADH-44</t>
        </is>
      </c>
      <c r="B52" s="7" t="inlineStr">
        <is>
          <t>Chỉ xem lịch sử trên Mobile và chạy E2E thu hồi</t>
        </is>
      </c>
      <c r="C52" s="8" t="inlineStr">
        <is>
          <t>UI 3.24 và Android test package riêng cùng local API/DB.</t>
        </is>
      </c>
      <c r="D52" s="8" t="inlineStr">
        <is>
          <t>1. Chọn P; mở lịch sử; tìm thao tác sửa lịch/xác nhận hộ.
2. Bệnh nhân thu hồi quyền; refresh lịch sử bằng cùng phiên.
3. Đổi sang Q và kiểm không còn dữ liệu P.</t>
        </is>
      </c>
      <c r="E52" s="8" t="inlineStr">
        <is>
          <t>Family F; linked P; unlinked Q</t>
        </is>
      </c>
      <c r="F52" s="8" t="inlineStr">
        <is>
          <t>Không có thao tác ghi hộ; request sau thu hồi 403, không còn dữ liệu cũ; DB có denied.</t>
        </is>
      </c>
      <c r="G52" s="8" t="inlineStr"/>
      <c r="H52" s="7" t="inlineStr">
        <is>
          <t>Pending</t>
        </is>
      </c>
      <c r="I52" s="8" t="inlineStr">
        <is>
          <t>PB21 · AC1,AC4,AC5,AC6 · manual/E2E · Pending: Android emulator-5580 đã chạy production route với local API/DB thật: linked Pass, revoke hai lần Pass, cross_patient Pass; đã kiểm route read-only/revoke/cross-patient; chưa kiểm chọn patient từ UI chính. Lượt đầu revoke có handshake Fail chưa xác định nguyên nhân, giữ log đỏ. evidence/test-p7-android.log; evidence/test-p7-android-revoke-diagnostic.log; evidence/test-p7-android-final.log</t>
        </is>
      </c>
    </row>
    <row r="53" ht="206" customHeight="1">
      <c r="A53" s="7" t="inlineStr">
        <is>
          <t>TC-FADH-45</t>
        </is>
      </c>
      <c r="B53" s="7" t="inlineStr">
        <is>
          <t>Truy vết PB21 và gộp test case tổng</t>
        </is>
      </c>
      <c r="C53" s="8" t="inlineStr">
        <is>
          <t>Báo cáo test và workbook đã được dựng bằng script chuẩn.</t>
        </is>
      </c>
      <c r="D53" s="8" t="inlineStr">
        <is>
          <t>1. Đối chiếu AC1–AC9 với test, XML và log.
2. Chạy testcase_xlsx.py validate/build/merge 3.25.
3. So sheet cũ và đếm trạng thái/Bug Report; đọc báo cáo để phân biệt lỗi với Pending.</t>
        </is>
      </c>
      <c r="E53" s="8" t="inlineStr">
        <is>
          <t>PB21; code FADH; task 3.25</t>
        </is>
      </c>
      <c r="F53" s="8" t="inlineStr">
        <is>
          <t>Mỗi AC có ca; một sheet FADH; các sheet chức năng cũ giữ nguyên; Fail có bug, Pending không được báo Pass.</t>
        </is>
      </c>
      <c r="G53" s="8" t="inlineStr">
        <is>
          <t>Đối chiếu evidence P7: history integration 66 Pass/2 Fail; 19 host-runner unit Pass; ba scenario host HTTP/PEP/DB đạt; Android linked Pass, revoke hai lần Pass và cross_patient Pass. Lượt đầu revoke handshake Fail chưa rõ nguyên nhân được giữ riêng. Giữ 53 ID với 46 Pass/1 Fail/6 Pending; dựng/gộp bằng script chuẩn, 20 sheet khác giữ nguyên. Không nghiệm thu toàn PB21/OS/selector/AC8. evidence/test-p7-final-verify.log; evidence/test-p7-android-final.log.</t>
        </is>
      </c>
      <c r="H53" s="7" t="inlineStr">
        <is>
          <t>Pass</t>
        </is>
      </c>
      <c r="I53" s="8" t="inlineStr">
        <is>
          <t>PB21 · AC9 · manual (đối chiếu artifact) · evidence/test-contract-workbook-verify.log · evidence/test-contract-testcase-xlsx.log · Lượt P7 evidence/test-p7-final-verify.log</t>
        </is>
      </c>
    </row>
    <row r="54" ht="189.5" customHeight="1">
      <c r="A54" s="7" t="inlineStr">
        <is>
          <t>TC-FADH-46</t>
        </is>
      </c>
      <c r="B54" s="7" t="inlineStr">
        <is>
          <t>Gọi lại GET với patient và bearer hiện tại sau từ chối; không trả cache khi lỗi mạng</t>
        </is>
      </c>
      <c r="C54" s="8" t="inlineStr">
        <is>
          <t>Production repository/controller/widget ở frontend b24ee68; unit/widget dùng mock HTTP/repository và fixture thuốc giả, không chứng minh DB/Android.</t>
        </is>
      </c>
      <c r="D54" s="8" t="inlineStr">
        <is>
          <t>1. Chạy flutter test --no-pub --reporter json; lọc file family_adherence_* tại test/features/family.
2. Mock HTTP: GET thành công, GET 403 rồi GET lại với bearer mới; nhánh khác thành công rồi ném ClientException.
3. Đối chiếu assertion và testDone của đúng test, không tính file adherence cùng tên.</t>
        </is>
      </c>
      <c r="E54" s="8" t="inlineStr">
        <is>
          <t>Mock HTTP: GET thành công, GET 403 rồi GET lại với bearer mới; nhánh khác thành công rồi ném ClientException.</t>
        </is>
      </c>
      <c r="F54" s="8" t="inlineStr">
        <is>
          <t>Mỗi lần fetch gửi GET mới với patient_id/date/group_by và bearer hiện tại; 403/network truyền failure, không trả lịch sử cũ.</t>
        </is>
      </c>
      <c r="G54" s="8" t="inlineStr">
        <is>
          <t>2 test Pass trong phiên 25/10/2026; AC4: refetches the selected patient and current bearer after a denial; AC6: a network failure after success never returns cached history. evidence/test-contract-mobile.jsonl. Đã chạy lại nhóm 16 test trong lượt cập nhật contract: 14 Pass/2 Fail; evidence/test-contract-mobile.jsonl. Retest frontend 46275fa: nhóm family history 17 Pass/0 Fail/0 Skip; evidence/test-bug02-family-mobile.jsonl.</t>
        </is>
      </c>
      <c r="H54" s="7" t="inlineStr">
        <is>
          <t>Pass</t>
        </is>
      </c>
      <c r="I54" s="8" t="inlineStr">
        <is>
          <t>PB21 · AC4,AC6 · Đoán lỗi/Chuyển trạng thái · unit/widget · evidence/test-contract-mobile.jsonl · Retest evidence/test-bug02-family-mobile.jsonl</t>
        </is>
      </c>
    </row>
    <row r="55" ht="189.5" customHeight="1">
      <c r="A55" s="7" t="inlineStr">
        <is>
          <t>TC-FADH-47</t>
        </is>
      </c>
      <c r="B55" s="7" t="inlineStr">
        <is>
          <t>Từ chối response thuộc patient khác ở repository và controller</t>
        </is>
      </c>
      <c r="C55" s="8" t="inlineStr">
        <is>
          <t>Production repository/controller/widget ở frontend b24ee68; unit/widget dùng mock HTTP/repository và fixture thuốc giả, không chứng minh DB/Android.</t>
        </is>
      </c>
      <c r="D55" s="8" t="inlineStr">
        <is>
          <t>1. Chạy flutter test --no-pub --reporter json; lọc file family_adherence_* tại test/features/family.
2. Request Q nhưng HTTP/reader cấp response P; UUID P và Q khác nhau.
3. Đối chiếu assertion và testDone của đúng test, không tính file adherence cùng tên.</t>
        </is>
      </c>
      <c r="E55" s="8" t="inlineStr">
        <is>
          <t>Request Q nhưng HTTP/reader cấp response P; UUID P và Q khác nhau.</t>
        </is>
      </c>
      <c r="F55" s="8" t="inlineStr">
        <is>
          <t>Repository ném invalidResponse; controller không giữ history P.</t>
        </is>
      </c>
      <c r="G55" s="8" t="inlineStr">
        <is>
          <t>2 test Pass trong phiên 25/10/2026; AC4: a response for P cannot satisfy a request for Q; AC4: the controller also rejects a mismatched patient from its reader. evidence/test-contract-mobile.jsonl. Đã chạy lại nhóm 16 test trong lượt cập nhật contract: 14 Pass/2 Fail; evidence/test-contract-mobile.jsonl. Retest frontend 46275fa: nhóm family history 17 Pass/0 Fail/0 Skip; evidence/test-bug02-family-mobile.jsonl.</t>
        </is>
      </c>
      <c r="H55" s="7" t="inlineStr">
        <is>
          <t>Pass</t>
        </is>
      </c>
      <c r="I55" s="8" t="inlineStr">
        <is>
          <t>PB21 · AC4,AC6 · Đoán lỗi/Chuyển trạng thái · unit/widget · evidence/test-contract-mobile.jsonl · Retest evidence/test-bug02-family-mobile.jsonl</t>
        </is>
      </c>
    </row>
    <row r="56" ht="305" customHeight="1">
      <c r="A56" s="7" t="inlineStr">
        <is>
          <t>TC-FADH-48</t>
        </is>
      </c>
      <c r="B56" s="7" t="inlineStr">
        <is>
          <t>Hủy response cũ khi refresh, đổi patient hoặc clear controller</t>
        </is>
      </c>
      <c r="C56" s="8" t="inlineStr">
        <is>
          <t>Production repository/controller/widget ở frontend b24ee68; unit/widget dùng mock HTTP/repository và fixture thuốc giả, không chứng minh DB/Android.</t>
        </is>
      </c>
      <c r="D56" s="8" t="inlineStr">
        <is>
          <t>1. Chạy flutter test --no-pub --reporter json; lọc file family_adherence_* tại test/features/family.
2. Completer điều khiển thứ tự: load P; hai refresh cạnh tranh hoặc đổi sang Q hoặc clear; hoàn tất response cũ sau failure/response mới.
3. Đối chiếu assertion và testDone của đúng test, không tính file adherence cùng tên.</t>
        </is>
      </c>
      <c r="E56" s="8" t="inlineStr">
        <is>
          <t>Completer điều khiển thứ tự: load P; hai refresh cạnh tranh hoặc đổi sang Q hoặc clear; hoàn tất response cũ sau failure/response mới.</t>
        </is>
      </c>
      <c r="F56" s="8" t="inlineStr">
        <is>
          <t>history bị clear ngay; denied/network/unauthorized đúng failure; response cũ không phục hồi dữ liệu; clear không tự fetch.</t>
        </is>
      </c>
      <c r="G56" s="8" t="inlineStr">
        <is>
          <t>5 test Pass trong phiên 25/10/2026; AC6: refresh clears RAM before AdherenceFailureKind.denied and accepts no stale success; AC6: refresh clears RAM before AdherenceFailureKind.network and accepts no stale success; AC6: refresh clears RAM before AdherenceFailureKind.unauthorized and accepts no stale success; AC6: switching patient clears visible history and rejects the old result; AC6: clear invalidates an in-flight read without an automatic refetch. evidence/test-contract-mobile.jsonl. Đã chạy lại nhóm 16 test trong lượt cập nhật contract: 14 Pass/2 Fail; evidence/test-contract-mobile.jsonl. Retest frontend 46275fa: nhóm family history 17 Pass/0 Fail/0 Skip; evidence/test-bug02-family-mobile.jsonl.</t>
        </is>
      </c>
      <c r="H56" s="7" t="inlineStr">
        <is>
          <t>Pass</t>
        </is>
      </c>
      <c r="I56" s="8" t="inlineStr">
        <is>
          <t>PB21 · AC6 · Đoán lỗi/Chuyển trạng thái · unit/widget · evidence/test-contract-mobile.jsonl · Retest evidence/test-bug02-family-mobile.jsonl</t>
        </is>
      </c>
    </row>
    <row r="57" ht="222.5" customHeight="1">
      <c r="A57" s="7" t="inlineStr">
        <is>
          <t>TC-FADH-49</t>
        </is>
      </c>
      <c r="B57" s="7" t="inlineStr">
        <is>
          <t>Xóa dữ liệu widget khi đổi patient hoặc refresh gặp 403/network</t>
        </is>
      </c>
      <c r="C57" s="8" t="inlineStr">
        <is>
          <t>Production repository/controller/widget ở frontend b24ee68; unit/widget dùng mock HTTP/repository và fixture thuốc giả, không chứng minh DB/Android.</t>
        </is>
      </c>
      <c r="D57" s="8" t="inlineStr">
        <is>
          <t>1. Chạy flutter test --no-pub --reporter json; lọc file family_adherence_* tại test/features/family.
2. Widget production đã load Thuốc A; đổi patientId sang Q hoặc refresh rồi trả denied/network.
3. Đối chiếu assertion và testDone của đúng test, không tính file adherence cùng tên.</t>
        </is>
      </c>
      <c r="E57" s="8" t="inlineStr">
        <is>
          <t>Widget production đã load Thuốc A; đổi patientId sang Q hoặc refresh rồi trả denied/network.</t>
        </is>
      </c>
      <c r="F57" s="8" t="inlineStr">
        <is>
          <t>Không còn Thuốc A trước khi Q hoàn tất hoặc ngay khi refresh; hiện thông báo lỗi tương ứng, không giữ dữ liệu P.</t>
        </is>
      </c>
      <c r="G57" s="8" t="inlineStr">
        <is>
          <t>3 test Pass trong phiên 25/10/2026; AC6: changing to Q removes P before the Q read completes; AC6: refresh AdherenceFailureKind.denied clears the previously displayed patient; AC6: refresh AdherenceFailureKind.network clears the previously displayed patient. evidence/test-contract-mobile.jsonl. Đã chạy lại nhóm 16 test trong lượt cập nhật contract: 14 Pass/2 Fail; evidence/test-contract-mobile.jsonl. Retest frontend 46275fa: nhóm family history 17 Pass/0 Fail/0 Skip; evidence/test-bug02-family-mobile.jsonl.</t>
        </is>
      </c>
      <c r="H57" s="7" t="inlineStr">
        <is>
          <t>Pass</t>
        </is>
      </c>
      <c r="I57" s="8" t="inlineStr">
        <is>
          <t>PB21 · AC6 · Đoán lỗi/Chuyển trạng thái · unit/widget · evidence/test-contract-mobile.jsonl · Retest evidence/test-bug02-family-mobile.jsonl</t>
        </is>
      </c>
    </row>
    <row r="58" ht="156.5" customHeight="1">
      <c r="A58" s="7" t="inlineStr">
        <is>
          <t>TC-FADH-50</t>
        </is>
      </c>
      <c r="B58" s="7" t="inlineStr">
        <is>
          <t>Xóa dữ liệu route người thân khi đăng xuất khỏi app</t>
        </is>
      </c>
      <c r="C58" s="8" t="inlineStr">
        <is>
          <t>Production repository/controller/widget ở frontend b24ee68; unit/widget dùng mock HTTP/repository và fixture thuốc giả, không chứng minh DB/Android.</t>
        </is>
      </c>
      <c r="D58" s="8" t="inlineStr">
        <is>
          <t>1. Chạy flutter test --no-pub --reporter json; lọc file family_adherence_* tại test/features/family.
2. DrugTimeApp có session family giả, mở named route lịch sử và load fixture hôm nay; gọi auth.signOut() rồi pump UI.
3. Đối chiếu assertion và testDone của đúng test, không tính file adherence cùng tên.</t>
        </is>
      </c>
      <c r="E58" s="8" t="inlineStr">
        <is>
          <t>DrugTimeApp có session family giả, mở named route lịch sử và load fixture hôm nay; gọi auth.signOut() rồi pump UI.</t>
        </is>
      </c>
      <c r="F58" s="8" t="inlineStr">
        <is>
          <t>Không còn Thuốc A, kể cả offstage, sau logout trong widget test.</t>
        </is>
      </c>
      <c r="G58" s="8" t="inlineStr">
        <is>
          <t>1 test Pass trong phiên 25/10/2026; AC6 QD-29: logout removes health data from the actual app. evidence/test-contract-mobile.jsonl. Đã chạy lại nhóm 16 test trong lượt cập nhật contract: 14 Pass/2 Fail; evidence/test-contract-mobile.jsonl. Retest frontend 46275fa: nhóm family history 17 Pass/0 Fail/0 Skip; evidence/test-bug02-family-mobile.jsonl.</t>
        </is>
      </c>
      <c r="H58" s="7" t="inlineStr">
        <is>
          <t>Pass</t>
        </is>
      </c>
      <c r="I58" s="8" t="inlineStr">
        <is>
          <t>PB21 · AC6 · Đoán lỗi/Chuyển trạng thái · unit/widget · evidence/test-contract-mobile.jsonl · Retest evidence/test-bug02-family-mobile.jsonl</t>
        </is>
      </c>
    </row>
    <row r="59" ht="156.5" customHeight="1">
      <c r="A59" s="7" t="inlineStr">
        <is>
          <t>TC-FADH-51</t>
        </is>
      </c>
      <c r="B59" s="7" t="inlineStr">
        <is>
          <t>Hiển thị lịch sử người thân chỉ đọc</t>
        </is>
      </c>
      <c r="C59" s="8" t="inlineStr">
        <is>
          <t>Production repository/controller/widget ở frontend b24ee68; unit/widget dùng mock HTTP/repository và fixture thuốc giả, không chứng minh DB/Android.</t>
        </is>
      </c>
      <c r="D59" s="8" t="inlineStr">
        <is>
          <t>1. Chạy flutter test --no-pub --reporter json; lọc file family_adherence_* tại test/features/family.
2. Mở FamilyAdherenceScreen với fixture history; không gọi backend thật.
3. Đối chiếu assertion và testDone của đúng test, không tính file adherence cùng tên.</t>
        </is>
      </c>
      <c r="E59" s="8" t="inlineStr">
        <is>
          <t>Mở FamilyAdherenceScreen với fixture history; không gọi backend thật.</t>
        </is>
      </c>
      <c r="F59" s="8" t="inlineStr">
        <is>
          <t>Hiện dữ liệu và 66.67%; không có nút Xác nhận/Sửa hoặc TextField.</t>
        </is>
      </c>
      <c r="G59" s="8" t="inlineStr">
        <is>
          <t>1 test Pass trong phiên 25/10/2026; AC6: the family view has data and no dose or schedule writes. evidence/test-contract-mobile.jsonl. Đã chạy lại nhóm 16 test trong lượt cập nhật contract: 14 Pass/2 Fail; evidence/test-contract-mobile.jsonl. Retest frontend 46275fa: nhóm family history 17 Pass/0 Fail/0 Skip; evidence/test-bug02-family-mobile.jsonl.</t>
        </is>
      </c>
      <c r="H59" s="7" t="inlineStr">
        <is>
          <t>Pass</t>
        </is>
      </c>
      <c r="I59" s="8" t="inlineStr">
        <is>
          <t>PB21 · AC6 · Đoán lỗi/Chuyển trạng thái · unit/widget · evidence/test-contract-mobile.jsonl · Retest evidence/test-bug02-family-mobile.jsonl</t>
        </is>
      </c>
    </row>
    <row r="60" ht="123.5" customHeight="1">
      <c r="A60" s="7" t="inlineStr">
        <is>
          <t>TC-FADH-52</t>
        </is>
      </c>
      <c r="B60" s="7" t="inlineStr">
        <is>
          <t>Tính ngay liều xác nhận và chuyển pending sau +120 qua family API</t>
        </is>
      </c>
      <c r="C60" s="8" t="inlineStr">
        <is>
          <t>Supabase local; history_data; P có hai lịch 08:00; F linked active/sharing và đủ consent.</t>
        </is>
      </c>
      <c r="D60" s="8" t="inlineStr">
        <is>
          <t>1. P xác nhận lịch thứ nhất lúc 08:10, lịch thứ hai chưa xác nhận.
2. F GET /adherence cho P tại 08:10 và đúng 10:00, với cả group_by=date/medication.
3. Dời đồng hồ tới 10:00:00.000001, GET lại với cùng bearer; đối chiếu audit và dose_logs.</t>
        </is>
      </c>
      <c r="E60" s="8" t="inlineStr">
        <is>
          <t>scheduled=2026-10-19 08:00 +07; taken=08:10; as_of=08:10/10:00/10:00+1µs.</t>
        </is>
      </c>
      <c r="F60" s="8" t="inlineStr">
        <is>
          <t>Hai lần đầu total=2/taken=1/pending=1/counted=1/rate=100; sau +120 total=2/taken=1/missed=1/counted=2/rate=50. Mỗi GET có family allowed; không ghi dose_log.</t>
        </is>
      </c>
      <c r="G60" s="8" t="inlineStr">
        <is>
          <t>Hai ca date/medication Pass qua API/DB thật, có assertion summary/audit/dose_logs. Lượt P7 chạy lại toàn backend integration: nhóm history API/PEP 66 Pass/2 Fail, TC20 vẫn Fail ở hai grouping; các ca khác trong nhóm này giữ kết quả. evidence/test-p7-integration.log/xml.</t>
        </is>
      </c>
      <c r="H60" s="7" t="inlineStr">
        <is>
          <t>Pass</t>
        </is>
      </c>
      <c r="I60" s="8" t="inlineStr">
        <is>
          <t>PB21 · AC1,AC2,AC3 · BVA (max,max+1)/Chuyển trạng thái · test_family_history_rate_transitions__AC1_AC2_AC3 · evidence/test-contract-history-final.log/xml · Retest evidence/test-p7-integration.log/xml</t>
        </is>
      </c>
    </row>
    <row r="61" ht="173" customHeight="1">
      <c r="A61" s="7" t="inlineStr">
        <is>
          <t>TC-FADH-53</t>
        </is>
      </c>
      <c r="B61" s="7" t="inlineStr">
        <is>
          <t>Chạy collection Postman và thu hồi quyền ngay request kế tiếp</t>
        </is>
      </c>
      <c r="C61" s="8" t="inlineStr">
        <is>
          <t>FastAPI loopback chạy bằng api_role; Supabase local; dữ liệu test P/F/Q và app session mobile runtime, không ghi token vào Git.</t>
        </is>
      </c>
      <c r="D61" s="8" t="inlineStr">
        <is>
          <t>1. Chạy sáu request trong collection DrugTime-Adherence bằng environment runtime: date/medication, thiếu bearer, Q không liên kết, group sai, quá 90 ngày.
2. Với từng fixture mới, F GET P 200; commit thu hồi health_data/family_sharing/sharing/unlink.
3. Giữ nguyên bearer và GET P bằng request Chặn truy cập không có quyền; kiểm 403, audit allowed→denied và dose_logs không đổi.</t>
        </is>
      </c>
      <c r="E61" s="8" t="inlineStr">
        <is>
          <t>from=to=2026-10-19; fixture thuốc giả; 6 request đầu + 4 cặp before/after = 14 request.</t>
        </is>
      </c>
      <c r="F61" s="8" t="inlineStr">
        <is>
          <t>14 request đúng status; 75 assertion Pass; 4 request ngay sau thu hồi 403 khong_co_quyen cùng bearer; audit DB đúng actor/scope; dose_logs không đổi.</t>
        </is>
      </c>
      <c r="G61" s="8" t="inlineStr">
        <is>
          <t>9 lượt collection CLI exit 0: tổng 14 request/75 assertion Pass; kiểm DB ở 5 kịch bản Pass; report-events tắt, file bearer tạm đã xóa.</t>
        </is>
      </c>
      <c r="H61" s="7" t="inlineStr">
        <is>
          <t>Pass</t>
        </is>
      </c>
      <c r="I61" s="8" t="inlineStr">
        <is>
          <t>PB21 · AC1,AC4,AC5,AC9 · Decision Table (R1–R5)/Chuyển trạng thái · evidence/test-postman-live.log · evidence/test-postman-live-summary.json</t>
        </is>
      </c>
    </row>
    <row r="62"/>
    <row r="63"/>
    <row r="64">
      <c r="G64" s="12" t="inlineStr">
        <is>
          <t>Pass</t>
        </is>
      </c>
      <c r="H64" s="13">
        <f>COUNTIF(H9:H61,"Pass")</f>
        <v/>
      </c>
    </row>
    <row r="65">
      <c r="G65" s="12" t="inlineStr">
        <is>
          <t>Fail</t>
        </is>
      </c>
      <c r="H65" s="13">
        <f>COUNTIF(H9:H61,"Fail")</f>
        <v/>
      </c>
    </row>
    <row r="66">
      <c r="G66" s="12" t="inlineStr">
        <is>
          <t>Pending</t>
        </is>
      </c>
      <c r="H66" s="13">
        <f>COUNTIF(H9:H61,"Pending")</f>
        <v/>
      </c>
    </row>
    <row r="67">
      <c r="G67" s="12" t="inlineStr">
        <is>
          <t>Total</t>
        </is>
      </c>
      <c r="H67" s="13">
        <f>SUM(H64:H66)</f>
        <v/>
      </c>
    </row>
  </sheetData>
  <autoFilter ref="A8:I61"/>
  <conditionalFormatting sqref="H9:H61">
    <cfRule type="cellIs" priority="1" operator="equal" dxfId="0">
      <formula>"Fail"</formula>
    </cfRule>
  </conditionalFormatting>
  <dataValidations count="1">
    <dataValidation sqref="H9:H61" showDropDown="0" showInputMessage="0" showErrorMessage="0" allowBlank="0" type="list">
      <formula1>"Pass,Fail,Pending"</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W6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Phát hiện liều bỏ lỡ có xác minh (MISSVERIFY)</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c r="Q7" s="4" t="inlineStr">
        <is>
          <t>Người thân nhận cảnh báo liều đã xác minh bỏ lỡ</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TC-MISSVERIFY-01</t>
        </is>
      </c>
      <c r="B9" s="7" t="inlineStr">
        <is>
          <t>Ghi bo_lo và báo người thân khi patient đã đồng bộ sau hạn chót</t>
        </is>
      </c>
      <c r="C9" s="8" t="inlineStr">
        <is>
          <t>P có lịch 08:00 VN mọi ngày; F liên kết active, bật chia sẻ, P có consent family_sharing; F có token Android</t>
        </is>
      </c>
      <c r="D9" s="8" t="inlineStr">
        <is>
          <t>1. Đặt checkpoint của P = D + 5' (D = 10:00 VN)
2. Chạy một lượt quét Worker tại D + 6'
3. Kiểm dose_logs, notifications của F, push gửi đi, access_logs của P</t>
        </is>
      </c>
      <c r="E9" s="8" t="inlineStr">
        <is>
          <t>L = 2026-10-19 08:00 VN; cp = 10:05; now = 10:06</t>
        </is>
      </c>
      <c r="F9" s="8" t="inlineStr">
        <is>
          <t>Một dòng dose_logs bo_lo, taken_at NULL; một notifications cho F có medication_name, scheduled_at = L; một push tới token F; không có hàng chờ, không gõ cửa; access_logs của P không đổi</t>
        </is>
      </c>
      <c r="G9" s="8" t="inlineStr">
        <is>
          <t>Đúng như mong đợi</t>
        </is>
      </c>
      <c r="H9" s="7" t="inlineStr">
        <is>
          <t>Pass</t>
        </is>
      </c>
      <c r="I9" s="8" t="inlineStr">
        <is>
          <t>AC17 · EP (1,2,3) · Decision Table (R1) · test_verified_missed_creates_one_log_notification_push__AC17</t>
        </is>
      </c>
      <c r="K9" s="9" t="inlineStr">
        <is>
          <t>Checkpoint cp so với hạn chót D</t>
        </is>
      </c>
      <c r="L9" s="10" t="inlineStr">
        <is>
          <t>cp ≥ D (gồm cp = D)</t>
        </is>
      </c>
      <c r="M9" s="10" t="inlineStr">
        <is>
          <t>1</t>
        </is>
      </c>
      <c r="N9" s="10" t="inlineStr">
        <is>
          <t>cp &lt; D (gồm D − 1 µs, D − 1 s)
chưa có checkpoint</t>
        </is>
      </c>
      <c r="O9" s="10" t="inlineStr">
        <is>
          <t>4
5</t>
        </is>
      </c>
      <c r="Q9" s="10" t="inlineStr">
        <is>
          <t>Liên kết</t>
        </is>
      </c>
      <c r="R9" s="11" t="inlineStr">
        <is>
          <t>active</t>
        </is>
      </c>
      <c r="S9" s="11" t="inlineStr">
        <is>
          <t>active</t>
        </is>
      </c>
      <c r="T9" s="11" t="inlineStr">
        <is>
          <t>active</t>
        </is>
      </c>
      <c r="U9" s="11" t="inlineStr">
        <is>
          <t>pending</t>
        </is>
      </c>
      <c r="V9" s="11" t="inlineStr">
        <is>
          <t>revoked</t>
        </is>
      </c>
      <c r="W9" s="11" t="inlineStr">
        <is>
          <t>không có</t>
        </is>
      </c>
    </row>
    <row r="10" ht="74" customHeight="1">
      <c r="A10" s="7" t="inlineStr">
        <is>
          <t>TC-MISSVERIFY-02</t>
        </is>
      </c>
      <c r="B10" s="7" t="inlineStr">
        <is>
          <t>Không ghi gì khi patient chưa từng đồng bộ</t>
        </is>
      </c>
      <c r="C10" s="8" t="inlineStr">
        <is>
          <t>Như TC-01, P chưa có checkpoint</t>
        </is>
      </c>
      <c r="D10" s="8" t="inlineStr">
        <is>
          <t>1. Chạy lượt quét tại D + 1'
2. Kiểm dose_logs, notifications, hàng chờ, push</t>
        </is>
      </c>
      <c r="E10" s="8" t="inlineStr">
        <is>
          <t>cp = (không có); now = 10:01</t>
        </is>
      </c>
      <c r="F10" s="8" t="inlineStr">
        <is>
          <t>Không có dose_logs, notifications hay push cho F; liều vào missed_dose_pending_verifications; một push sync_request tới token Android của P</t>
        </is>
      </c>
      <c r="G10" s="8" t="inlineStr">
        <is>
          <t>Đúng như mong đợi</t>
        </is>
      </c>
      <c r="H10" s="7" t="inlineStr">
        <is>
          <t>Pass</t>
        </is>
      </c>
      <c r="I10" s="8" t="inlineStr">
        <is>
          <t>AC18 · AC37 · EP (5) · test_checkpoint_before_deadline_no_effect__AC18[None]</t>
        </is>
      </c>
      <c r="K10" s="9" t="inlineStr">
        <is>
          <t>Thời điểm quét now so với D</t>
        </is>
      </c>
      <c r="L10" s="10" t="inlineStr">
        <is>
          <t>now &gt; D</t>
        </is>
      </c>
      <c r="M10" s="10" t="inlineStr">
        <is>
          <t>2</t>
        </is>
      </c>
      <c r="N10" s="10" t="inlineStr">
        <is>
          <t>now = D</t>
        </is>
      </c>
      <c r="O10" s="10" t="inlineStr">
        <is>
          <t>6</t>
        </is>
      </c>
      <c r="Q10" s="10" t="inlineStr">
        <is>
          <t>Chia sẻ bật?</t>
        </is>
      </c>
      <c r="R10" s="11" t="inlineStr">
        <is>
          <t>Yes</t>
        </is>
      </c>
      <c r="S10" s="11" t="inlineStr">
        <is>
          <t>No</t>
        </is>
      </c>
      <c r="T10" s="11" t="inlineStr">
        <is>
          <t>Yes</t>
        </is>
      </c>
      <c r="U10" s="11" t="inlineStr">
        <is>
          <t>-</t>
        </is>
      </c>
      <c r="V10" s="11" t="inlineStr">
        <is>
          <t>-</t>
        </is>
      </c>
      <c r="W10" s="11" t="inlineStr">
        <is>
          <t>-</t>
        </is>
      </c>
    </row>
    <row r="11" ht="57.5" customHeight="1">
      <c r="A11" s="7" t="inlineStr">
        <is>
          <t>TC-MISSVERIFY-03</t>
        </is>
      </c>
      <c r="B11" s="7" t="inlineStr">
        <is>
          <t>Không ghi gì khi checkpoint sớm hơn hạn chót 1 giây</t>
        </is>
      </c>
      <c r="C11" s="8" t="inlineStr">
        <is>
          <t>Như TC-01</t>
        </is>
      </c>
      <c r="D11" s="8" t="inlineStr">
        <is>
          <t>1. Đặt checkpoint = D − 1 s
2. Chạy lượt quét tại D + 1'</t>
        </is>
      </c>
      <c r="E11" s="8" t="inlineStr">
        <is>
          <t>cp = 09:59:59; now = 10:01</t>
        </is>
      </c>
      <c r="F11" s="8" t="inlineStr">
        <is>
          <t>Như TC-02: không bo_lo, không cảnh báo; liều vào hàng chờ, gõ cửa P một lần</t>
        </is>
      </c>
      <c r="G11" s="8" t="inlineStr">
        <is>
          <t>Đúng như mong đợi</t>
        </is>
      </c>
      <c r="H11" s="7" t="inlineStr">
        <is>
          <t>Pass</t>
        </is>
      </c>
      <c r="I11" s="8" t="inlineStr">
        <is>
          <t>AC18 · EP (4) · test_checkpoint_before_deadline_no_effect__AC18[cp1]</t>
        </is>
      </c>
      <c r="K11" s="9" t="inlineStr">
        <is>
          <t>Trạng thái liều lúc quét</t>
        </is>
      </c>
      <c r="L11" s="10" t="inlineStr">
        <is>
          <t>chưa có dòng dose_logs</t>
        </is>
      </c>
      <c r="M11" s="10" t="inlineStr">
        <is>
          <t>3</t>
        </is>
      </c>
      <c r="N11" s="10" t="inlineStr">
        <is>
          <t>đã xác nhận (da_uong) trước khi quét</t>
        </is>
      </c>
      <c r="O11" s="10" t="inlineStr">
        <is>
          <t>7</t>
        </is>
      </c>
      <c r="Q11" s="10" t="inlineStr">
        <is>
          <t>Patient còn consent family_sharing?</t>
        </is>
      </c>
      <c r="R11" s="11" t="inlineStr">
        <is>
          <t>Yes</t>
        </is>
      </c>
      <c r="S11" s="11" t="inlineStr">
        <is>
          <t>Yes</t>
        </is>
      </c>
      <c r="T11" s="11" t="inlineStr">
        <is>
          <t>No</t>
        </is>
      </c>
      <c r="U11" s="11" t="inlineStr">
        <is>
          <t>-</t>
        </is>
      </c>
      <c r="V11" s="11" t="inlineStr">
        <is>
          <t>-</t>
        </is>
      </c>
      <c r="W11" s="11" t="inlineStr">
        <is>
          <t>-</t>
        </is>
      </c>
    </row>
    <row r="12" ht="74" customHeight="1">
      <c r="A12" s="7" t="inlineStr">
        <is>
          <t>TC-MISSVERIFY-04</t>
        </is>
      </c>
      <c r="B12" s="7" t="inlineStr">
        <is>
          <t>Xác minh liều trong hàng chờ khi patient đồng bộ muộn sau khi cursor đã đi qua</t>
        </is>
      </c>
      <c r="C12" s="8" t="inlineStr">
        <is>
          <t>Như TC-02 (liều 08:00 trong hàng chờ)</t>
        </is>
      </c>
      <c r="D12" s="8" t="inlineStr">
        <is>
          <t>1. Chạy lượt quét lúc 10:01, 13:01, 15:01 (P chưa đồng bộ)
2. Đặt checkpoint = 15:00
3. Chạy lượt quét lúc 15:15</t>
        </is>
      </c>
      <c r="E12" s="8" t="inlineStr">
        <is>
          <t>cp = 15:00 VN</t>
        </is>
      </c>
      <c r="F12" s="8" t="inlineStr">
        <is>
          <t>Ba lượt đầu: chỉ gõ cửa một lần, không bo_lo; lượt 15:15 ghi bo_lo và báo F như TC-01 dù cursor đã qua L; hàng chờ trống</t>
        </is>
      </c>
      <c r="G12" s="8" t="inlineStr">
        <is>
          <t>Đúng như mong đợi</t>
        </is>
      </c>
      <c r="H12" s="7" t="inlineStr">
        <is>
          <t>Pass</t>
        </is>
      </c>
      <c r="I12" s="8" t="inlineStr">
        <is>
          <t>AC19 · test_late_checkpoint_verifies_after_cursor_passed__AC19</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TC-MISSVERIFY-05</t>
        </is>
      </c>
      <c r="B13" s="7" t="inlineStr">
        <is>
          <t>Không báo khi xác nhận đến muộn trước checkpoint</t>
        </is>
      </c>
      <c r="C13" s="8" t="inlineStr">
        <is>
          <t>Như TC-02 (liều trong hàng chờ)</t>
        </is>
      </c>
      <c r="D13" s="8" t="inlineStr">
        <is>
          <t>1. Lúc 15:00, P gửi POST /doses/batch taken_at = 08:10
2. Đặt checkpoint = 15:00
3. Chạy lượt quét lúc 15:15</t>
        </is>
      </c>
      <c r="E13" s="8" t="inlineStr">
        <is>
          <t>taken_at = 2026-10-19T08:10:00+07:00</t>
        </is>
      </c>
      <c r="F13" s="8" t="inlineStr">
        <is>
          <t>Liều là da_uong; F không bao giờ có notifications hay push về L; hàng chờ trống</t>
        </is>
      </c>
      <c r="G13" s="8" t="inlineStr">
        <is>
          <t>Đúng như mong đợi</t>
        </is>
      </c>
      <c r="H13" s="7" t="inlineStr">
        <is>
          <t>Pass</t>
        </is>
      </c>
      <c r="I13" s="8" t="inlineStr">
        <is>
          <t>AC20 · test_late_confirmation_then_checkpoint_never_alerts__AC20</t>
        </is>
      </c>
      <c r="Q13" s="10" t="inlineStr">
        <is>
          <t>Có notifications + push (token Android)</t>
        </is>
      </c>
      <c r="R13" s="11" t="inlineStr">
        <is>
          <t>X</t>
        </is>
      </c>
      <c r="S13" s="11" t="inlineStr"/>
      <c r="T13" s="11" t="inlineStr"/>
      <c r="U13" s="11" t="inlineStr"/>
      <c r="V13" s="11" t="inlineStr"/>
      <c r="W13" s="11" t="inlineStr"/>
    </row>
    <row r="14" ht="57.5" customHeight="1">
      <c r="A14" s="7" t="inlineStr">
        <is>
          <t>TC-MISSVERIFY-06</t>
        </is>
      </c>
      <c r="B14" s="7" t="inlineStr">
        <is>
          <t>Coi checkpoint đúng bằng hạn chót là đã xác minh</t>
        </is>
      </c>
      <c r="C14" s="8" t="inlineStr">
        <is>
          <t>Như TC-01</t>
        </is>
      </c>
      <c r="D14" s="8" t="inlineStr">
        <is>
          <t>1. Đặt checkpoint = D
2. Chạy lượt quét tại D + 1'</t>
        </is>
      </c>
      <c r="E14" s="8" t="inlineStr">
        <is>
          <t>cp = 10:00:00.000000</t>
        </is>
      </c>
      <c r="F14" s="8" t="inlineStr">
        <is>
          <t>bo_lo + một cảnh báo + một push cho F</t>
        </is>
      </c>
      <c r="G14" s="8" t="inlineStr">
        <is>
          <t>Đúng như mong đợi</t>
        </is>
      </c>
      <c r="H14" s="7" t="inlineStr">
        <is>
          <t>Pass</t>
        </is>
      </c>
      <c r="I14" s="8" t="inlineStr">
        <is>
          <t>AC21 · BVA (min) · test_checkpoint_boundary_microsecond__AC21[cp0-True]</t>
        </is>
      </c>
      <c r="Q14" s="10" t="inlineStr">
        <is>
          <t>Liều vẫn bo_lo, người thân không có gì</t>
        </is>
      </c>
      <c r="R14" s="11" t="inlineStr"/>
      <c r="S14" s="11" t="inlineStr">
        <is>
          <t>X</t>
        </is>
      </c>
      <c r="T14" s="11" t="inlineStr">
        <is>
          <t>X</t>
        </is>
      </c>
      <c r="U14" s="11" t="inlineStr">
        <is>
          <t>X</t>
        </is>
      </c>
      <c r="V14" s="11" t="inlineStr">
        <is>
          <t>X</t>
        </is>
      </c>
      <c r="W14" s="11" t="inlineStr">
        <is>
          <t>X</t>
        </is>
      </c>
    </row>
    <row r="15" ht="57.5" customHeight="1">
      <c r="A15" s="7" t="inlineStr">
        <is>
          <t>TC-MISSVERIFY-07</t>
        </is>
      </c>
      <c r="B15" s="7" t="inlineStr">
        <is>
          <t>Coi checkpoint sớm hơn hạn chót 1 micro giây là chưa xác minh</t>
        </is>
      </c>
      <c r="C15" s="8" t="inlineStr">
        <is>
          <t>Như TC-01</t>
        </is>
      </c>
      <c r="D15" s="8" t="inlineStr">
        <is>
          <t>1. Đặt checkpoint = D − 1 µs
2. Chạy lượt quét tại D + 1'</t>
        </is>
      </c>
      <c r="E15" s="8" t="inlineStr">
        <is>
          <t>cp = 09:59:59.999999</t>
        </is>
      </c>
      <c r="F15" s="8" t="inlineStr">
        <is>
          <t>Không bo_lo; liều vào hàng chờ</t>
        </is>
      </c>
      <c r="G15" s="8" t="inlineStr">
        <is>
          <t>Đúng như mong đợi</t>
        </is>
      </c>
      <c r="H15" s="7" t="inlineStr">
        <is>
          <t>Pass</t>
        </is>
      </c>
      <c r="I15" s="8" t="inlineStr">
        <is>
          <t>AC21 · BVA (min-1) · test_checkpoint_boundary_microsecond__AC21[cp1-False]</t>
        </is>
      </c>
    </row>
    <row r="16" ht="57.5" customHeight="1">
      <c r="A16" s="7" t="inlineStr">
        <is>
          <t>TC-MISSVERIFY-08</t>
        </is>
      </c>
      <c r="B16" s="7" t="inlineStr">
        <is>
          <t>Chưa xử lý liều khi lượt quét chạy đúng tại hạn chót</t>
        </is>
      </c>
      <c r="C16" s="8" t="inlineStr">
        <is>
          <t>Như TC-01, cp = D + 5'</t>
        </is>
      </c>
      <c r="D16" s="8" t="inlineStr">
        <is>
          <t>1. Chạy lượt quét tại now = D
2. Chạy lượt quét tại now = D + 1 s</t>
        </is>
      </c>
      <c r="E16" s="8" t="inlineStr">
        <is>
          <t>now = 10:00:00 rồi 10:00:01</t>
        </is>
      </c>
      <c r="F16" s="8" t="inlineStr">
        <is>
          <t>Tại D: không dose_logs, không hàng chờ, không push. Tại D + 1 s: như TC-01</t>
        </is>
      </c>
      <c r="G16" s="8" t="inlineStr">
        <is>
          <t>Đúng như mong đợi</t>
        </is>
      </c>
      <c r="H16" s="7" t="inlineStr">
        <is>
          <t>Pass</t>
        </is>
      </c>
      <c r="I16" s="8" t="inlineStr">
        <is>
          <t>AC22 · EP (6) · BVA (max, max+1) · test_now_equal_deadline__AC22</t>
        </is>
      </c>
    </row>
    <row r="17" ht="41" customHeight="1">
      <c r="A17" s="7" t="inlineStr">
        <is>
          <t>TC-MISSVERIFY-09</t>
        </is>
      </c>
      <c r="B17" s="7" t="inlineStr">
        <is>
          <t>Không đổi liều đã xác nhận trước hạn chót</t>
        </is>
      </c>
      <c r="C17" s="8" t="inlineStr">
        <is>
          <t>P xác nhận L lúc 08:10 (da_uong); cp = D + 5'</t>
        </is>
      </c>
      <c r="D17" s="8" t="inlineStr">
        <is>
          <t>1. Chạy lượt quét tại D + 6'</t>
        </is>
      </c>
      <c r="E17" s="8" t="inlineStr">
        <is>
          <t>taken_at = 08:10</t>
        </is>
      </c>
      <c r="F17" s="8" t="inlineStr">
        <is>
          <t>Dòng giữ nguyên da_uong; không cảnh báo; không hàng chờ; không gõ cửa</t>
        </is>
      </c>
      <c r="G17" s="8" t="inlineStr">
        <is>
          <t>Đúng như mong đợi</t>
        </is>
      </c>
      <c r="H17" s="7" t="inlineStr">
        <is>
          <t>Pass</t>
        </is>
      </c>
      <c r="I17" s="8" t="inlineStr">
        <is>
          <t>AC23 · EP (7) · test_confirmed_before_deadline__AC23</t>
        </is>
      </c>
    </row>
    <row r="18" ht="41" customHeight="1">
      <c r="A18" s="7" t="inlineStr">
        <is>
          <t>TC-MISSVERIFY-10</t>
        </is>
      </c>
      <c r="B18" s="7" t="inlineStr">
        <is>
          <t>Giữ một kết quả khi quét chồng lấn nhiều lượt</t>
        </is>
      </c>
      <c r="C18" s="8" t="inlineStr">
        <is>
          <t>Như TC-01</t>
        </is>
      </c>
      <c r="D18" s="8" t="inlineStr">
        <is>
          <t>1. Chạy lượt quét tại D + 6', D + 7', D + 20'</t>
        </is>
      </c>
      <c r="E18" s="8" t="inlineStr">
        <is>
          <t>3 lượt quét, overlap 30'</t>
        </is>
      </c>
      <c r="F18" s="8" t="inlineStr">
        <is>
          <t>Một dòng bo_lo, một notifications, tổng một push</t>
        </is>
      </c>
      <c r="G18" s="8" t="inlineStr">
        <is>
          <t>Đúng như mong đợi</t>
        </is>
      </c>
      <c r="H18" s="7" t="inlineStr">
        <is>
          <t>Pass</t>
        </is>
      </c>
      <c r="I18" s="8" t="inlineStr">
        <is>
          <t>AC24 · test_overlapping_scans_single_effect__AC24</t>
        </is>
      </c>
    </row>
    <row r="19" ht="74" customHeight="1">
      <c r="A19" s="7" t="inlineStr">
        <is>
          <t>TC-MISSVERIFY-11</t>
        </is>
      </c>
      <c r="B19" s="7" t="inlineStr">
        <is>
          <t>Không báo người thân khi patient tắt chia sẻ</t>
        </is>
      </c>
      <c r="C19" s="8" t="inlineStr">
        <is>
          <t>F liên kết active, sharing_enabled = false; F có token Android</t>
        </is>
      </c>
      <c r="D19" s="8" t="inlineStr">
        <is>
          <t>1. cp = D + 5'
2. Quét tại D + 6'</t>
        </is>
      </c>
      <c r="E19" s="8" t="inlineStr">
        <is>
          <t>sharing_enabled = false</t>
        </is>
      </c>
      <c r="F19" s="8" t="inlineStr">
        <is>
          <t>Liều bo_lo; F không có notifications, không push</t>
        </is>
      </c>
      <c r="G19" s="8" t="inlineStr">
        <is>
          <t>Đúng như mong đợi</t>
        </is>
      </c>
      <c r="H19" s="7" t="inlineStr">
        <is>
          <t>Pass</t>
        </is>
      </c>
      <c r="I19" s="8" t="inlineStr">
        <is>
          <t>AC28 · Decision Table (R2) · test_recipient_without_permission_gets_nothing__AC28[sharing_off]</t>
        </is>
      </c>
    </row>
    <row r="20" ht="74" customHeight="1">
      <c r="A20" s="7" t="inlineStr">
        <is>
          <t>TC-MISSVERIFY-12</t>
        </is>
      </c>
      <c r="B20" s="7" t="inlineStr">
        <is>
          <t>Không báo người thân khi patient đã rút consent family_sharing</t>
        </is>
      </c>
      <c r="C20" s="8" t="inlineStr">
        <is>
          <t>Liên kết active + chia sẻ; consent family_sharing của P đã thu_hoi</t>
        </is>
      </c>
      <c r="D20" s="8" t="inlineStr">
        <is>
          <t>1. cp = D + 5'
2. Quét tại D + 6'</t>
        </is>
      </c>
      <c r="E20" s="8" t="inlineStr">
        <is>
          <t>user_consents.family_sharing = thu_hoi</t>
        </is>
      </c>
      <c r="F20" s="8" t="inlineStr">
        <is>
          <t>Liều bo_lo; F không có gì</t>
        </is>
      </c>
      <c r="G20" s="8" t="inlineStr">
        <is>
          <t>Đúng như mong đợi</t>
        </is>
      </c>
      <c r="H20" s="7" t="inlineStr">
        <is>
          <t>Pass</t>
        </is>
      </c>
      <c r="I20" s="8" t="inlineStr">
        <is>
          <t>AC28 · Decision Table (R3) · test_recipient_without_permission_gets_nothing__AC28[family_sharing_revoked]</t>
        </is>
      </c>
    </row>
    <row r="21" ht="57.5" customHeight="1">
      <c r="A21" s="7" t="inlineStr">
        <is>
          <t>TC-MISSVERIFY-13</t>
        </is>
      </c>
      <c r="B21" s="7" t="inlineStr">
        <is>
          <t>Không báo người thân có yêu cầu liên kết đang chờ duyệt</t>
        </is>
      </c>
      <c r="C21" s="8" t="inlineStr">
        <is>
          <t>caregiver_links.status = pending</t>
        </is>
      </c>
      <c r="D21" s="8" t="inlineStr">
        <is>
          <t>1. cp = D + 5'
2. Quét tại D + 6'</t>
        </is>
      </c>
      <c r="E21" s="8" t="inlineStr">
        <is>
          <t>status = pending</t>
        </is>
      </c>
      <c r="F21" s="8" t="inlineStr">
        <is>
          <t>Liều bo_lo; F không có gì</t>
        </is>
      </c>
      <c r="G21" s="8" t="inlineStr">
        <is>
          <t>Đúng như mong đợi</t>
        </is>
      </c>
      <c r="H21" s="7" t="inlineStr">
        <is>
          <t>Pass</t>
        </is>
      </c>
      <c r="I21" s="8" t="inlineStr">
        <is>
          <t>AC28 · Decision Table (R4) · test_recipient_without_permission_gets_nothing__AC28[pending]</t>
        </is>
      </c>
    </row>
    <row r="22" ht="57.5" customHeight="1">
      <c r="A22" s="7" t="inlineStr">
        <is>
          <t>TC-MISSVERIFY-14</t>
        </is>
      </c>
      <c r="B22" s="7" t="inlineStr">
        <is>
          <t>Không báo người thân đã bị hủy liên kết</t>
        </is>
      </c>
      <c r="C22" s="8" t="inlineStr">
        <is>
          <t>caregiver_links.status = revoked</t>
        </is>
      </c>
      <c r="D22" s="8" t="inlineStr">
        <is>
          <t>1. cp = D + 5'
2. Quét tại D + 6'</t>
        </is>
      </c>
      <c r="E22" s="8" t="inlineStr">
        <is>
          <t>status = revoked</t>
        </is>
      </c>
      <c r="F22" s="8" t="inlineStr">
        <is>
          <t>Liều bo_lo; F không có gì</t>
        </is>
      </c>
      <c r="G22" s="8" t="inlineStr">
        <is>
          <t>Đúng như mong đợi</t>
        </is>
      </c>
      <c r="H22" s="7" t="inlineStr">
        <is>
          <t>Pass</t>
        </is>
      </c>
      <c r="I22" s="8" t="inlineStr">
        <is>
          <t>AC28 · Decision Table (R5) · test_recipient_without_permission_gets_nothing__AC28[revoked]</t>
        </is>
      </c>
    </row>
    <row r="23" ht="57.5" customHeight="1">
      <c r="A23" s="7" t="inlineStr">
        <is>
          <t>TC-MISSVERIFY-15</t>
        </is>
      </c>
      <c r="B23" s="7" t="inlineStr">
        <is>
          <t>Không báo người dùng không có liên kết</t>
        </is>
      </c>
      <c r="C23" s="8" t="inlineStr">
        <is>
          <t>F không có caregiver_links với P</t>
        </is>
      </c>
      <c r="D23" s="8" t="inlineStr">
        <is>
          <t>1. cp = D + 5'
2. Quét tại D + 6'</t>
        </is>
      </c>
      <c r="E23" s="8" t="inlineStr">
        <is>
          <t>(không có liên kết)</t>
        </is>
      </c>
      <c r="F23" s="8" t="inlineStr">
        <is>
          <t>Liều bo_lo; F không có gì</t>
        </is>
      </c>
      <c r="G23" s="8" t="inlineStr">
        <is>
          <t>Đúng như mong đợi</t>
        </is>
      </c>
      <c r="H23" s="7" t="inlineStr">
        <is>
          <t>Pass</t>
        </is>
      </c>
      <c r="I23" s="8" t="inlineStr">
        <is>
          <t>AC28 · Decision Table (R6) · test_recipient_without_permission_gets_nothing__AC28[no_link]</t>
        </is>
      </c>
    </row>
    <row r="24" ht="74" customHeight="1">
      <c r="A24" s="7" t="inlineStr">
        <is>
          <t>TC-MISSVERIFY-16</t>
        </is>
      </c>
      <c r="B24" s="7" t="inlineStr">
        <is>
          <t>Không báo khi người thân mất quyền giữa lúc chưa xác minh và lúc xác minh</t>
        </is>
      </c>
      <c r="C24" s="8" t="inlineStr">
        <is>
          <t>Như TC-02 (liều trong hàng chờ)</t>
        </is>
      </c>
      <c r="D24" s="8" t="inlineStr">
        <is>
          <t>1. Hủy liên kết (revoked, tắt chia sẻ)
2. cp = 11:00
3. Quét lúc 11:15</t>
        </is>
      </c>
      <c r="E24" s="8" t="inlineStr">
        <is>
          <t>status: active → revoked</t>
        </is>
      </c>
      <c r="F24" s="8" t="inlineStr">
        <is>
          <t>Liều bo_lo; F không có notifications, không push</t>
        </is>
      </c>
      <c r="G24" s="8" t="inlineStr">
        <is>
          <t>Đúng như mong đợi</t>
        </is>
      </c>
      <c r="H24" s="7" t="inlineStr">
        <is>
          <t>Pass</t>
        </is>
      </c>
      <c r="I24" s="8" t="inlineStr">
        <is>
          <t>AC28 · kịch bản 'rút consent/hủy liên kết → hiệu lực ngay' · test_permission_lost_between_pending_and_verification__AC28</t>
        </is>
      </c>
    </row>
    <row r="25" ht="41" customHeight="1">
      <c r="A25" s="7" t="inlineStr">
        <is>
          <t>TC-MISSVERIFY-17</t>
        </is>
      </c>
      <c r="B25" s="7" t="inlineStr">
        <is>
          <t>Chỉ tạo hộp thư, không push, khi người thân chỉ có token iOS</t>
        </is>
      </c>
      <c r="C25" s="8" t="inlineStr">
        <is>
          <t>F đủ quyền, chỉ có token iOS</t>
        </is>
      </c>
      <c r="D25" s="8" t="inlineStr">
        <is>
          <t>1. cp = D + 5'
2. Quét tại D + 6'</t>
        </is>
      </c>
      <c r="E25" s="8" t="inlineStr">
        <is>
          <t>platform = ios</t>
        </is>
      </c>
      <c r="F25" s="8" t="inlineStr">
        <is>
          <t>F có một notifications; không push</t>
        </is>
      </c>
      <c r="G25" s="8" t="inlineStr">
        <is>
          <t>Đúng như mong đợi</t>
        </is>
      </c>
      <c r="H25" s="7" t="inlineStr">
        <is>
          <t>Pass</t>
        </is>
      </c>
      <c r="I25" s="8" t="inlineStr">
        <is>
          <t>AC29 · test_ios_only_family_gets_inbox_without_push__AC29</t>
        </is>
      </c>
    </row>
    <row r="26" ht="41" customHeight="1">
      <c r="A26" s="7" t="inlineStr">
        <is>
          <t>TC-MISSVERIFY-18</t>
        </is>
      </c>
      <c r="B26" s="7" t="inlineStr">
        <is>
          <t>Báo riêng từng thuốc khi quên ba thuốc cùng giờ</t>
        </is>
      </c>
      <c r="C26" s="8" t="inlineStr">
        <is>
          <t>P có 3 thuốc cùng 08:00; F đủ quyền</t>
        </is>
      </c>
      <c r="D26" s="8" t="inlineStr">
        <is>
          <t>1. cp = D + 5'
2. Quét tại D + 6'</t>
        </is>
      </c>
      <c r="E26" s="8" t="inlineStr">
        <is>
          <t>3 lịch 08:00</t>
        </is>
      </c>
      <c r="F26" s="8" t="inlineStr">
        <is>
          <t>3 dòng bo_lo, 3 notifications, 3 push (3 notification_id khác nhau)</t>
        </is>
      </c>
      <c r="G26" s="8" t="inlineStr">
        <is>
          <t>Đúng như mong đợi</t>
        </is>
      </c>
      <c r="H26" s="7" t="inlineStr">
        <is>
          <t>Pass</t>
        </is>
      </c>
      <c r="I26" s="8" t="inlineStr">
        <is>
          <t>AC30 · test_three_meds_three_alerts__AC30</t>
        </is>
      </c>
    </row>
    <row r="27" ht="41" customHeight="1">
      <c r="A27" s="7" t="inlineStr">
        <is>
          <t>TC-MISSVERIFY-19</t>
        </is>
      </c>
      <c r="B27" s="7" t="inlineStr">
        <is>
          <t>Bù đủ liều khi Worker ngừng chạy 3 giờ</t>
        </is>
      </c>
      <c r="C27" s="8" t="inlineStr">
        <is>
          <t>3 lịch 08:00, 09:00, 10:00; cursor lùi 3 giờ</t>
        </is>
      </c>
      <c r="D27" s="8" t="inlineStr">
        <is>
          <t>1. cp mới
2. Một lượt quét sau hạn chót của liều 10:00</t>
        </is>
      </c>
      <c r="E27" s="8" t="inlineStr">
        <is>
          <t>cursor = now − 120' − 3h</t>
        </is>
      </c>
      <c r="F27" s="8" t="inlineStr">
        <is>
          <t>3 dòng bo_lo, mỗi liều một dòng; 3 notifications</t>
        </is>
      </c>
      <c r="G27" s="8" t="inlineStr">
        <is>
          <t>Đúng như mong đợi</t>
        </is>
      </c>
      <c r="H27" s="7" t="inlineStr">
        <is>
          <t>Pass</t>
        </is>
      </c>
      <c r="I27" s="8" t="inlineStr">
        <is>
          <t>AC31 · test_cursor_lag_backfill__AC31</t>
        </is>
      </c>
    </row>
    <row r="28" ht="74" customHeight="1">
      <c r="A28" s="7" t="inlineStr">
        <is>
          <t>TC-MISSVERIFY-20</t>
        </is>
      </c>
      <c r="B28" s="7" t="inlineStr">
        <is>
          <t>Rollback toàn bộ lượt quét khi tạo cảnh báo lỗi</t>
        </is>
      </c>
      <c r="C28" s="8" t="inlineStr">
        <is>
          <t>Liều trong hàng chờ; cursor thật (job riêng); cp = 11:00</t>
        </is>
      </c>
      <c r="D28" s="8" t="inlineStr">
        <is>
          <t>1. Quét lúc 11:15 với tạo notifications ném lỗi
2. Kiểm DB
3. Quét lại lúc 11:30 bình thường</t>
        </is>
      </c>
      <c r="E28" s="8" t="inlineStr">
        <is>
          <t>RuntimeError giả lập trong create_missed_alert</t>
        </is>
      </c>
      <c r="F28" s="8" t="inlineStr">
        <is>
          <t>Lượt lỗi: không dose_logs, không notifications, cursor và hàng chờ giữ nguyên, không push. Lượt sau: bo_lo + cảnh báo như TC-01</t>
        </is>
      </c>
      <c r="G28" s="8" t="inlineStr">
        <is>
          <t>Đúng như mong đợi</t>
        </is>
      </c>
      <c r="H28" s="7" t="inlineStr">
        <is>
          <t>Pass</t>
        </is>
      </c>
      <c r="I28" s="8" t="inlineStr">
        <is>
          <t>AC32 · test_failure_rolls_back_all__AC32</t>
        </is>
      </c>
    </row>
    <row r="29" ht="57.5" customHeight="1">
      <c r="A29" s="7" t="inlineStr">
        <is>
          <t>TC-MISSVERIFY-21</t>
        </is>
      </c>
      <c r="B29" s="7" t="inlineStr">
        <is>
          <t>Vẫn báo liều bỏ lỡ của thuốc đã ngừng hoặc đã xóa lúc 09:00</t>
        </is>
      </c>
      <c r="C29" s="8" t="inlineStr">
        <is>
          <t>Lịch 08:00 đóng lúc 09:00; lịch 08:10 của thuốc bị xóa mềm lúc 09:00</t>
        </is>
      </c>
      <c r="D29" s="8" t="inlineStr">
        <is>
          <t>1. cp = 10:15
2. Quét lúc 10:16</t>
        </is>
      </c>
      <c r="E29" s="8" t="inlineStr">
        <is>
          <t>ended_at = deleted_at = 09:00</t>
        </is>
      </c>
      <c r="F29" s="8" t="inlineStr">
        <is>
          <t>Cả hai liều bo_lo và F được báo mỗi liều một cảnh báo</t>
        </is>
      </c>
      <c r="G29" s="8" t="inlineStr">
        <is>
          <t>Đúng như mong đợi</t>
        </is>
      </c>
      <c r="H29" s="7" t="inlineStr">
        <is>
          <t>Pass</t>
        </is>
      </c>
      <c r="I29" s="8" t="inlineStr">
        <is>
          <t>AC33 · test_stopped_or_deleted_medication_still_missed__AC33</t>
        </is>
      </c>
    </row>
    <row r="30" ht="57.5" customHeight="1">
      <c r="A30" s="7" t="inlineStr">
        <is>
          <t>TC-MISSVERIFY-22</t>
        </is>
      </c>
      <c r="B30" s="7" t="inlineStr">
        <is>
          <t>Báo bỏ lỡ sau khi xác nhận sớm bị từ chối</t>
        </is>
      </c>
      <c r="C30" s="8" t="inlineStr">
        <is>
          <t>Như TC-01</t>
        </is>
      </c>
      <c r="D30" s="8" t="inlineStr">
        <is>
          <t>1. POST /doses/batch taken_at = L − 31'
2. cp = D + 5'
3. Quét tại D + 6'</t>
        </is>
      </c>
      <c r="E30" s="8" t="inlineStr">
        <is>
          <t>taken_at = 07:29</t>
        </is>
      </c>
      <c r="F30" s="8" t="inlineStr">
        <is>
          <t>Mục trả failed, error.code = taken_at_too_early, http_status = 422; sau đó liều bo_lo và F được báo</t>
        </is>
      </c>
      <c r="G30" s="8" t="inlineStr">
        <is>
          <t>Đúng như mong đợi</t>
        </is>
      </c>
      <c r="H30" s="7" t="inlineStr">
        <is>
          <t>Pass</t>
        </is>
      </c>
      <c r="I30" s="8" t="inlineStr">
        <is>
          <t>AC34 · BVA (min-1) · test_too_early_confirmation_then_verified__AC34</t>
        </is>
      </c>
    </row>
    <row r="31" ht="41" customHeight="1">
      <c r="A31" s="7" t="inlineStr">
        <is>
          <t>TC-MISSVERIFY-23</t>
        </is>
      </c>
      <c r="B31" s="7" t="inlineStr">
        <is>
          <t>Không xét liều cũ ở lần chạy đầu sau triển khai</t>
        </is>
      </c>
      <c r="C31" s="8" t="inlineStr">
        <is>
          <t>Chưa có cursor; liều 08:00; cp ≥ D</t>
        </is>
      </c>
      <c r="D31" s="8" t="inlineStr">
        <is>
          <t>1. Quét tại D + 31'</t>
        </is>
      </c>
      <c r="E31" s="8" t="inlineStr">
        <is>
          <t>cursor = (không có)</t>
        </is>
      </c>
      <c r="F31" s="8" t="inlineStr">
        <is>
          <t>Không dose_logs, không hàng chờ, không gõ cửa, không cảnh báo</t>
        </is>
      </c>
      <c r="G31" s="8" t="inlineStr">
        <is>
          <t>Đúng như mong đợi</t>
        </is>
      </c>
      <c r="H31" s="7" t="inlineStr">
        <is>
          <t>Pass</t>
        </is>
      </c>
      <c r="I31" s="8" t="inlineStr">
        <is>
          <t>AC35 · test_first_run_window_skips_old_deadlines__AC35</t>
        </is>
      </c>
    </row>
    <row r="32" ht="107" customHeight="1">
      <c r="A32" s="7" t="inlineStr">
        <is>
          <t>TC-MISSVERIFY-24</t>
        </is>
      </c>
      <c r="B32" s="7" t="inlineStr">
        <is>
          <t>Báo đủ 9 liều sau 3 ngày offline, thân push là câu chung</t>
        </is>
      </c>
      <c r="C32" s="8" t="inlineStr">
        <is>
          <t>P có 3 lịch (08:00, 12:00, 16:00), offline 3 ngày; Worker quét mỗi tối</t>
        </is>
      </c>
      <c r="D32" s="8" t="inlineStr">
        <is>
          <t>1. Quét 19:00 mỗi ngày (P chưa đồng bộ)
2. cp = 20:00 ngày thứ 3
3. Quét 20:15
4. Dựng payload FCM của từng cảnh báo</t>
        </is>
      </c>
      <c r="E32" s="8" t="inlineStr">
        <is>
          <t>9 liều; full_name của P = Test User</t>
        </is>
      </c>
      <c r="F32" s="8" t="inlineStr">
        <is>
          <t>9 dòng bo_lo; 9 notifications đúng scheduled_at từng liều (nội dung hộp thư có tên P); 9 push, mỗi push một notification_id; thân push = 'Bạn có cảnh báo mới về người thân', payload không có tên P, tên thuốc, giờ liều</t>
        </is>
      </c>
      <c r="G32" s="8" t="inlineStr">
        <is>
          <t>Đúng như mong đợi</t>
        </is>
      </c>
      <c r="H32" s="7" t="inlineStr">
        <is>
          <t>Pass</t>
        </is>
      </c>
      <c r="I32" s="8" t="inlineStr">
        <is>
          <t>AC36 · Q10 · test_offline_three_days_nine_alerts_generic_body__AC36</t>
        </is>
      </c>
    </row>
    <row r="33" ht="57.5" customHeight="1">
      <c r="A33" s="7" t="inlineStr">
        <is>
          <t>TC-MISSVERIFY-25</t>
        </is>
      </c>
      <c r="B33" s="7" t="inlineStr">
        <is>
          <t>Gõ cửa một lần mỗi token Android của patient, không gõ iOS</t>
        </is>
      </c>
      <c r="C33" s="8" t="inlineStr">
        <is>
          <t>P có 2 token Android, 1 token iOS; 3 liều cùng qua hạn chót; chưa có checkpoint</t>
        </is>
      </c>
      <c r="D33" s="8" t="inlineStr">
        <is>
          <t>1. Quét
2. Quét lại 15' sau (chồng lấn)</t>
        </is>
      </c>
      <c r="E33" s="8" t="inlineStr">
        <is>
          <t>3 liều 08:00, 08:10, 08:20</t>
        </is>
      </c>
      <c r="F33" s="8" t="inlineStr">
        <is>
          <t>Mỗi token Android đúng một sync_request; iOS không; không notifications; lượt chồng lấn không gõ lại</t>
        </is>
      </c>
      <c r="G33" s="8" t="inlineStr">
        <is>
          <t>Đúng như mong đợi</t>
        </is>
      </c>
      <c r="H33" s="7" t="inlineStr">
        <is>
          <t>Pass</t>
        </is>
      </c>
      <c r="I33" s="8" t="inlineStr">
        <is>
          <t>AC37 · test_sync_request_android_only_once_per_token__AC37</t>
        </is>
      </c>
    </row>
    <row r="34" ht="41" customHeight="1">
      <c r="A34" s="7" t="inlineStr">
        <is>
          <t>TC-MISSVERIFY-26</t>
        </is>
      </c>
      <c r="B34" s="7" t="inlineStr">
        <is>
          <t>Không gõ cửa với liều đã xác minh hoặc đã xác nhận</t>
        </is>
      </c>
      <c r="C34" s="8" t="inlineStr">
        <is>
          <t>Liều A chưa xác nhận, liều B đã xác nhận; cp ≥ D</t>
        </is>
      </c>
      <c r="D34" s="8" t="inlineStr">
        <is>
          <t>1. Quét tại D + 6'</t>
        </is>
      </c>
      <c r="E34" s="8" t="inlineStr">
        <is>
          <t>cp = D + 5'</t>
        </is>
      </c>
      <c r="F34" s="8" t="inlineStr">
        <is>
          <t>Không sync_request; A bo_lo + cảnh báo</t>
        </is>
      </c>
      <c r="G34" s="8" t="inlineStr">
        <is>
          <t>Đúng như mong đợi</t>
        </is>
      </c>
      <c r="H34" s="7" t="inlineStr">
        <is>
          <t>Pass</t>
        </is>
      </c>
      <c r="I34" s="8" t="inlineStr">
        <is>
          <t>AC37 · test_verified_or_confirmed_doses_do_not_knock__AC37</t>
        </is>
      </c>
    </row>
    <row r="35" ht="41" customHeight="1">
      <c r="A35" s="7" t="inlineStr">
        <is>
          <t>TC-MISSVERIFY-27</t>
        </is>
      </c>
      <c r="B35" s="7" t="inlineStr">
        <is>
          <t>Sinh đúng một lượt uống cho lịch hằng ngày</t>
        </is>
      </c>
      <c r="C35" s="8" t="inlineStr">
        <is>
          <t>Lịch 08:00 mọi ngày</t>
        </is>
      </c>
      <c r="D35" s="8" t="inlineStr">
        <is>
          <t>1. Gọi occurrences_between bằng worker_role với cửa sổ [00:00Z, 02:00Z) ngày 05/10</t>
        </is>
      </c>
      <c r="E35" s="8" t="inlineStr">
        <is>
          <t>cửa sổ 2026-10-05 00:00Z–02:00Z</t>
        </is>
      </c>
      <c r="F35" s="8" t="inlineStr">
        <is>
          <t>Đúng một lượt (schedule_id kiểu int, P, 01:00:00Z)</t>
        </is>
      </c>
      <c r="G35" s="8" t="inlineStr">
        <is>
          <t>Đúng như mong đợi</t>
        </is>
      </c>
      <c r="H35" s="7" t="inlineStr">
        <is>
          <t>Pass</t>
        </is>
      </c>
      <c r="I35" s="8" t="inlineStr">
        <is>
          <t>AC1 · test_daily_one_occurrence__AC1</t>
        </is>
      </c>
    </row>
    <row r="36" ht="41" customHeight="1">
      <c r="A36" s="7" t="inlineStr">
        <is>
          <t>TC-MISSVERIFY-28</t>
        </is>
      </c>
      <c r="B36" s="7" t="inlineStr">
        <is>
          <t>Gán lượt uống đúng lịch khi lịch được thay cùng giờ</t>
        </is>
      </c>
      <c r="C36" s="8" t="inlineStr">
        <is>
          <t>S đóng 07:45 ngày 05/10, S2 cùng giờ mở từ 07:45</t>
        </is>
      </c>
      <c r="D36" s="8" t="inlineStr">
        <is>
          <t>1. Gọi occurrences_between cho 04/10–05/10</t>
        </is>
      </c>
      <c r="E36" s="8" t="inlineStr">
        <is>
          <t>switch = 2026-10-05 07:45 VN</t>
        </is>
      </c>
      <c r="F36" s="8" t="inlineStr">
        <is>
          <t>04/10 thuộc S, 05/10 thuộc S2, mỗi ngày một lượt</t>
        </is>
      </c>
      <c r="G36" s="8" t="inlineStr">
        <is>
          <t>Đúng như mong đợi</t>
        </is>
      </c>
      <c r="H36" s="7" t="inlineStr">
        <is>
          <t>Pass</t>
        </is>
      </c>
      <c r="I36" s="8" t="inlineStr">
        <is>
          <t>AC4 · test_schedule_replaced_same_time__AC4</t>
        </is>
      </c>
    </row>
    <row r="37" ht="57.5" customHeight="1">
      <c r="A37" s="7" t="inlineStr">
        <is>
          <t>TC-MISSVERIFY-29</t>
        </is>
      </c>
      <c r="B37" s="7" t="inlineStr">
        <is>
          <t>Sinh lượt uống trùng khớp tập liều của màn lịch sử</t>
        </is>
      </c>
      <c r="C37" s="8" t="inlineStr">
        <is>
          <t>Lịch mở, lịch đóng trong ngày, lịch đóng trước giờ, thuốc đã xóa, lịch 23:30</t>
        </is>
      </c>
      <c r="D37" s="8" t="inlineStr">
        <is>
          <t>1. GET /adherence cho ngày 05/10
2. occurrences_between cho cùng ngày
3. So hai tập (schedule_id, scheduled_at)</t>
        </is>
      </c>
      <c r="E37" s="8" t="inlineStr">
        <is>
          <t>5 lịch</t>
        </is>
      </c>
      <c r="F37" s="8" t="inlineStr">
        <is>
          <t>Hai tập bằng nhau, 4 lượt</t>
        </is>
      </c>
      <c r="G37" s="8" t="inlineStr">
        <is>
          <t>Đúng như mong đợi</t>
        </is>
      </c>
      <c r="H37" s="7" t="inlineStr">
        <is>
          <t>Pass</t>
        </is>
      </c>
      <c r="I37" s="8" t="inlineStr">
        <is>
          <t>AC10 · test_matches_history_generation__AC10</t>
        </is>
      </c>
    </row>
    <row r="38" ht="57.5" customHeight="1">
      <c r="A38" s="7" t="inlineStr">
        <is>
          <t>TC-MISSVERIFY-30</t>
        </is>
      </c>
      <c r="B38" s="7" t="inlineStr">
        <is>
          <t>Lọc theo giờ uống mà không làm mất lượt</t>
        </is>
      </c>
      <c r="C38" s="8" t="inlineStr">
        <is>
          <t>Lịch 07:00, 08:00, 09:00, 23:55, 00:05</t>
        </is>
      </c>
      <c r="D38" s="8" t="inlineStr">
        <is>
          <t>1. Cửa sổ [07:30, 08:01)
2. Cửa sổ [23:50, 00:10)
3. Cửa sổ ≥ 24 giờ</t>
        </is>
      </c>
      <c r="E38" s="8" t="inlineStr">
        <is>
          <t>3 cửa sổ</t>
        </is>
      </c>
      <c r="F38" s="8" t="inlineStr">
        <is>
          <t>Chỉ 08:00; đủ 23:55 và 00:05; đủ mọi lịch</t>
        </is>
      </c>
      <c r="G38" s="8" t="inlineStr">
        <is>
          <t>Đúng như mong đợi</t>
        </is>
      </c>
      <c r="H38" s="7" t="inlineStr">
        <is>
          <t>Pass</t>
        </is>
      </c>
      <c r="I38" s="8" t="inlineStr">
        <is>
          <t>AC11 · BVA · test_prefilter_keeps_results__AC11</t>
        </is>
      </c>
    </row>
    <row r="39" ht="57.5" customHeight="1">
      <c r="A39" s="7" t="inlineStr">
        <is>
          <t>TC-MISSVERIFY-31</t>
        </is>
      </c>
      <c r="B39" s="7" t="inlineStr">
        <is>
          <t>Vẫn xét liều 08:00 khi tắt nhắc lúc 09:00</t>
        </is>
      </c>
      <c r="C39" s="8" t="inlineStr">
        <is>
          <t>Lịch cũ 08:00 đóng 09:00, lịch mới tắt nhắc từ 09:00; thêm một lịch tắt nhắc từ đầu</t>
        </is>
      </c>
      <c r="D39" s="8" t="inlineStr">
        <is>
          <t>1. occurrences_between
2. cp ≥ D
3. Quét</t>
        </is>
      </c>
      <c r="E39" s="8" t="inlineStr">
        <is>
          <t>toggle = 09:00</t>
        </is>
      </c>
      <c r="F39" s="8" t="inlineStr">
        <is>
          <t>Có lượt 08:00 của lịch cũ; liều bo_lo + một cảnh báo; lịch tắt nhắc từ đầu không có gì; không gõ cửa</t>
        </is>
      </c>
      <c r="G39" s="8" t="inlineStr">
        <is>
          <t>Đúng như mong đợi</t>
        </is>
      </c>
      <c r="H39" s="7" t="inlineStr">
        <is>
          <t>Pass</t>
        </is>
      </c>
      <c r="I39" s="8" t="inlineStr">
        <is>
          <t>AC12 · test_reminder_disabled_and_toggle_time__AC12[9-True]</t>
        </is>
      </c>
    </row>
    <row r="40" ht="57.5" customHeight="1">
      <c r="A40" s="7" t="inlineStr">
        <is>
          <t>TC-MISSVERIFY-32</t>
        </is>
      </c>
      <c r="B40" s="7" t="inlineStr">
        <is>
          <t>Bỏ qua liều khi tắt nhắc lúc 07:00</t>
        </is>
      </c>
      <c r="C40" s="8" t="inlineStr">
        <is>
          <t>Như TC-31 với toggle = 07:00</t>
        </is>
      </c>
      <c r="D40" s="8" t="inlineStr">
        <is>
          <t>1. occurrences_between
2. cp ≥ D
3. Quét</t>
        </is>
      </c>
      <c r="E40" s="8" t="inlineStr">
        <is>
          <t>toggle = 07:00</t>
        </is>
      </c>
      <c r="F40" s="8" t="inlineStr">
        <is>
          <t>Không lượt, không bo_lo, không cảnh báo, không gõ cửa</t>
        </is>
      </c>
      <c r="G40" s="8" t="inlineStr">
        <is>
          <t>Đúng như mong đợi</t>
        </is>
      </c>
      <c r="H40" s="7" t="inlineStr">
        <is>
          <t>Pass</t>
        </is>
      </c>
      <c r="I40" s="8" t="inlineStr">
        <is>
          <t>AC12 · test_reminder_disabled_and_toggle_time__AC12[7-False]</t>
        </is>
      </c>
    </row>
    <row r="41" ht="90.5" customHeight="1">
      <c r="A41" s="7" t="inlineStr">
        <is>
          <t>TC-MISSVERIFY-33</t>
        </is>
      </c>
      <c r="B41" s="7" t="inlineStr">
        <is>
          <t>Tính theo taken_at khi xác nhận chờ khóa của Worker đang ghi bo_lo</t>
        </is>
      </c>
      <c r="C41" s="8" t="inlineStr">
        <is>
          <t>Worker (worker_role) đã ghi bo_lo cho L, chưa commit</t>
        </is>
      </c>
      <c r="D41" s="8" t="inlineStr">
        <is>
          <t>1. POST /doses/batch taken_at = 08:10 (chờ khóa)
2. Worker commit</t>
        </is>
      </c>
      <c r="E41" s="8" t="inlineStr">
        <is>
          <t>taken_at = 08:10</t>
        </is>
      </c>
      <c r="F41" s="8" t="inlineStr">
        <is>
          <t>Một dòng, da_uong, taken_at = 08:10</t>
        </is>
      </c>
      <c r="G41" s="8" t="inlineStr">
        <is>
          <t>Đúng như mong đợi</t>
        </is>
      </c>
      <c r="H41" s="7" t="inlineStr">
        <is>
          <t>Pass</t>
        </is>
      </c>
      <c r="I41" s="8" t="inlineStr">
        <is>
          <t>AC25 · kịch bản 'Worker chạy đua với xác nhận đến muộn → theo taken_at' · test_worker_race_late_confirmation_by_taken_at__AC25</t>
        </is>
      </c>
    </row>
    <row r="42" ht="41" customHeight="1">
      <c r="A42" s="7" t="inlineStr">
        <is>
          <t>TC-MISSVERIFY-34</t>
        </is>
      </c>
      <c r="B42" s="7" t="inlineStr">
        <is>
          <t>Không ghi bo_lo, không báo khi xác nhận commit trước Worker</t>
        </is>
      </c>
      <c r="C42" s="8" t="inlineStr">
        <is>
          <t>P xác nhận L lúc 08:10 trước lượt quét; F đủ quyền</t>
        </is>
      </c>
      <c r="D42" s="8" t="inlineStr">
        <is>
          <t>1. cp ≥ D
2. Quét</t>
        </is>
      </c>
      <c r="E42" s="8" t="inlineStr">
        <is>
          <t>taken_at = 08:10</t>
        </is>
      </c>
      <c r="F42" s="8" t="inlineStr">
        <is>
          <t>Một dòng da_uong; F không có notifications</t>
        </is>
      </c>
      <c r="G42" s="8" t="inlineStr">
        <is>
          <t>Đúng như mong đợi</t>
        </is>
      </c>
      <c r="H42" s="7" t="inlineStr">
        <is>
          <t>Pass</t>
        </is>
      </c>
      <c r="I42" s="8" t="inlineStr">
        <is>
          <t>AC25 · test_confirmation_first_then_worker_no_alert__AC25</t>
        </is>
      </c>
    </row>
    <row r="43" ht="90.5" customHeight="1">
      <c r="A43" s="7" t="inlineStr">
        <is>
          <t>TC-MISSVERIFY-35</t>
        </is>
      </c>
      <c r="B43" s="7" t="inlineStr">
        <is>
          <t>Chuyển bo_lo thành da_uong khi taken_at sớm 30' so với giờ hẹn</t>
        </is>
      </c>
      <c r="C43" s="8" t="inlineStr">
        <is>
          <t>L đã bo_lo (client_uuid NULL)</t>
        </is>
      </c>
      <c r="D43" s="8" t="inlineStr">
        <is>
          <t>1. POST /doses/batch
2. Gửi lại cùng client_uuid</t>
        </is>
      </c>
      <c r="E43" s="8" t="inlineStr">
        <is>
          <t>taken_at = L − 30'</t>
        </is>
      </c>
      <c r="F43" s="8" t="inlineStr">
        <is>
          <t>dose_status = da_uong; DB một dòng da_uong; gửi lại trả cùng dose_log_id và trạng thái</t>
        </is>
      </c>
      <c r="G43" s="8" t="inlineStr">
        <is>
          <t>Đúng như mong đợi</t>
        </is>
      </c>
      <c r="H43" s="7" t="inlineStr">
        <is>
          <t>Pass</t>
        </is>
      </c>
      <c r="I43" s="8" t="inlineStr">
        <is>
          <t>AC26 · BVA (min) · kịch bản 'cùng client_uuid → một bản ghi' · test_confirmation_after_missed_by_taken_at__AC26[delay0-da_uong]</t>
        </is>
      </c>
    </row>
    <row r="44" ht="57.5" customHeight="1">
      <c r="A44" s="7" t="inlineStr">
        <is>
          <t>TC-MISSVERIFY-36</t>
        </is>
      </c>
      <c r="B44" s="7" t="inlineStr">
        <is>
          <t>Chuyển bo_lo thành da_uong khi taken_at = L + 10'</t>
        </is>
      </c>
      <c r="C44" s="8" t="inlineStr">
        <is>
          <t>Như TC-35</t>
        </is>
      </c>
      <c r="D44" s="8" t="inlineStr">
        <is>
          <t>1. POST /doses/batch
2. Gửi lại cùng client_uuid</t>
        </is>
      </c>
      <c r="E44" s="8" t="inlineStr">
        <is>
          <t>taken_at = L + 10'</t>
        </is>
      </c>
      <c r="F44" s="8" t="inlineStr">
        <is>
          <t>da_uong; một dòng</t>
        </is>
      </c>
      <c r="G44" s="8" t="inlineStr">
        <is>
          <t>Đúng như mong đợi</t>
        </is>
      </c>
      <c r="H44" s="7" t="inlineStr">
        <is>
          <t>Pass</t>
        </is>
      </c>
      <c r="I44" s="8" t="inlineStr">
        <is>
          <t>AC26 · test_confirmation_after_missed_by_taken_at__AC26[delay1-da_uong]</t>
        </is>
      </c>
    </row>
    <row r="45" ht="57.5" customHeight="1">
      <c r="A45" s="7" t="inlineStr">
        <is>
          <t>TC-MISSVERIFY-37</t>
        </is>
      </c>
      <c r="B45" s="7" t="inlineStr">
        <is>
          <t>Chuyển bo_lo thành da_uong khi taken_at đúng L + 30'</t>
        </is>
      </c>
      <c r="C45" s="8" t="inlineStr">
        <is>
          <t>Như TC-35</t>
        </is>
      </c>
      <c r="D45" s="8" t="inlineStr">
        <is>
          <t>1. POST /doses/batch
2. Gửi lại cùng client_uuid</t>
        </is>
      </c>
      <c r="E45" s="8" t="inlineStr">
        <is>
          <t>taken_at = L + 30'</t>
        </is>
      </c>
      <c r="F45" s="8" t="inlineStr">
        <is>
          <t>da_uong; một dòng</t>
        </is>
      </c>
      <c r="G45" s="8" t="inlineStr">
        <is>
          <t>Đúng như mong đợi</t>
        </is>
      </c>
      <c r="H45" s="7" t="inlineStr">
        <is>
          <t>Pass</t>
        </is>
      </c>
      <c r="I45" s="8" t="inlineStr">
        <is>
          <t>AC26 · BVA (max) · test_confirmation_after_missed_by_taken_at__AC26[delay2-da_uong]</t>
        </is>
      </c>
    </row>
    <row r="46" ht="57.5" customHeight="1">
      <c r="A46" s="7" t="inlineStr">
        <is>
          <t>TC-MISSVERIFY-38</t>
        </is>
      </c>
      <c r="B46" s="7" t="inlineStr">
        <is>
          <t>Chuyển bo_lo thành uong_tre khi taken_at = L + 30' + 1 µs</t>
        </is>
      </c>
      <c r="C46" s="8" t="inlineStr">
        <is>
          <t>Như TC-35</t>
        </is>
      </c>
      <c r="D46" s="8" t="inlineStr">
        <is>
          <t>1. POST /doses/batch
2. Gửi lại cùng client_uuid</t>
        </is>
      </c>
      <c r="E46" s="8" t="inlineStr">
        <is>
          <t>taken_at = L + 30' + 1 µs</t>
        </is>
      </c>
      <c r="F46" s="8" t="inlineStr">
        <is>
          <t>uong_tre; một dòng</t>
        </is>
      </c>
      <c r="G46" s="8" t="inlineStr">
        <is>
          <t>Đúng như mong đợi</t>
        </is>
      </c>
      <c r="H46" s="7" t="inlineStr">
        <is>
          <t>Pass</t>
        </is>
      </c>
      <c r="I46" s="8" t="inlineStr">
        <is>
          <t>AC26 · BVA (max+1) · test_confirmation_after_missed_by_taken_at__AC26[delay3-uong_tre]</t>
        </is>
      </c>
    </row>
    <row r="47" ht="57.5" customHeight="1">
      <c r="A47" s="7" t="inlineStr">
        <is>
          <t>TC-MISSVERIFY-39</t>
        </is>
      </c>
      <c r="B47" s="7" t="inlineStr">
        <is>
          <t>Chuyển bo_lo thành uong_tre khi taken_at = L + 90'</t>
        </is>
      </c>
      <c r="C47" s="8" t="inlineStr">
        <is>
          <t>Như TC-35</t>
        </is>
      </c>
      <c r="D47" s="8" t="inlineStr">
        <is>
          <t>1. POST /doses/batch
2. Gửi lại cùng client_uuid</t>
        </is>
      </c>
      <c r="E47" s="8" t="inlineStr">
        <is>
          <t>taken_at = L + 90'</t>
        </is>
      </c>
      <c r="F47" s="8" t="inlineStr">
        <is>
          <t>uong_tre; một dòng</t>
        </is>
      </c>
      <c r="G47" s="8" t="inlineStr">
        <is>
          <t>Đúng như mong đợi</t>
        </is>
      </c>
      <c r="H47" s="7" t="inlineStr">
        <is>
          <t>Pass</t>
        </is>
      </c>
      <c r="I47" s="8" t="inlineStr">
        <is>
          <t>AC26 · test_confirmation_after_missed_by_taken_at__AC26[delay4-uong_tre]</t>
        </is>
      </c>
    </row>
    <row r="48" ht="57.5" customHeight="1">
      <c r="A48" s="7" t="inlineStr">
        <is>
          <t>TC-MISSVERIFY-40</t>
        </is>
      </c>
      <c r="B48" s="7" t="inlineStr">
        <is>
          <t>Giữ bo_lo khi taken_at = L + 150'</t>
        </is>
      </c>
      <c r="C48" s="8" t="inlineStr">
        <is>
          <t>Như TC-35</t>
        </is>
      </c>
      <c r="D48" s="8" t="inlineStr">
        <is>
          <t>1. POST /doses/batch
2. Gửi lại cùng client_uuid</t>
        </is>
      </c>
      <c r="E48" s="8" t="inlineStr">
        <is>
          <t>taken_at = L + 150'</t>
        </is>
      </c>
      <c r="F48" s="8" t="inlineStr">
        <is>
          <t>dose_status = bo_lo; taken_at NULL; một dòng</t>
        </is>
      </c>
      <c r="G48" s="8" t="inlineStr">
        <is>
          <t>Đúng như mong đợi</t>
        </is>
      </c>
      <c r="H48" s="7" t="inlineStr">
        <is>
          <t>Pass</t>
        </is>
      </c>
      <c r="I48" s="8" t="inlineStr">
        <is>
          <t>AC26 · test_confirmation_after_missed_by_taken_at__AC26[delay5-bo_lo]</t>
        </is>
      </c>
    </row>
    <row r="49" ht="74" customHeight="1">
      <c r="A49" s="7" t="inlineStr">
        <is>
          <t>TC-MISSVERIFY-41</t>
        </is>
      </c>
      <c r="B49" s="7" t="inlineStr">
        <is>
          <t>Từ chối người thân xác nhận liều thay patient</t>
        </is>
      </c>
      <c r="C49" s="8" t="inlineStr">
        <is>
          <t>F liên kết active + chia sẻ với P</t>
        </is>
      </c>
      <c r="D49" s="8" t="inlineStr">
        <is>
          <t>1. F gửi POST /doses/batch cho lịch của P</t>
        </is>
      </c>
      <c r="E49" s="8" t="inlineStr">
        <is>
          <t>Bearer của F</t>
        </is>
      </c>
      <c r="F49" s="8" t="inlineStr">
        <is>
          <t>Mục failed, error.code = forbidden_schedule, http_status = 403; không dose_logs; access_logs có dòng (family, denied, khong_co_quyen)</t>
        </is>
      </c>
      <c r="G49" s="8" t="inlineStr">
        <is>
          <t>Đúng như mong đợi</t>
        </is>
      </c>
      <c r="H49" s="7" t="inlineStr">
        <is>
          <t>Pass</t>
        </is>
      </c>
      <c r="I49" s="8" t="inlineStr">
        <is>
          <t>Q2 · kịch bản 'truy cập chéo → 403 + denied' · test_family_cannot_confirm_logs_denied__Q2</t>
        </is>
      </c>
    </row>
    <row r="50" ht="90.5" customHeight="1">
      <c r="A50" s="7" t="inlineStr">
        <is>
          <t>TC-MISSVERIFY-42</t>
        </is>
      </c>
      <c r="B50" s="7" t="inlineStr">
        <is>
          <t>Tính trạng thái xác nhận theo bảng (hàm domain và câu upsert)</t>
        </is>
      </c>
      <c r="C50" s="8" t="inlineStr">
        <is>
          <t>Unit test</t>
        </is>
      </c>
      <c r="D50" s="8" t="inlineStr">
        <is>
          <t>1. Chạy ma trận status_after_confirmation (chưa có dòng / bo_lo / đã xác nhận × trạng thái tính từ taken_at)
2. Kiểm câu SQL upsert dùng EXCLUDED.status sau bo_lo</t>
        </is>
      </c>
      <c r="E50" s="8" t="inlineStr">
        <is>
          <t>10 tổ hợp</t>
        </is>
      </c>
      <c r="F50" s="8" t="inlineStr">
        <is>
          <t>Chưa có dòng hoặc bo_lo → lấy trạng thái tính; da_uong/uong_tre → giữ nguyên</t>
        </is>
      </c>
      <c r="G50" s="8" t="inlineStr">
        <is>
          <t>Đúng như mong đợi (10 tổ hợp + câu upsert)</t>
        </is>
      </c>
      <c r="H50" s="7" t="inlineStr">
        <is>
          <t>Pass</t>
        </is>
      </c>
      <c r="I50" s="8" t="inlineStr">
        <is>
          <t>AC27 · Decision Table · test_status_after_confirmation_matrix__AC27, test_upsert_uses_excluded_status_after_missed__AC27</t>
        </is>
      </c>
    </row>
    <row r="51" ht="123.5" customHeight="1">
      <c r="A51" s="7" t="inlineStr">
        <is>
          <t>TC-MISSVERIFY-43</t>
        </is>
      </c>
      <c r="B51" s="7" t="inlineStr">
        <is>
          <t>Gửi FCM HTTP v1 với máy chủ giả và gỡ token UNREGISTERED</t>
        </is>
      </c>
      <c r="C51" s="8" t="inlineStr">
        <is>
          <t>Unit test với httpx.MockTransport, khóa RSA sinh trong test</t>
        </is>
      </c>
      <c r="D51" s="8" t="inlineStr">
        <is>
          <t>1. Gửi cảnh báo và sync_request
2. Máy chủ giả trả 404 UNREGISTERED cho một token
3. Thiếu credential khi kênh = fcm</t>
        </is>
      </c>
      <c r="E51" s="8" t="inlineStr">
        <is>
          <t>NOTIFICATION_CHANNEL = fcm</t>
        </is>
      </c>
      <c r="F51" s="8" t="inlineStr">
        <is>
          <t>Payload đúng HTTP v1; access token được cache; token UNREGISTERED được trả để xóa sau commit; log không chứa token/payload; thiếu credential thì NotificationConfigError lúc khởi động</t>
        </is>
      </c>
      <c r="G51" s="8" t="inlineStr">
        <is>
          <t>Đúng như mong đợi</t>
        </is>
      </c>
      <c r="H51" s="7" t="inlineStr">
        <is>
          <t>Pass</t>
        </is>
      </c>
      <c r="I51" s="8" t="inlineStr">
        <is>
          <t>AC42 · test_unregistered_tokens_removed_after_commit__AC42, test_errors_logged_without_token_or_payload__AC42, test_missing_credentials_raise_config_error__AC42, test_access_token_cached_until_expiry__AC42</t>
        </is>
      </c>
    </row>
    <row r="52" ht="41" customHeight="1">
      <c r="A52" s="7" t="inlineStr">
        <is>
          <t>TC-MISSVERIFY-44</t>
        </is>
      </c>
      <c r="B52" s="7" t="inlineStr">
        <is>
          <t>Đặt chu kỳ quét 900 giây và ghi heartbeat một lần mỗi lượt</t>
        </is>
      </c>
      <c r="C52" s="8" t="inlineStr">
        <is>
          <t>Unit test, không có TICK_INTERVAL_SECONDS</t>
        </is>
      </c>
      <c r="D52" s="8" t="inlineStr">
        <is>
          <t>1. Đọc tick_interval_seconds và beat_schedule
2. Gọi record_worker_heartbeat('x')</t>
        </is>
      </c>
      <c r="E52" s="8" t="inlineStr">
        <is>
          <t>(không có biến môi trường)</t>
        </is>
      </c>
      <c r="F52" s="8" t="inlineStr">
        <is>
          <t>900; Beat đăng ký runtime.tick 900; health.record_heartbeat('x') gọi đúng một lần</t>
        </is>
      </c>
      <c r="G52" s="8" t="inlineStr">
        <is>
          <t>Đúng như mong đợi</t>
        </is>
      </c>
      <c r="H52" s="7" t="inlineStr">
        <is>
          <t>Pass</t>
        </is>
      </c>
      <c r="I52" s="8" t="inlineStr">
        <is>
          <t>AC44 · AC45 · test_scheduler.py</t>
        </is>
      </c>
    </row>
    <row r="53" ht="57.5" customHeight="1">
      <c r="A53" s="7" t="inlineStr">
        <is>
          <t>TC-MISSVERIFY-45</t>
        </is>
      </c>
      <c r="B53" s="7" t="inlineStr">
        <is>
          <t>Ghi heartbeat bằng worker_role và báo sẵn sàng</t>
        </is>
      </c>
      <c r="C53" s="8" t="inlineStr">
        <is>
          <t>DB local</t>
        </is>
      </c>
      <c r="D53" s="8" t="inlineStr">
        <is>
          <t>1. record_worker_heartbeat('it-3.19') bằng worker_role
2. GET /health/ready</t>
        </is>
      </c>
      <c r="E53" s="8" t="inlineStr">
        <is>
          <t>instance_id = it-3.19</t>
        </is>
      </c>
      <c r="F53" s="8" t="inlineStr">
        <is>
          <t>worker_heartbeats có dòng mới; /health/ready báo database = true, worker_heartbeat = true</t>
        </is>
      </c>
      <c r="G53" s="8" t="inlineStr">
        <is>
          <t>Đúng như mong đợi</t>
        </is>
      </c>
      <c r="H53" s="7" t="inlineStr">
        <is>
          <t>Pass</t>
        </is>
      </c>
      <c r="I53" s="8" t="inlineStr">
        <is>
          <t>AC46 · test_heartbeat_row_and_ready__AC46</t>
        </is>
      </c>
    </row>
    <row r="54" ht="107" customHeight="1">
      <c r="A54" s="7" t="inlineStr">
        <is>
          <t>TC-MISSVERIFY-46</t>
        </is>
      </c>
      <c r="B54" s="7" t="inlineStr">
        <is>
          <t>Đánh thức app patient đã tắt hẳn bằng push gõ cửa trên máy thật</t>
        </is>
      </c>
      <c r="C54" s="8" t="inlineStr">
        <is>
          <t>Emulator Android có Google Play, app DrugTime đăng nhập patient, tiến trình đã bị dừng (am kill, không force-stop); FCM thật drugtime-f14e8; backend local</t>
        </is>
      </c>
      <c r="D54" s="8" t="inlineStr">
        <is>
          <t>1. Tạo liều đã quá hạn, xóa checkpoint của P
2. Chạy lượt quét lần 1
3. Theo dõi logcat và bảng dose_sync_checkpoints
4. Chạy lượt quét lần 2</t>
        </is>
      </c>
      <c r="E54" s="8" t="inlineStr">
        <is>
          <t>Liều 13:43, quét lúc 15:53</t>
        </is>
      </c>
      <c r="F54" s="8" t="inlineStr">
        <is>
          <t>Từ lúc gửi push tới lúc server nhận checkpoint dưới 1 phút; lượt 2 ghi bo_lo và báo F</t>
        </is>
      </c>
      <c r="G54" s="8" t="inlineStr">
        <is>
          <t>Android khởi động app lúc 15:53:36 cho push (FlutterFirebaseMessagingReceiver), checkpoint 15:53:38 (≈ 2,4 s); lượt 2 ghi bo_lo, cảnh báo #5 tới máy người thân</t>
        </is>
      </c>
      <c r="H54" s="7" t="inlineStr">
        <is>
          <t>Pass</t>
        </is>
      </c>
      <c r="I54" s="8" t="inlineStr">
        <is>
          <t>AC39 · manual</t>
        </is>
      </c>
    </row>
    <row r="55" ht="74" customHeight="1">
      <c r="A55" s="7" t="inlineStr">
        <is>
          <t>TC-MISSVERIFY-47</t>
        </is>
      </c>
      <c r="B55" s="7" t="inlineStr">
        <is>
          <t>Mở cảnh báo trên máy người thân sau khi Worker báo bỏ lỡ (hồi quy)</t>
        </is>
      </c>
      <c r="C55" s="8" t="inlineStr">
        <is>
          <t>F liên kết + chia sẻ; Worker vừa tạo cảnh báo sau khi xác minh</t>
        </is>
      </c>
      <c r="D55" s="8" t="inlineStr">
        <is>
          <t>1. F gọi GET /notifications, GET /notifications/{id}, PATCH is_read = true bằng phiên thật
2. Kiểm access_logs của F
3. Trên máy thật: bấm thông báo, mở hộp thư</t>
        </is>
      </c>
      <c r="E55" s="8" t="inlineStr">
        <is>
          <t>Bearer của F</t>
        </is>
      </c>
      <c r="F55" s="8" t="inlineStr">
        <is>
          <t>Cả ba trả 200; access_logs của F chỉ có allowed; trên máy hiện chi tiết cảnh báo</t>
        </is>
      </c>
      <c r="G55" s="8" t="inlineStr">
        <is>
          <t>Test tích hợp pass; trên máy thật 4 cảnh báo đều mở được, đã đọc, access_logs của F 50 allowed</t>
        </is>
      </c>
      <c r="H55" s="7" t="inlineStr">
        <is>
          <t>Pass</t>
        </is>
      </c>
      <c r="I55" s="8" t="inlineStr">
        <is>
          <t>AC17 · Phát sinh 7 (lỗi High đã sửa ở implement) · test_family_reads_alert_after_scan__regression · manual</t>
        </is>
      </c>
    </row>
    <row r="56" ht="57.5" customHeight="1">
      <c r="A56" s="7" t="inlineStr">
        <is>
          <t>TC-MISSVERIFY-48</t>
        </is>
      </c>
      <c r="B56" s="7" t="inlineStr">
        <is>
          <t>Nhận push cảnh báo trên máy Android thật của người thân</t>
        </is>
      </c>
      <c r="C56" s="8" t="inlineStr">
        <is>
          <t>Máy LG Android đăng nhập F, quyền thông báo bật; FCM thật</t>
        </is>
      </c>
      <c r="D56" s="8" t="inlineStr">
        <is>
          <t>1. Tạo liều quá hạn, P đã đồng bộ sau hạn chót
2. Chạy lượt quét
3. Xem khay thông báo</t>
        </is>
      </c>
      <c r="E56" s="8" t="inlineStr">
        <is>
          <t>Liều 12:30, 13:36, 13:40</t>
        </is>
      </c>
      <c r="F56" s="8" t="inlineStr">
        <is>
          <t>Thông báo 'Bạn có cảnh báo mới về người thân', không có tên P hay tên thuốc</t>
        </is>
      </c>
      <c r="G56" s="8" t="inlineStr">
        <is>
          <t>FCM trả 200; thông báo family_alert_N hiện trong khay; người dùng xác nhận thấy và traffic hiện trên Firebase</t>
        </is>
      </c>
      <c r="H56" s="7" t="inlineStr">
        <is>
          <t>Pass</t>
        </is>
      </c>
      <c r="I56" s="8" t="inlineStr">
        <is>
          <t>AC43 · Q10 · manual</t>
        </is>
      </c>
    </row>
    <row r="57" ht="74" customHeight="1">
      <c r="A57" s="7" t="inlineStr">
        <is>
          <t>TC-MISSVERIFY-49</t>
        </is>
      </c>
      <c r="B57" s="7" t="inlineStr">
        <is>
          <t>In cấu hình Worker trên Render sau khi cập nhật môi trường</t>
        </is>
      </c>
      <c r="C57" s="8" t="inlineStr">
        <is>
          <t>Đã đặt FCM_CREDENTIALS_FILE, TICK_INTERVAL_SECONDS = 900, MISSED_DOSE_GRACE_MINUTES = 120 trên Render</t>
        </is>
      </c>
      <c r="D57" s="8" t="inlineStr">
        <is>
          <t>1. Chạy lệnh in cấu hình trong backend trên Render</t>
        </is>
      </c>
      <c r="E57" s="8" t="inlineStr">
        <is>
          <t>Biến môi trường Render</t>
        </is>
      </c>
      <c r="F57" s="8" t="inlineStr">
        <is>
          <t>In '900 120'; credential FCM nạp được</t>
        </is>
      </c>
      <c r="G57" s="8" t="inlineStr"/>
      <c r="H57" s="7" t="inlineStr">
        <is>
          <t>Pending</t>
        </is>
      </c>
      <c r="I57" s="8" t="inlineStr">
        <is>
          <t>AC48 · manual (cần người có quyền Render)</t>
        </is>
      </c>
    </row>
    <row r="58"/>
    <row r="59"/>
    <row r="60">
      <c r="G60" s="12" t="inlineStr">
        <is>
          <t>Pass</t>
        </is>
      </c>
      <c r="H60" s="13">
        <f>COUNTIF(H9:H57,"Pass")</f>
        <v/>
      </c>
    </row>
    <row r="61">
      <c r="G61" s="12" t="inlineStr">
        <is>
          <t>Fail</t>
        </is>
      </c>
      <c r="H61" s="13">
        <f>COUNTIF(H9:H57,"Fail")</f>
        <v/>
      </c>
    </row>
    <row r="62">
      <c r="G62" s="12" t="inlineStr">
        <is>
          <t>Pending</t>
        </is>
      </c>
      <c r="H62" s="13">
        <f>COUNTIF(H9:H57,"Pending")</f>
        <v/>
      </c>
    </row>
    <row r="63">
      <c r="G63" s="12" t="inlineStr">
        <is>
          <t>Total</t>
        </is>
      </c>
      <c r="H63" s="13">
        <f>SUM(H60:H62)</f>
        <v/>
      </c>
    </row>
  </sheetData>
  <autoFilter ref="A8:I57"/>
  <conditionalFormatting sqref="H9:H57">
    <cfRule type="cellIs" priority="1" operator="equal" dxfId="0">
      <formula>"Fail"</formula>
    </cfRule>
  </conditionalFormatting>
  <dataValidations count="1">
    <dataValidation sqref="H9:H57" showDropDown="0" showInputMessage="0" showErrorMessage="0" allowBlank="0" type="list">
      <formula1>"Pass,Fail,Pending"</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3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Checkpoint đồng bộ liều (SYNCCP)</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57.5" customHeight="1">
      <c r="A9" s="7" t="inlineStr">
        <is>
          <t>TC-SYNCCP-01</t>
        </is>
      </c>
      <c r="B9" s="7" t="inlineStr">
        <is>
          <t>Ghi checkpoint bằng giờ server khi patient gọi</t>
        </is>
      </c>
      <c r="C9" s="8" t="inlineStr">
        <is>
          <t>Patient có consent health_data</t>
        </is>
      </c>
      <c r="D9" s="8" t="inlineStr">
        <is>
          <t>1. POST /doses/sync-checkpoints với body chứa giờ thiết bị giả
2. Đọc dose_sync_checkpoints</t>
        </is>
      </c>
      <c r="E9" s="8" t="inlineStr">
        <is>
          <t>body {"synced_at": "2099-01-01T00:00:00Z"}</t>
        </is>
      </c>
      <c r="F9" s="8" t="inlineStr">
        <is>
          <t>204, không body; synced_at nằm giữa giờ DB trước và sau request (không dùng giờ thiết bị)</t>
        </is>
      </c>
      <c r="G9" s="8" t="inlineStr">
        <is>
          <t>Đúng như mong đợi</t>
        </is>
      </c>
      <c r="H9" s="7" t="inlineStr">
        <is>
          <t>Pass</t>
        </is>
      </c>
      <c r="I9" s="8" t="inlineStr">
        <is>
          <t>AC13 · EP (1) · test_patient_records_server_time_204__AC13</t>
        </is>
      </c>
      <c r="K9" s="9" t="inlineStr">
        <is>
          <t>Người gọi</t>
        </is>
      </c>
      <c r="L9" s="10" t="inlineStr">
        <is>
          <t>patient đã xác thực, có consent health_data</t>
        </is>
      </c>
      <c r="M9" s="10" t="inlineStr">
        <is>
          <t>1</t>
        </is>
      </c>
      <c r="N9" s="10" t="inlineStr">
        <is>
          <t>chưa xác thực
tài khoản admin
đã rút consent health_data</t>
        </is>
      </c>
      <c r="O9" s="10" t="inlineStr">
        <is>
          <t>4
5
6</t>
        </is>
      </c>
    </row>
    <row r="10" ht="107" customHeight="1">
      <c r="A10" s="7" t="inlineStr">
        <is>
          <t>TC-SYNCCP-02</t>
        </is>
      </c>
      <c r="B10" s="7" t="inlineStr">
        <is>
          <t>Không lùi checkpoint khi gọi lại</t>
        </is>
      </c>
      <c r="C10" s="8" t="inlineStr">
        <is>
          <t>synced_at đã ở tương lai 1 ngày</t>
        </is>
      </c>
      <c r="D10" s="8" t="inlineStr">
        <is>
          <t>1. POST lại
2. Đọc synced_at</t>
        </is>
      </c>
      <c r="E10" s="8" t="inlineStr">
        <is>
          <t>synced_at = now + 1 ngày</t>
        </is>
      </c>
      <c r="F10" s="8" t="inlineStr">
        <is>
          <t>204; synced_at giữ nguyên</t>
        </is>
      </c>
      <c r="G10" s="8" t="inlineStr">
        <is>
          <t>Đúng như mong đợi</t>
        </is>
      </c>
      <c r="H10" s="7" t="inlineStr">
        <is>
          <t>Pass</t>
        </is>
      </c>
      <c r="I10" s="8" t="inlineStr">
        <is>
          <t>AC13 · test_never_moves_back__AC13</t>
        </is>
      </c>
      <c r="K10" s="9" t="inlineStr">
        <is>
          <t>Kết quả các mục trong hàng chờ (mobile)</t>
        </is>
      </c>
      <c r="L10" s="10" t="inlineStr">
        <is>
          <t>mọi mục 2xx hoặc lỗi cuối 404/409/422
hàng chờ trống</t>
        </is>
      </c>
      <c r="M10" s="10" t="inlineStr">
        <is>
          <t>2
3</t>
        </is>
      </c>
      <c r="N10" s="10" t="inlineStr">
        <is>
          <t>lỗi mạng
5xx
408
429
401
403</t>
        </is>
      </c>
      <c r="O10" s="10" t="inlineStr">
        <is>
          <t>7
8
9
10
11
12</t>
        </is>
      </c>
    </row>
    <row r="11" ht="41" customHeight="1">
      <c r="A11" s="7" t="inlineStr">
        <is>
          <t>TC-SYNCCP-03</t>
        </is>
      </c>
      <c r="B11" s="7" t="inlineStr">
        <is>
          <t>Từ chối gọi không có token</t>
        </is>
      </c>
      <c r="C11" s="8" t="inlineStr">
        <is>
          <t>Không đăng nhập</t>
        </is>
      </c>
      <c r="D11" s="8" t="inlineStr">
        <is>
          <t>1. POST /doses/sync-checkpoints không Authorization</t>
        </is>
      </c>
      <c r="E11" s="8" t="inlineStr">
        <is>
          <t>(blank)</t>
        </is>
      </c>
      <c r="F11" s="8" t="inlineStr">
        <is>
          <t>401 {"detail": "Missing bearer token"}</t>
        </is>
      </c>
      <c r="G11" s="8" t="inlineStr">
        <is>
          <t>Đúng như mong đợi</t>
        </is>
      </c>
      <c r="H11" s="7" t="inlineStr">
        <is>
          <t>Pass</t>
        </is>
      </c>
      <c r="I11" s="8" t="inlineStr">
        <is>
          <t>AC13 · EP (4) · test_unauthenticated_401__AC13</t>
        </is>
      </c>
    </row>
    <row r="12" ht="41" customHeight="1">
      <c r="A12" s="7" t="inlineStr">
        <is>
          <t>TC-SYNCCP-04</t>
        </is>
      </c>
      <c r="B12" s="7" t="inlineStr">
        <is>
          <t>Chỉ ghi checkpoint của chính người gọi</t>
        </is>
      </c>
      <c r="C12" s="8" t="inlineStr">
        <is>
          <t>F là người thân của P</t>
        </is>
      </c>
      <c r="D12" s="8" t="inlineStr">
        <is>
          <t>1. F gọi POST
2. Đọc checkpoint của F, P</t>
        </is>
      </c>
      <c r="E12" s="8" t="inlineStr">
        <is>
          <t>Bearer của F</t>
        </is>
      </c>
      <c r="F12" s="8" t="inlineStr">
        <is>
          <t>Chỉ F có checkpoint; P và người khác không</t>
        </is>
      </c>
      <c r="G12" s="8" t="inlineStr">
        <is>
          <t>Đúng như mong đợi</t>
        </is>
      </c>
      <c r="H12" s="7" t="inlineStr">
        <is>
          <t>Pass</t>
        </is>
      </c>
      <c r="I12" s="8" t="inlineStr">
        <is>
          <t>AC13 · test_only_callers_own_checkpoint__AC13</t>
        </is>
      </c>
    </row>
    <row r="13" ht="41" customHeight="1">
      <c r="A13" s="7" t="inlineStr">
        <is>
          <t>TC-SYNCCP-05</t>
        </is>
      </c>
      <c r="B13" s="7" t="inlineStr">
        <is>
          <t>Cập nhật một checkpoint khi patient có hai thiết bị</t>
        </is>
      </c>
      <c r="C13" s="8" t="inlineStr">
        <is>
          <t>Hai phiên mobile của cùng P</t>
        </is>
      </c>
      <c r="D13" s="8" t="inlineStr">
        <is>
          <t>1. Phiên 1 POST
2. Phiên 2 POST</t>
        </is>
      </c>
      <c r="E13" s="8" t="inlineStr">
        <is>
          <t>2 Bearer cùng user</t>
        </is>
      </c>
      <c r="F13" s="8" t="inlineStr">
        <is>
          <t>Cả hai 204; một dòng; synced_at lần sau ≥ lần trước</t>
        </is>
      </c>
      <c r="G13" s="8" t="inlineStr">
        <is>
          <t>Đúng như mong đợi</t>
        </is>
      </c>
      <c r="H13" s="7" t="inlineStr">
        <is>
          <t>Pass</t>
        </is>
      </c>
      <c r="I13" s="8" t="inlineStr">
        <is>
          <t>AC14 · test_two_devices_one_checkpoint__AC14</t>
        </is>
      </c>
    </row>
    <row r="14" ht="57.5" customHeight="1">
      <c r="A14" s="7" t="inlineStr">
        <is>
          <t>TC-SYNCCP-06</t>
        </is>
      </c>
      <c r="B14" s="7" t="inlineStr">
        <is>
          <t>Từ chối tài khoản admin và ghi denied</t>
        </is>
      </c>
      <c r="C14" s="8" t="inlineStr">
        <is>
          <t>Phiên admin_web</t>
        </is>
      </c>
      <c r="D14" s="8" t="inlineStr">
        <is>
          <t>1. Admin POST
2. Đọc access_logs</t>
        </is>
      </c>
      <c r="E14" s="8" t="inlineStr">
        <is>
          <t>Bearer admin</t>
        </is>
      </c>
      <c r="F14" s="8" t="inlineStr">
        <is>
          <t>403 {"detail": "khong_co_quyen"}; không checkpoint; access_logs (admin, denied, khong_co_quyen)</t>
        </is>
      </c>
      <c r="G14" s="8" t="inlineStr">
        <is>
          <t>Đúng như mong đợi</t>
        </is>
      </c>
      <c r="H14" s="7" t="inlineStr">
        <is>
          <t>Pass</t>
        </is>
      </c>
      <c r="I14" s="8" t="inlineStr">
        <is>
          <t>EP (5) · test_admin_403_khong_co_quyen_logs_denied</t>
        </is>
      </c>
    </row>
    <row r="15" ht="57.5" customHeight="1">
      <c r="A15" s="7" t="inlineStr">
        <is>
          <t>TC-SYNCCP-07</t>
        </is>
      </c>
      <c r="B15" s="7" t="inlineStr">
        <is>
          <t>Từ chối patient đã rút consent health_data</t>
        </is>
      </c>
      <c r="C15" s="8" t="inlineStr">
        <is>
          <t>consent health_data = thu_hoi</t>
        </is>
      </c>
      <c r="D15" s="8" t="inlineStr">
        <is>
          <t>1. POST
2. Đọc checkpoint, access_logs</t>
        </is>
      </c>
      <c r="E15" s="8" t="inlineStr">
        <is>
          <t>Bearer của P</t>
        </is>
      </c>
      <c r="F15" s="8" t="inlineStr">
        <is>
          <t>403 {"detail": "consent_revoked"}; không checkpoint; không dòng access_logs (chính chủ, audit_self = false theo contract)</t>
        </is>
      </c>
      <c r="G15" s="8" t="inlineStr">
        <is>
          <t>Đúng như mong đợi</t>
        </is>
      </c>
      <c r="H15" s="7" t="inlineStr">
        <is>
          <t>Pass</t>
        </is>
      </c>
      <c r="I15" s="8" t="inlineStr">
        <is>
          <t>EP (6) · test_consent_revoked_403_no_record</t>
        </is>
      </c>
    </row>
    <row r="16" ht="41" customHeight="1">
      <c r="A16" s="7" t="inlineStr">
        <is>
          <t>TC-SYNCCP-08</t>
        </is>
      </c>
      <c r="B16" s="7" t="inlineStr">
        <is>
          <t>Không ghi access_logs khi patient tự ghi checkpoint</t>
        </is>
      </c>
      <c r="C16" s="8" t="inlineStr">
        <is>
          <t>Patient hợp lệ</t>
        </is>
      </c>
      <c r="D16" s="8" t="inlineStr">
        <is>
          <t>1. POST
2. Đọc access_logs của P</t>
        </is>
      </c>
      <c r="E16" s="8" t="inlineStr">
        <is>
          <t>Bearer của P</t>
        </is>
      </c>
      <c r="F16" s="8" t="inlineStr">
        <is>
          <t>204; access_logs của P trống</t>
        </is>
      </c>
      <c r="G16" s="8" t="inlineStr">
        <is>
          <t>Đúng như mong đợi</t>
        </is>
      </c>
      <c r="H16" s="7" t="inlineStr">
        <is>
          <t>Pass</t>
        </is>
      </c>
      <c r="I16" s="8" t="inlineStr">
        <is>
          <t>test_success_writes_no_access_log</t>
        </is>
      </c>
    </row>
    <row r="17" ht="41" customHeight="1">
      <c r="A17" s="7" t="inlineStr">
        <is>
          <t>TC-SYNCCP-09</t>
        </is>
      </c>
      <c r="B17" s="7" t="inlineStr">
        <is>
          <t>Trả 503 và không ghi gì khi DB lỗi</t>
        </is>
      </c>
      <c r="C17" s="8" t="inlineStr">
        <is>
          <t>Giả lập lỗi khi ghi checkpoint</t>
        </is>
      </c>
      <c r="D17" s="8" t="inlineStr">
        <is>
          <t>1. POST</t>
        </is>
      </c>
      <c r="E17" s="8" t="inlineStr">
        <is>
          <t>RuntimeError giả lập</t>
        </is>
      </c>
      <c r="F17" s="8" t="inlineStr">
        <is>
          <t>503 {"detail": "service_unavailable"}; không checkpoint</t>
        </is>
      </c>
      <c r="G17" s="8" t="inlineStr">
        <is>
          <t>Đúng như mong đợi</t>
        </is>
      </c>
      <c r="H17" s="7" t="inlineStr">
        <is>
          <t>Pass</t>
        </is>
      </c>
      <c r="I17" s="8" t="inlineStr">
        <is>
          <t>test_db_failure_503_records_nothing</t>
        </is>
      </c>
    </row>
    <row r="18" ht="57.5" customHeight="1">
      <c r="A18" s="7" t="inlineStr">
        <is>
          <t>TC-SYNCCP-10</t>
        </is>
      </c>
      <c r="B18" s="7" t="inlineStr">
        <is>
          <t>Khớp contract của endpoint checkpoint</t>
        </is>
      </c>
      <c r="C18" s="8" t="inlineStr">
        <is>
          <t>api_contract/openapi.json</t>
        </is>
      </c>
      <c r="D18" s="8" t="inlineStr">
        <is>
          <t>1. Đối chiếu operationId, response, không requestBody
2. Gọi thành công và không token</t>
        </is>
      </c>
      <c r="E18" s="8" t="inlineStr">
        <is>
          <t>recordDoseSyncCheckpoint</t>
        </is>
      </c>
      <c r="F18" s="8" t="inlineStr">
        <is>
          <t>Response 204/401/403/503; 204 không body; 401 khi không token</t>
        </is>
      </c>
      <c r="G18" s="8" t="inlineStr">
        <is>
          <t>Đúng như mong đợi</t>
        </is>
      </c>
      <c r="H18" s="7" t="inlineStr">
        <is>
          <t>Pass</t>
        </is>
      </c>
      <c r="I18" s="8" t="inlineStr">
        <is>
          <t>AC41 · test_response_matches_contract__AC41</t>
        </is>
      </c>
    </row>
    <row r="19" ht="41" customHeight="1">
      <c r="A19" s="7" t="inlineStr">
        <is>
          <t>TC-SYNCCP-11</t>
        </is>
      </c>
      <c r="B19" s="7" t="inlineStr">
        <is>
          <t>Xóa checkpoint và hàng chờ xác minh khi xóa dữ liệu patient</t>
        </is>
      </c>
      <c r="C19" s="8" t="inlineStr">
        <is>
          <t>P có checkpoint và một dòng hàng chờ</t>
        </is>
      </c>
      <c r="D19" s="8" t="inlineStr">
        <is>
          <t>1. Chạy adherence.eraser bằng worker_role</t>
        </is>
      </c>
      <c r="E19" s="8" t="inlineStr">
        <is>
          <t>QD-35</t>
        </is>
      </c>
      <c r="F19" s="8" t="inlineStr">
        <is>
          <t>Không còn checkpoint và hàng chờ của P</t>
        </is>
      </c>
      <c r="G19" s="8" t="inlineStr">
        <is>
          <t>Đúng như mong đợi</t>
        </is>
      </c>
      <c r="H19" s="7" t="inlineStr">
        <is>
          <t>Pass</t>
        </is>
      </c>
      <c r="I19" s="8" t="inlineStr">
        <is>
          <t>AC16 · test_erase_removes_checkpoint_and_pending__AC16</t>
        </is>
      </c>
    </row>
    <row r="20" ht="74" customHeight="1">
      <c r="A20" s="7" t="inlineStr">
        <is>
          <t>TC-SYNCCP-12</t>
        </is>
      </c>
      <c r="B20" s="7" t="inlineStr">
        <is>
          <t>Cấp quyền tối thiểu cho api_role và worker_role trên hai bảng mới</t>
        </is>
      </c>
      <c r="C20" s="8" t="inlineStr">
        <is>
          <t>DB local sau migration</t>
        </is>
      </c>
      <c r="D20" s="8" t="inlineStr">
        <is>
          <t>1. Thử SELECT/INSERT/UPDATE/DELETE bằng từng role (rollback)</t>
        </is>
      </c>
      <c r="E20" s="8" t="inlineStr">
        <is>
          <t>dose_sync_checkpoints, missed_dose_pending_verifications</t>
        </is>
      </c>
      <c r="F20" s="8" t="inlineStr">
        <is>
          <t>api_role: checkpoint SELECT/INSERT/UPDATE, không DELETE; hàng chờ không quyền gì. worker_role: checkpoint SELECT/DELETE; hàng chờ SELECT/INSERT/DELETE, không UPDATE</t>
        </is>
      </c>
      <c r="G20" s="8" t="inlineStr">
        <is>
          <t>Đúng như mong đợi</t>
        </is>
      </c>
      <c r="H20" s="7" t="inlineStr">
        <is>
          <t>Pass</t>
        </is>
      </c>
      <c r="I20" s="8" t="inlineStr">
        <is>
          <t>P27 · test_role_grants_are_minimal[api_role], test_role_grants_are_minimal[worker_role]</t>
        </is>
      </c>
    </row>
    <row r="21" ht="74" customHeight="1">
      <c r="A21" s="7" t="inlineStr">
        <is>
          <t>TC-SYNCCP-13</t>
        </is>
      </c>
      <c r="B21" s="7" t="inlineStr">
        <is>
          <t>Bật RLS và chặn anon, authenticated, service_role ghi</t>
        </is>
      </c>
      <c r="C21" s="8" t="inlineStr">
        <is>
          <t>DB local</t>
        </is>
      </c>
      <c r="D21" s="8" t="inlineStr">
        <is>
          <t>1. Đọc relrowsecurity, has_table_privilege, pg_policies</t>
        </is>
      </c>
      <c r="E21" s="8" t="inlineStr">
        <is>
          <t>anon, authenticated, service_role</t>
        </is>
      </c>
      <c r="F21" s="8" t="inlineStr">
        <is>
          <t>RLS bật; anon/authenticated không quyền nào; service_role không INSERT/UPDATE/DELETE/TRUNCATE; policy chỉ cho api_role/worker_role</t>
        </is>
      </c>
      <c r="G21" s="8" t="inlineStr">
        <is>
          <t>Đúng như mong đợi</t>
        </is>
      </c>
      <c r="H21" s="7" t="inlineStr">
        <is>
          <t>Pass</t>
        </is>
      </c>
      <c r="I21" s="8" t="inlineStr">
        <is>
          <t>P27 · test_rls_on_and_client_roles_have_no_access</t>
        </is>
      </c>
    </row>
    <row r="22" ht="74" customHeight="1">
      <c r="A22" s="7" t="inlineStr">
        <is>
          <t>TC-SYNCCP-14</t>
        </is>
      </c>
      <c r="B22" s="7" t="inlineStr">
        <is>
          <t>Chặn dòng trùng, khóa ngoại sai và giá trị rỗng</t>
        </is>
      </c>
      <c r="C22" s="8" t="inlineStr">
        <is>
          <t>DB local</t>
        </is>
      </c>
      <c r="D22" s="8" t="inlineStr">
        <is>
          <t>1. Chèn trùng PK hàng chờ
2. Chèn user/lịch không tồn tại
3. Chèn synced_at NULL</t>
        </is>
      </c>
      <c r="E22" s="8" t="inlineStr">
        <is>
          <t>uuid ngẫu nhiên, schedule_id = -1</t>
        </is>
      </c>
      <c r="F22" s="8" t="inlineStr">
        <is>
          <t>IntegrityError duplicate key / foreign key / null value</t>
        </is>
      </c>
      <c r="G22" s="8" t="inlineStr">
        <is>
          <t>Đúng như mong đợi</t>
        </is>
      </c>
      <c r="H22" s="7" t="inlineStr">
        <is>
          <t>Pass</t>
        </is>
      </c>
      <c r="I22" s="8" t="inlineStr">
        <is>
          <t>P27 · test_pending_primary_key_blocks_duplicate, test_foreign_keys_reject_unknown_user_and_schedule, test_not_null_columns</t>
        </is>
      </c>
    </row>
    <row r="23" ht="74" customHeight="1">
      <c r="A23" s="7" t="inlineStr">
        <is>
          <t>TC-SYNCCP-15</t>
        </is>
      </c>
      <c r="B23" s="7" t="inlineStr">
        <is>
          <t>Gửi checkpoint đúng một lần sau khi mọi mục có kết quả cuối (mobile)</t>
        </is>
      </c>
      <c r="C23" s="8" t="inlineStr">
        <is>
          <t>Flutter unit test; hàng chờ 3 mục</t>
        </is>
      </c>
      <c r="D23" s="8" t="inlineStr">
        <is>
          <t>1. Đồng bộ với các mục 2xx
2. Lặp với mục lỗi 404, 409, 422</t>
        </is>
      </c>
      <c r="E23" s="8" t="inlineStr">
        <is>
          <t>3 mục</t>
        </is>
      </c>
      <c r="F23" s="8" t="inlineStr">
        <is>
          <t>Một lần POST /doses/sync-checkpoints sau cùng; 404/409/422 tính là kết quả cuối</t>
        </is>
      </c>
      <c r="G23" s="8" t="inlineStr">
        <is>
          <t>Đúng như mong đợi</t>
        </is>
      </c>
      <c r="H23" s="7" t="inlineStr">
        <is>
          <t>Pass</t>
        </is>
      </c>
      <c r="I23" s="8" t="inlineStr">
        <is>
          <t>AC15 · EP (2) · 'checkpoint after all final results', '404/409/422 item failure counts as final'</t>
        </is>
      </c>
    </row>
    <row r="24" ht="57.5" customHeight="1">
      <c r="A24" s="7" t="inlineStr">
        <is>
          <t>TC-SYNCCP-16</t>
        </is>
      </c>
      <c r="B24" s="7" t="inlineStr">
        <is>
          <t>Không gửi checkpoint khi còn mục lỗi chưa phải kết quả cuối (mobile)</t>
        </is>
      </c>
      <c r="C24" s="8" t="inlineStr">
        <is>
          <t>Flutter unit test</t>
        </is>
      </c>
      <c r="D24" s="8" t="inlineStr">
        <is>
          <t>1. Đồng bộ với một mục lỗi mạng / 500 / 408 / 429 / 401 / 403</t>
        </is>
      </c>
      <c r="E24" s="8" t="inlineStr">
        <is>
          <t>6 loại lỗi</t>
        </is>
      </c>
      <c r="F24" s="8" t="inlineStr">
        <is>
          <t>Không gọi checkpoint</t>
        </is>
      </c>
      <c r="G24" s="8" t="inlineStr">
        <is>
          <t>Đúng như mong đợi</t>
        </is>
      </c>
      <c r="H24" s="7" t="inlineStr">
        <is>
          <t>Pass</t>
        </is>
      </c>
      <c r="I24" s="8" t="inlineStr">
        <is>
          <t>AC15 · EP (7,8,9,10,11,12) · 'no checkpoint on network/500/408/429/401/403 failure'</t>
        </is>
      </c>
    </row>
    <row r="25" ht="90.5" customHeight="1">
      <c r="A25" s="7" t="inlineStr">
        <is>
          <t>TC-SYNCCP-17</t>
        </is>
      </c>
      <c r="B25" s="7" t="inlineStr">
        <is>
          <t>Gửi checkpoint khi hàng chờ trống, khi có mạng lại và mỗi 15 phút (mobile)</t>
        </is>
      </c>
      <c r="C25" s="8" t="inlineStr">
        <is>
          <t>Flutter unit test</t>
        </is>
      </c>
      <c r="D25" s="8" t="inlineStr">
        <is>
          <t>1. start() và syncNow() với hàng chờ trống
2. Offline rồi có mạng
3. Timer 15'</t>
        </is>
      </c>
      <c r="E25" s="8" t="inlineStr">
        <is>
          <t>hàng chờ trống</t>
        </is>
      </c>
      <c r="F25" s="8" t="inlineStr">
        <is>
          <t>Có checkpoint mỗi lần; checkpoint lỗi được thử lại ở lần sau</t>
        </is>
      </c>
      <c r="G25" s="8" t="inlineStr">
        <is>
          <t>Đúng như mong đợi</t>
        </is>
      </c>
      <c r="H25" s="7" t="inlineStr">
        <is>
          <t>Pass</t>
        </is>
      </c>
      <c r="I25" s="8" t="inlineStr">
        <is>
          <t>AC15 · EP (3) · 'checkpoint when outbox empty, on start and syncNow', 'periodic 15 minutes while app is open', 'checkpoint when network returns'</t>
        </is>
      </c>
    </row>
    <row r="26" ht="74" customHeight="1">
      <c r="A26" s="7" t="inlineStr">
        <is>
          <t>TC-SYNCCP-18</t>
        </is>
      </c>
      <c r="B26" s="7" t="inlineStr">
        <is>
          <t>Đồng bộ nền khi nhận sync_request mà không đụng dữ liệu khác (mobile)</t>
        </is>
      </c>
      <c r="C26" s="8" t="inlineStr">
        <is>
          <t>Flutter unit test</t>
        </is>
      </c>
      <c r="D26" s="8" t="inlineStr">
        <is>
          <t>1. Không có phiên
2. Phiên hết hạn
3. Phiên hợp lệ
4. Server trả 401</t>
        </is>
      </c>
      <c r="E26" s="8" t="inlineStr">
        <is>
          <t>4 trạng thái phiên</t>
        </is>
      </c>
      <c r="F26" s="8" t="inlineStr">
        <is>
          <t>Không phiên/hết hạn: không request; hợp lệ: sync rồi checkpoint; 401: dừng, không checkpoint, không xóa phiên</t>
        </is>
      </c>
      <c r="G26" s="8" t="inlineStr">
        <is>
          <t>Đúng như mong đợi</t>
        </is>
      </c>
      <c r="H26" s="7" t="inlineStr">
        <is>
          <t>Pass</t>
        </is>
      </c>
      <c r="I26" s="8" t="inlineStr">
        <is>
          <t>AC38 · background_sync_test.dart (4 test)</t>
        </is>
      </c>
    </row>
    <row r="27" ht="90.5" customHeight="1">
      <c r="A27" s="7" t="inlineStr">
        <is>
          <t>TC-SYNCCP-19</t>
        </is>
      </c>
      <c r="B27" s="7" t="inlineStr">
        <is>
          <t>Bỏ qua sync_request trong luồng cảnh báo người thân khi app đang mở (mobile)</t>
        </is>
      </c>
      <c r="C27" s="8" t="inlineStr">
        <is>
          <t>Flutter unit test</t>
        </is>
      </c>
      <c r="D27" s="8" t="inlineStr">
        <is>
          <t>1. Nhận {type: sync_request} foreground
2. Nhận push người thân thường</t>
        </is>
      </c>
      <c r="E27" s="8" t="inlineStr">
        <is>
          <t>{"type": "sync_request"}</t>
        </is>
      </c>
      <c r="F27" s="8" t="inlineStr">
        <is>
          <t>Gọi onSyncRequest, không hiện thông báo, không mở hộp thư; push người thân xử lý như cũ</t>
        </is>
      </c>
      <c r="G27" s="8" t="inlineStr">
        <is>
          <t>Đúng như mong đợi</t>
        </is>
      </c>
      <c r="H27" s="7" t="inlineStr">
        <is>
          <t>Pass</t>
        </is>
      </c>
      <c r="I27" s="8" t="inlineStr">
        <is>
          <t>AC38 · 'sync_request ignored by family flow (foreground) and triggers sync', 'family push unchanged when onSyncRequest is set'</t>
        </is>
      </c>
    </row>
    <row r="28" ht="57.5" customHeight="1">
      <c r="A28" s="7" t="inlineStr">
        <is>
          <t>TC-SYNCCP-20</t>
        </is>
      </c>
      <c r="B28" s="7" t="inlineStr">
        <is>
          <t>Gửi checkpoint khi quay lại app và khi nhận push gõ cửa trên máy thật</t>
        </is>
      </c>
      <c r="C28" s="8" t="inlineStr">
        <is>
          <t>Emulator đăng nhập patient; backend local</t>
        </is>
      </c>
      <c r="D28" s="8" t="inlineStr">
        <is>
          <t>1. Đưa app xuống nền rồi mở lại
2. Backend gửi sync_request khi app chạy nền
3. Đọc dose_sync_checkpoints</t>
        </is>
      </c>
      <c r="E28" s="8" t="inlineStr">
        <is>
          <t>15:40:22 push gõ cửa</t>
        </is>
      </c>
      <c r="F28" s="8" t="inlineStr">
        <is>
          <t>Checkpoint mới ngay sau khi quay lại app / nhận push</t>
        </is>
      </c>
      <c r="G28" s="8" t="inlineStr">
        <is>
          <t>Push nhận 15:40:22.444, checkpoint 15:40:23</t>
        </is>
      </c>
      <c r="H28" s="7" t="inlineStr">
        <is>
          <t>Pass</t>
        </is>
      </c>
      <c r="I28" s="8" t="inlineStr">
        <is>
          <t>AC15 · AC38 · manual</t>
        </is>
      </c>
    </row>
    <row r="29"/>
    <row r="30"/>
    <row r="31">
      <c r="G31" s="12" t="inlineStr">
        <is>
          <t>Pass</t>
        </is>
      </c>
      <c r="H31" s="13">
        <f>COUNTIF(H9:H28,"Pass")</f>
        <v/>
      </c>
    </row>
    <row r="32">
      <c r="G32" s="12" t="inlineStr">
        <is>
          <t>Fail</t>
        </is>
      </c>
      <c r="H32" s="13">
        <f>COUNTIF(H9:H28,"Fail")</f>
        <v/>
      </c>
    </row>
    <row r="33">
      <c r="G33" s="12" t="inlineStr">
        <is>
          <t>Pending</t>
        </is>
      </c>
      <c r="H33" s="13">
        <f>COUNTIF(H9:H28,"Pending")</f>
        <v/>
      </c>
    </row>
    <row r="34">
      <c r="G34" s="12" t="inlineStr">
        <is>
          <t>Total</t>
        </is>
      </c>
      <c r="H34" s="13">
        <f>SUM(H31:H33)</f>
        <v/>
      </c>
    </row>
  </sheetData>
  <autoFilter ref="A8:I28"/>
  <conditionalFormatting sqref="H9:H28">
    <cfRule type="cellIs" priority="1" operator="equal" dxfId="0">
      <formula>"Fail"</formula>
    </cfRule>
  </conditionalFormatting>
  <dataValidations count="1">
    <dataValidation sqref="H9:H28" showDropDown="0" showInputMessage="0" showErrorMessage="0" allowBlank="0" type="list">
      <formula1>"Pass,Fail,Pending"</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2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Lịch sử: liều chưa xác minh (UNVERIFIED)</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07" customHeight="1">
      <c r="A9" s="7" t="inlineStr">
        <is>
          <t>TC-UNVERIFIED-01</t>
        </is>
      </c>
      <c r="B9" s="7" t="inlineStr">
        <is>
          <t>Hiện chua_xac_minh cho patient và người thân khi chưa đồng bộ</t>
        </is>
      </c>
      <c r="C9" s="8" t="inlineStr">
        <is>
          <t>Liều 08:00 chưa có dòng, đã qua hạn chót; liều 07:00 da_uong; F đủ quyền; P chưa có checkpoint</t>
        </is>
      </c>
      <c r="D9" s="8" t="inlineStr">
        <is>
          <t>1. Patient GET /adherence ngày đó
2. F GET /adherence?patient_id=P
3. Đặt cp = 09:59:59 rồi lặp lại</t>
        </is>
      </c>
      <c r="E9" s="8" t="inlineStr">
        <is>
          <t>now = 12:00</t>
        </is>
      </c>
      <c r="F9" s="8" t="inlineStr">
        <is>
          <t>Liều 08:00: chua_xac_minh, inferred, taken_at null; unverified = 1, pending = 0, counted = 1, missed = 0, adherence_rate = 100; patient_last_synced_at = null rồi '2026-10-19T09:59:59+07:00'; access_logs có allowed cho patient và family</t>
        </is>
      </c>
      <c r="G9" s="8" t="inlineStr">
        <is>
          <t>Đúng như mong đợi</t>
        </is>
      </c>
      <c r="H9" s="7" t="inlineStr">
        <is>
          <t>Pass</t>
        </is>
      </c>
      <c r="I9" s="8" t="inlineStr">
        <is>
          <t>AC40 · EP (4,5) · test_unverified_and_last_synced__AC40</t>
        </is>
      </c>
      <c r="K9" s="9" t="inlineStr">
        <is>
          <t>Checkpoint so với hạn chót của liều chưa có dòng</t>
        </is>
      </c>
      <c r="L9" s="10" t="inlineStr">
        <is>
          <t>cp ≥ D</t>
        </is>
      </c>
      <c r="M9" s="10" t="inlineStr">
        <is>
          <t>1</t>
        </is>
      </c>
      <c r="N9" s="10" t="inlineStr">
        <is>
          <t>cp &lt; D
chưa có checkpoint</t>
        </is>
      </c>
      <c r="O9" s="10" t="inlineStr">
        <is>
          <t>4
5</t>
        </is>
      </c>
    </row>
    <row r="10" ht="74" customHeight="1">
      <c r="A10" s="7" t="inlineStr">
        <is>
          <t>TC-UNVERIFIED-02</t>
        </is>
      </c>
      <c r="B10" s="7" t="inlineStr">
        <is>
          <t>Suy ra bo_lo khi checkpoint đúng bằng hạn chót</t>
        </is>
      </c>
      <c r="C10" s="8" t="inlineStr">
        <is>
          <t>Liều 08:00 chưa có dòng; nhắc bật</t>
        </is>
      </c>
      <c r="D10" s="8" t="inlineStr">
        <is>
          <t>1. Đặt cp = 10:00
2. GET /adherence</t>
        </is>
      </c>
      <c r="E10" s="8" t="inlineStr">
        <is>
          <t>cp = D</t>
        </is>
      </c>
      <c r="F10" s="8" t="inlineStr">
        <is>
          <t>bo_lo, inferred; unverified = 0; patient_last_synced_at = '2026-10-19T10:00:00+07:00'; không ghi DB</t>
        </is>
      </c>
      <c r="G10" s="8" t="inlineStr">
        <is>
          <t>Đúng như mong đợi</t>
        </is>
      </c>
      <c r="H10" s="7" t="inlineStr">
        <is>
          <t>Pass</t>
        </is>
      </c>
      <c r="I10" s="8" t="inlineStr">
        <is>
          <t>AC40 · EP (1) · BVA (min) · test_inferred_missed_after_checkpoint__AC40[True]</t>
        </is>
      </c>
      <c r="K10" s="9" t="inlineStr">
        <is>
          <t>Phản hồi API ở mobile</t>
        </is>
      </c>
      <c r="L10" s="10" t="inlineStr">
        <is>
          <t>có chua_xac_minh, taken_at null, inferred, tổng khớp
không có trường unverified (backend cũ)</t>
        </is>
      </c>
      <c r="M10" s="10" t="inlineStr">
        <is>
          <t>2
3</t>
        </is>
      </c>
      <c r="N10" s="10" t="inlineStr">
        <is>
          <t>chua_xac_minh có taken_at
chua_xac_minh với status_source = recorded
tổng không khớp</t>
        </is>
      </c>
      <c r="O10" s="10" t="inlineStr">
        <is>
          <t>6
7
8</t>
        </is>
      </c>
    </row>
    <row r="11" ht="41" customHeight="1">
      <c r="A11" s="7" t="inlineStr">
        <is>
          <t>TC-UNVERIFIED-03</t>
        </is>
      </c>
      <c r="B11" s="7" t="inlineStr">
        <is>
          <t>Suy ra bo_lo cho lịch tắt nhắc khi đã đồng bộ</t>
        </is>
      </c>
      <c r="C11" s="8" t="inlineStr">
        <is>
          <t>Lịch tắt nhắc; cp = D</t>
        </is>
      </c>
      <c r="D11" s="8" t="inlineStr">
        <is>
          <t>1. GET /adherence</t>
        </is>
      </c>
      <c r="E11" s="8" t="inlineStr">
        <is>
          <t>reminder_enabled = false</t>
        </is>
      </c>
      <c r="F11" s="8" t="inlineStr">
        <is>
          <t>bo_lo, inferred</t>
        </is>
      </c>
      <c r="G11" s="8" t="inlineStr">
        <is>
          <t>Đúng như mong đợi</t>
        </is>
      </c>
      <c r="H11" s="7" t="inlineStr">
        <is>
          <t>Pass</t>
        </is>
      </c>
      <c r="I11" s="8" t="inlineStr">
        <is>
          <t>AC40 · test_inferred_missed_after_checkpoint__AC40[False]</t>
        </is>
      </c>
    </row>
    <row r="12" ht="41" customHeight="1">
      <c r="A12" s="7" t="inlineStr">
        <is>
          <t>TC-UNVERIFIED-04</t>
        </is>
      </c>
      <c r="B12" s="7" t="inlineStr">
        <is>
          <t>Hiện bo_lo recorded sau khi Worker ghi</t>
        </is>
      </c>
      <c r="C12" s="8" t="inlineStr">
        <is>
          <t>Liều đang chua_xac_minh</t>
        </is>
      </c>
      <c r="D12" s="8" t="inlineStr">
        <is>
          <t>1. Worker ghi bo_lo
2. GET /adherence</t>
        </is>
      </c>
      <c r="E12" s="8" t="inlineStr">
        <is>
          <t>dose_logs bo_lo</t>
        </is>
      </c>
      <c r="F12" s="8" t="inlineStr">
        <is>
          <t>bo_lo, recorded</t>
        </is>
      </c>
      <c r="G12" s="8" t="inlineStr">
        <is>
          <t>Đúng như mong đợi</t>
        </is>
      </c>
      <c r="H12" s="7" t="inlineStr">
        <is>
          <t>Pass</t>
        </is>
      </c>
      <c r="I12" s="8" t="inlineStr">
        <is>
          <t>AC40 · test_recorded_after_worker__AC40</t>
        </is>
      </c>
    </row>
    <row r="13" ht="90.5" customHeight="1">
      <c r="A13" s="7" t="inlineStr">
        <is>
          <t>TC-UNVERIFIED-05</t>
        </is>
      </c>
      <c r="B13" s="7" t="inlineStr">
        <is>
          <t>Coi checkpoint sớm hơn hạn chót 1 micro giây là chưa xác minh (domain)</t>
        </is>
      </c>
      <c r="C13" s="8" t="inlineStr">
        <is>
          <t>Unit test</t>
        </is>
      </c>
      <c r="D13" s="8" t="inlineStr">
        <is>
          <t>1. dose_view với synced_at = D − 1 µs và None</t>
        </is>
      </c>
      <c r="E13" s="8" t="inlineStr">
        <is>
          <t>synced_at = D − 1 µs</t>
        </is>
      </c>
      <c r="F13" s="8" t="inlineStr">
        <is>
          <t>chua_xac_minh; với cp = D là bo_lo inferred</t>
        </is>
      </c>
      <c r="G13" s="8" t="inlineStr">
        <is>
          <t>Đúng như mong đợi</t>
        </is>
      </c>
      <c r="H13" s="7" t="inlineStr">
        <is>
          <t>Pass</t>
        </is>
      </c>
      <c r="I13" s="8" t="inlineStr">
        <is>
          <t>AC40 · BVA (min-1) · test_unverified_when_checkpoint_before_deadline__AC40, test_inferred_missed_when_checkpoint_at_deadline__AC40</t>
        </is>
      </c>
    </row>
    <row r="14" ht="74" customHeight="1">
      <c r="A14" s="7" t="inlineStr">
        <is>
          <t>TC-UNVERIFIED-06</t>
        </is>
      </c>
      <c r="B14" s="7" t="inlineStr">
        <is>
          <t>Khớp contract với biến thể chua_xac_minh</t>
        </is>
      </c>
      <c r="C14" s="8" t="inlineStr">
        <is>
          <t>Unit test contract</t>
        </is>
      </c>
      <c r="D14" s="8" t="inlineStr">
        <is>
          <t>1. Kiểm mọi ví dụ trong openapi.json
2. Gửi chua_xac_minh có taken_at hoặc recorded</t>
        </is>
      </c>
      <c r="E14" s="8" t="inlineStr">
        <is>
          <t>AdherenceDose, AdherenceSummary</t>
        </is>
      </c>
      <c r="F14" s="8" t="inlineStr">
        <is>
          <t>Ví dụ hợp lệ; tổng gồm unverified; patient_last_synced_at bắt buộc, giờ VN; biến thể sai bị từ chối</t>
        </is>
      </c>
      <c r="G14" s="8" t="inlineStr">
        <is>
          <t>Đúng như mong đợi</t>
        </is>
      </c>
      <c r="H14" s="7" t="inlineStr">
        <is>
          <t>Pass</t>
        </is>
      </c>
      <c r="I14" s="8" t="inlineStr">
        <is>
          <t>AC41 · test_unverified_variant_validates_on_wire__AC40_AC41, test_reject_unverified_with_taken_at_or_recorded__AC41</t>
        </is>
      </c>
    </row>
    <row r="15" ht="57.5" customHeight="1">
      <c r="A15" s="7" t="inlineStr">
        <is>
          <t>TC-UNVERIFIED-07</t>
        </is>
      </c>
      <c r="B15" s="7" t="inlineStr">
        <is>
          <t>Đọc phản hồi có chua_xac_minh ở hai màn lịch sử (mobile)</t>
        </is>
      </c>
      <c r="C15" s="8" t="inlineStr">
        <is>
          <t>Flutter unit test mapper 3.24 và 3.02</t>
        </is>
      </c>
      <c r="D15" s="8" t="inlineStr">
        <is>
          <t>1. Parse JSON có một liều chua_xac_minh, unverified = 1</t>
        </is>
      </c>
      <c r="E15" s="8" t="inlineStr">
        <is>
          <t>status = chua_xac_minh</t>
        </is>
      </c>
      <c r="F15" s="8" t="inlineStr">
        <is>
          <t>Liều có trạng thái unverified, nhãn 'Chưa xác minh', các liều khác như cũ, tổng khớp</t>
        </is>
      </c>
      <c r="G15" s="8" t="inlineStr">
        <is>
          <t>Đúng như mong đợi</t>
        </is>
      </c>
      <c r="H15" s="7" t="inlineStr">
        <is>
          <t>Pass</t>
        </is>
      </c>
      <c r="I15" s="8" t="inlineStr">
        <is>
          <t>AC50 · EP (2) · 'parses chua_xac_minh + unverified'</t>
        </is>
      </c>
    </row>
    <row r="16" ht="41" customHeight="1">
      <c r="A16" s="7" t="inlineStr">
        <is>
          <t>TC-UNVERIFIED-08</t>
        </is>
      </c>
      <c r="B16" s="7" t="inlineStr">
        <is>
          <t>Đọc phản hồi của backend cũ không có unverified (mobile)</t>
        </is>
      </c>
      <c r="C16" s="8" t="inlineStr">
        <is>
          <t>Flutter unit test</t>
        </is>
      </c>
      <c r="D16" s="8" t="inlineStr">
        <is>
          <t>1. Parse JSON không có trường unverified</t>
        </is>
      </c>
      <c r="E16" s="8" t="inlineStr">
        <is>
          <t>(không có unverified)</t>
        </is>
      </c>
      <c r="F16" s="8" t="inlineStr">
        <is>
          <t>unverified = 0, không lỗi</t>
        </is>
      </c>
      <c r="G16" s="8" t="inlineStr">
        <is>
          <t>Đúng như mong đợi</t>
        </is>
      </c>
      <c r="H16" s="7" t="inlineStr">
        <is>
          <t>Pass</t>
        </is>
      </c>
      <c r="I16" s="8" t="inlineStr">
        <is>
          <t>AC50 · EP (3) · 'missing unverified defaults to 0'</t>
        </is>
      </c>
    </row>
    <row r="17" ht="74" customHeight="1">
      <c r="A17" s="7" t="inlineStr">
        <is>
          <t>TC-UNVERIFIED-09</t>
        </is>
      </c>
      <c r="B17" s="7" t="inlineStr">
        <is>
          <t>Báo lỗi dữ liệu khi chua_xac_minh sai định dạng (mobile)</t>
        </is>
      </c>
      <c r="C17" s="8" t="inlineStr">
        <is>
          <t>Flutter unit test</t>
        </is>
      </c>
      <c r="D17" s="8" t="inlineStr">
        <is>
          <t>1. Parse chua_xac_minh có taken_at
2. chua_xac_minh với recorded
3. Tổng không khớp</t>
        </is>
      </c>
      <c r="E17" s="8" t="inlineStr">
        <is>
          <t>3 biến thể sai</t>
        </is>
      </c>
      <c r="F17" s="8" t="inlineStr">
        <is>
          <t>FormatException như hiện tại</t>
        </is>
      </c>
      <c r="G17" s="8" t="inlineStr">
        <is>
          <t>Đúng như mong đợi</t>
        </is>
      </c>
      <c r="H17" s="7" t="inlineStr">
        <is>
          <t>Pass</t>
        </is>
      </c>
      <c r="I17" s="8" t="inlineStr">
        <is>
          <t>AC50 · EP (6,7,8) · 'rejects chua_xac_minh with taken_at or recorded source', 'rejects total mismatch with unverified'</t>
        </is>
      </c>
    </row>
    <row r="18" ht="57.5" customHeight="1">
      <c r="A18" s="7" t="inlineStr">
        <is>
          <t>TC-UNVERIFIED-10</t>
        </is>
      </c>
      <c r="B18" s="7" t="inlineStr">
        <is>
          <t>Hiện nhãn 'Chưa xác minh' trên màn lịch sử của người thân trên máy thật</t>
        </is>
      </c>
      <c r="C18" s="8" t="inlineStr">
        <is>
          <t>Liều quá hạn chót, patient chưa đồng bộ (không mở app patient)</t>
        </is>
      </c>
      <c r="D18" s="8" t="inlineStr">
        <is>
          <t>1. Trên máy người thân mở lịch sử tuân thủ của patient hôm nay</t>
        </is>
      </c>
      <c r="E18" s="8" t="inlineStr">
        <is>
          <t>Liều 13:52</t>
        </is>
      </c>
      <c r="F18" s="8" t="inlineStr">
        <is>
          <t>Liều hiện nhãn 'Chưa xác minh', icon đám mây gạch chéo, màu trung tính; không tính vào tỷ lệ</t>
        </is>
      </c>
      <c r="G18" s="8" t="inlineStr"/>
      <c r="H18" s="7" t="inlineStr">
        <is>
          <t>Pending</t>
        </is>
      </c>
      <c r="I18" s="8" t="inlineStr">
        <is>
          <t>AC40 · AC50 · manual (backend đã trả chua_xac_minh, chờ người dùng xem trên app)</t>
        </is>
      </c>
    </row>
    <row r="19"/>
    <row r="20"/>
    <row r="21">
      <c r="G21" s="12" t="inlineStr">
        <is>
          <t>Pass</t>
        </is>
      </c>
      <c r="H21" s="13">
        <f>COUNTIF(H9:H18,"Pass")</f>
        <v/>
      </c>
    </row>
    <row r="22">
      <c r="G22" s="12" t="inlineStr">
        <is>
          <t>Fail</t>
        </is>
      </c>
      <c r="H22" s="13">
        <f>COUNTIF(H9:H18,"Fail")</f>
        <v/>
      </c>
    </row>
    <row r="23">
      <c r="G23" s="12" t="inlineStr">
        <is>
          <t>Pending</t>
        </is>
      </c>
      <c r="H23" s="13">
        <f>COUNTIF(H9:H18,"Pending")</f>
        <v/>
      </c>
    </row>
    <row r="24">
      <c r="G24" s="12" t="inlineStr">
        <is>
          <t>Total</t>
        </is>
      </c>
      <c r="H24" s="13">
        <f>SUM(H21:H23)</f>
        <v/>
      </c>
    </row>
  </sheetData>
  <autoFilter ref="A8:I18"/>
  <conditionalFormatting sqref="H9:H18">
    <cfRule type="cellIs" priority="1" operator="equal" dxfId="0">
      <formula>"Fail"</formula>
    </cfRule>
  </conditionalFormatting>
  <dataValidations count="1">
    <dataValidation sqref="H9:H18" showDropDown="0" showInputMessage="0" showErrorMessage="0" allowBlank="0" type="list">
      <formula1>"Pass,Fail,Pending"</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3"/>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DrugTime Team</t>
        </is>
      </c>
      <c r="F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kết'!$H$38+'Bỏ lỡ liều có xác minh'!$H$60+'Checkpoint đồng bộ liều'!$H$31+'Lịch sử chưa xác minh'!$H$21</f>
        <v/>
      </c>
      <c r="D3" s="11">
        <f>'Chọn thuốc danh mục'!$H$40+'Hồi quy xác nhận liều'!$H$12+'Cảnh báo người thân'!$H$84+'FCM token Android'!$H$24+'Redeem flow E2E'!$H$34+'Lịch sử tuân thủ người thân'!$H$64</f>
        <v/>
      </c>
      <c r="E3" s="11">
        <f>'Người giám sát'!$H$47</f>
        <v/>
      </c>
      <c r="F3" s="15">
        <f>SUM(C3:E3)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kết'!$H$39+'Bỏ lỡ liều có xác minh'!$H$61+'Checkpoint đồng bộ liều'!$H$32+'Lịch sử chưa xác minh'!$H$22</f>
        <v/>
      </c>
      <c r="D4" s="11">
        <f>'Chọn thuốc danh mục'!$H$41+'Hồi quy xác nhận liều'!$H$13+'Cảnh báo người thân'!$H$85+'FCM token Android'!$H$25+'Redeem flow E2E'!$H$35+'Lịch sử tuân thủ người thân'!$H$65</f>
        <v/>
      </c>
      <c r="E4" s="11">
        <f>'Người giám sát'!$H$48</f>
        <v/>
      </c>
      <c r="F4" s="15">
        <f>SUM(C4:E4)</f>
        <v/>
      </c>
    </row>
    <row r="5">
      <c r="A5" s="17" t="n"/>
      <c r="B5" s="9" t="inlineStr">
        <is>
          <t>(Total) Test executed (Passed + Failed)</t>
        </is>
      </c>
      <c r="C5" s="11">
        <f>C3+C4</f>
        <v/>
      </c>
      <c r="D5" s="11">
        <f>D3+D4</f>
        <v/>
      </c>
      <c r="E5" s="11">
        <f>E3+E4</f>
        <v/>
      </c>
      <c r="F5" s="15">
        <f>SUM(C5:E5)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kết'!$H$40+'Bỏ lỡ liều có xác minh'!$H$62+'Checkpoint đồng bộ liều'!$H$33+'Lịch sử chưa xác minh'!$H$23</f>
        <v/>
      </c>
      <c r="D6" s="11">
        <f>'Chọn thuốc danh mục'!$H$42+'Hồi quy xác nhận liều'!$H$14+'Cảnh báo người thân'!$H$86+'FCM token Android'!$H$26+'Redeem flow E2E'!$H$36+'Lịch sử tuân thủ người thân'!$H$66</f>
        <v/>
      </c>
      <c r="E6" s="11">
        <f>'Người giám sát'!$H$49</f>
        <v/>
      </c>
      <c r="F6" s="15">
        <f>SUM(C6:E6)</f>
        <v/>
      </c>
    </row>
    <row r="7">
      <c r="A7" s="15" t="inlineStr">
        <is>
          <t>(Sub-total) Test Planned</t>
        </is>
      </c>
      <c r="B7" s="10" t="inlineStr"/>
      <c r="C7" s="11">
        <f>C5+C6</f>
        <v/>
      </c>
      <c r="D7" s="11">
        <f>D5+D6</f>
        <v/>
      </c>
      <c r="E7" s="11">
        <f>E5+E6</f>
        <v/>
      </c>
      <c r="F7" s="15">
        <f>SUM(C7:E7)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74" customHeight="1">
      <c r="A27" s="11" t="inlineStr">
        <is>
          <t>Quản lý người giám sát</t>
        </is>
      </c>
      <c r="B27" s="10" t="inlineStr">
        <is>
          <t>Quản lý người giám sát và gỡ liên kết người thân trên mobile (task 3.27)</t>
        </is>
      </c>
      <c r="C27" s="11" t="inlineStr">
        <is>
          <t>Người giám sát</t>
        </is>
      </c>
      <c r="D27" s="18">
        <f>IFERROR(('Người giám sát'!$H$50-'Người giám sát'!$H$49)/'Người giám sát'!$H$50,0)</f>
        <v/>
      </c>
      <c r="E27" s="18">
        <f>IFERROR('Người giám sát'!$H$47/'Người giám sát'!$H$50,0)</f>
        <v/>
      </c>
      <c r="F27" s="18">
        <f>IFERROR('Người giám sát'!$H$48/'Người giám sát'!$H$50,0)</f>
        <v/>
      </c>
      <c r="G27" s="11" t="inlineStr">
        <is>
          <t>High</t>
        </is>
      </c>
      <c r="H27" s="10" t="inlineStr">
        <is>
          <t>Hoàn thành 100% kiểm thử unit, widget và tích hợp controller. 35/36 test cases pass (1 manual pending trên 2 thiết bị thật).</t>
        </is>
      </c>
      <c r="I27" s="11" t="inlineStr">
        <is>
          <t>DrugTime Team</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90.5" customHeight="1">
      <c r="A30" s="11" t="inlineStr">
        <is>
          <t>Kiểm thử xuyên hệ thống gửi yêu cầu liên kết</t>
        </is>
      </c>
      <c r="B30" s="10" t="inlineStr">
        <is>
          <t>Nhập mã hoặc quét QR gửi yêu cầu pending, giới hạn và phân quyền sau redeem.</t>
        </is>
      </c>
      <c r="C30" s="11" t="inlineStr">
        <is>
          <t>Redeem flow E2E</t>
        </is>
      </c>
      <c r="D30" s="18">
        <f>IFERROR(('Redeem flow E2E'!$H$37-'Redeem flow E2E'!$H$36)/'Redeem flow E2E'!$H$37,0)</f>
        <v/>
      </c>
      <c r="E30" s="18">
        <f>IFERROR('Redeem flow E2E'!$H$34/'Redeem flow E2E'!$H$37,0)</f>
        <v/>
      </c>
      <c r="F30" s="18">
        <f>IFERROR('Redeem flow E2E'!$H$35/'Redeem flow E2E'!$H$37,0)</f>
        <v/>
      </c>
      <c r="G30" s="11" t="inlineStr">
        <is>
          <t>High</t>
        </is>
      </c>
      <c r="H30" s="10" t="inlineStr">
        <is>
          <t>Android LM_G710: nhập mã, double tap, retry và QR sai đã đạt UI/API/DB. QR hợp lệ Fail F1; camera thật Pending. Phase 401 đạt khi chạy lại sau một lần timeout.</t>
        </is>
      </c>
      <c r="I30" s="11" t="inlineStr">
        <is>
          <t>phucnguyenngoc</t>
        </is>
      </c>
    </row>
    <row r="31" ht="140" customHeight="1">
      <c r="A31" s="11" t="inlineStr">
        <is>
          <t>Lịch sử tuân thủ cho người thân</t>
        </is>
      </c>
      <c r="B31" s="10" t="inlineStr">
        <is>
          <t>PB21: lịch sử, quyền truy cập, thu hồi, audit, tỷ lệ và dữ liệu phiên.</t>
        </is>
      </c>
      <c r="C31" s="11" t="inlineStr">
        <is>
          <t>Lịch sử tuân thủ người thân</t>
        </is>
      </c>
      <c r="D31" s="18">
        <f>IFERROR(('Lịch sử tuân thủ người thân'!$H$67-'Lịch sử tuân thủ người thân'!$H$66)/'Lịch sử tuân thủ người thân'!$H$67,0)</f>
        <v/>
      </c>
      <c r="E31" s="18">
        <f>IFERROR('Lịch sử tuân thủ người thân'!$H$64/'Lịch sử tuân thủ người thân'!$H$67,0)</f>
        <v/>
      </c>
      <c r="F31" s="18">
        <f>IFERROR('Lịch sử tuân thủ người thân'!$H$65/'Lịch sử tuân thủ người thân'!$H$67,0)</f>
        <v/>
      </c>
      <c r="G31" s="11" t="inlineStr">
        <is>
          <t>High</t>
        </is>
      </c>
      <c r="H31" s="10" t="inlineStr">
        <is>
          <t>P7: history integration 66 Pass/2 Fail; BUG-3.25-01 còn mở. Runner unit 19 Pass; host HTTP/DB/audit đạt. Android linked/revoke/cross_patient có Pass, revoke hai lần Pass sau handshake Fail đầu chưa rõ nguyên nhân. OS/cache bền/selector UI và AC8 còn Pending; BUG-3.25-02 giữ widget retest trước.</t>
        </is>
      </c>
      <c r="I31" s="11" t="inlineStr">
        <is>
          <t>phucnguyenngoc</t>
        </is>
      </c>
    </row>
    <row r="32" ht="156.5" customHeight="1">
      <c r="A32" s="11" t="inlineStr">
        <is>
          <t>Phát hiện liều bỏ lỡ có xác minh</t>
        </is>
      </c>
      <c r="B32" s="10" t="inlineStr">
        <is>
          <t>Worker quét liều quá hạn chót (giờ uống + 120'), chỉ ghi bo_lo và báo người thân khi checkpoint đồng bộ của patient &gt;= hạn chót; chưa xác minh thì vào hàng chờ và gửi push ẩn sync_request (task 3.19).</t>
        </is>
      </c>
      <c r="C32" s="11" t="inlineStr">
        <is>
          <t>Bỏ lỡ liều có xác minh</t>
        </is>
      </c>
      <c r="D32" s="18">
        <f>IFERROR(('Bỏ lỡ liều có xác minh'!$H$63-'Bỏ lỡ liều có xác minh'!$H$62)/'Bỏ lỡ liều có xác minh'!$H$63,0)</f>
        <v/>
      </c>
      <c r="E32" s="18">
        <f>IFERROR('Bỏ lỡ liều có xác minh'!$H$60/'Bỏ lỡ liều có xác minh'!$H$63,0)</f>
        <v/>
      </c>
      <c r="F32" s="18">
        <f>IFERROR('Bỏ lỡ liều có xác minh'!$H$61/'Bỏ lỡ liều có xác minh'!$H$63,0)</f>
        <v/>
      </c>
      <c r="G32" s="11" t="inlineStr">
        <is>
          <t>High</t>
        </is>
      </c>
      <c r="H32" s="10" t="inlineStr">
        <is>
          <t>Toàn bộ test tự động (Postgres thật, Worker chạy bằng worker_role, push qua notifier giả) pass. Thử trên máy thật với FCM thật đạt (AC39, AC43). Lỗi High 'người thân bị 403 khi đọc cảnh báo' tìm thấy khi thử máy thật ở giai đoạn implement, đã sửa trước giai đoạn test và có test hồi quy (TC-MISSVERIFY-47). AC48 chờ cấu hình Render.</t>
        </is>
      </c>
      <c r="I32" s="11" t="inlineStr">
        <is>
          <t>zannguyen</t>
        </is>
      </c>
    </row>
    <row r="33" ht="123.5" customHeight="1">
      <c r="A33" s="11" t="inlineStr">
        <is>
          <t>Checkpoint đồng bộ liều</t>
        </is>
      </c>
      <c r="B33" s="10" t="inlineStr">
        <is>
          <t>POST /doses/sync-checkpoints: điện thoại patient báo đã gửi hết hàng chờ xác nhận liều; server ghi giờ server, không lùi. App gửi checkpoint sau khi hàng chờ có kết quả cuối, khi mở/quay lại app, mỗi 15' và khi nhận push sync_request (task 3.19).</t>
        </is>
      </c>
      <c r="C33" s="11" t="inlineStr">
        <is>
          <t>Checkpoint đồng bộ liều</t>
        </is>
      </c>
      <c r="D33" s="18">
        <f>IFERROR(('Checkpoint đồng bộ liều'!$H$34-'Checkpoint đồng bộ liều'!$H$33)/'Checkpoint đồng bộ liều'!$H$34,0)</f>
        <v/>
      </c>
      <c r="E33" s="18">
        <f>IFERROR('Checkpoint đồng bộ liều'!$H$31/'Checkpoint đồng bộ liều'!$H$34,0)</f>
        <v/>
      </c>
      <c r="F33" s="18">
        <f>IFERROR('Checkpoint đồng bộ liều'!$H$32/'Checkpoint đồng bộ liều'!$H$34,0)</f>
        <v/>
      </c>
      <c r="G33" s="11" t="inlineStr">
        <is>
          <t>High</t>
        </is>
      </c>
      <c r="H33" s="10" t="inlineStr">
        <is>
          <t>Toàn bộ test tích hợp (api_role, PEP thật) và test Flutter pass; grant theo role đúng thiết kế. Không có lỗi sản phẩm.</t>
        </is>
      </c>
      <c r="I33" s="11" t="inlineStr">
        <is>
          <t>zannguyen</t>
        </is>
      </c>
    </row>
    <row r="34" ht="107" customHeight="1">
      <c r="A34" s="11" t="inlineStr">
        <is>
          <t>Lịch sử: liều chưa xác minh</t>
        </is>
      </c>
      <c r="B34" s="10" t="inlineStr">
        <is>
          <t>GET /adherence trả status chua_xac_minh cho liều quá hạn chót mà patient chưa đồng bộ sau hạn chót, không tính vào tỷ lệ, kèm patient_last_synced_at; hai màn lịch sử mobile đọc được trạng thái mới (task 3.19).</t>
        </is>
      </c>
      <c r="C34" s="11" t="inlineStr">
        <is>
          <t>Lịch sử chưa xác minh</t>
        </is>
      </c>
      <c r="D34" s="18">
        <f>IFERROR(('Lịch sử chưa xác minh'!$H$24-'Lịch sử chưa xác minh'!$H$23)/'Lịch sử chưa xác minh'!$H$24,0)</f>
        <v/>
      </c>
      <c r="E34" s="18">
        <f>IFERROR('Lịch sử chưa xác minh'!$H$21/'Lịch sử chưa xác minh'!$H$24,0)</f>
        <v/>
      </c>
      <c r="F34" s="18">
        <f>IFERROR('Lịch sử chưa xác minh'!$H$22/'Lịch sử chưa xác minh'!$H$24,0)</f>
        <v/>
      </c>
      <c r="G34" s="11" t="inlineStr">
        <is>
          <t>Medium</t>
        </is>
      </c>
      <c r="H34" s="10" t="inlineStr">
        <is>
          <t>Test tích hợp, unit backend và Flutter pass. Hiển thị trên máy thật chưa có người xác nhận (Pending).</t>
        </is>
      </c>
      <c r="I34" s="11" t="inlineStr">
        <is>
          <t>zannguyen</t>
        </is>
      </c>
    </row>
    <row r="57">
      <c r="A57" s="19" t="inlineStr">
        <is>
          <t>Bug Report</t>
        </is>
      </c>
    </row>
    <row r="58">
      <c r="A58" s="20" t="inlineStr">
        <is>
          <t>Bug ID</t>
        </is>
      </c>
      <c r="B58" s="20" t="inlineStr">
        <is>
          <t>Description</t>
        </is>
      </c>
      <c r="C58" s="20" t="inlineStr">
        <is>
          <t>Steps to Reproduce</t>
        </is>
      </c>
      <c r="D58" s="20" t="inlineStr">
        <is>
          <t>Input Data</t>
        </is>
      </c>
      <c r="E58" s="20" t="inlineStr">
        <is>
          <t>Expected Result</t>
        </is>
      </c>
      <c r="F58" s="20" t="inlineStr">
        <is>
          <t>Actual Result</t>
        </is>
      </c>
      <c r="G58" s="20" t="inlineStr">
        <is>
          <t>Severity</t>
        </is>
      </c>
      <c r="H58" s="20" t="inlineStr">
        <is>
          <t>Name of Tester</t>
        </is>
      </c>
      <c r="I58" s="20" t="inlineStr">
        <is>
          <t>Logs</t>
        </is>
      </c>
    </row>
    <row r="59" ht="123.5" customHeight="1">
      <c r="A59" s="22" t="inlineStr">
        <is>
          <t>BUG-LOGIN-08</t>
        </is>
      </c>
      <c r="B59" s="22" t="inlineStr">
        <is>
          <t>Gửi số điện thoại có ký tự xuống dòng ở cuối</t>
        </is>
      </c>
      <c r="C59" s="22" t="inlineStr">
        <is>
          <t>1. POST /auth/mobile/otp {phone: "0900000001\n"}
2. POST /auth/mobile/verify {phone: "0900000001\n", token: 123456}</t>
        </is>
      </c>
      <c r="D59" s="22" t="inlineStr">
        <is>
          <t>phone: 0900000001 + ký tự \n</t>
        </is>
      </c>
      <c r="E59" s="22" t="inlineStr">
        <is>
          <t>422 {"detail":"invalid_phone"} (theo AC6 của 01-requirement)</t>
        </is>
      </c>
      <c r="F59" s="22" t="inlineStr">
        <is>
          <t>OTP 204, verify 200 và cấp phiên (backend bỏ ký tự trắng hai đầu)</t>
        </is>
      </c>
      <c r="G59" s="22" t="inlineStr">
        <is>
          <t>Low</t>
        </is>
      </c>
      <c r="H59" s="22" t="inlineStr">
        <is>
          <t>zannguyen</t>
        </is>
      </c>
      <c r="I59"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60" ht="123.5" customHeight="1">
      <c r="A60" s="22" t="inlineStr">
        <is>
          <t>BUG-LOGIN-11</t>
        </is>
      </c>
      <c r="B60" s="22" t="inlineStr">
        <is>
          <t>Gửi số điện thoại viết bằng chữ số Unicode</t>
        </is>
      </c>
      <c r="C60" s="22" t="inlineStr">
        <is>
          <t>1. POST /auth/mobile/otp {phone}
2. POST /auth/mobile/verify {phone, token: 123456}</t>
        </is>
      </c>
      <c r="D60" s="22" t="inlineStr">
        <is>
          <t>+８４９０００００００１ (full-width) | +٨٤٩٠٠٠٠٠٠٠١ (chữ số Ả Rập)</t>
        </is>
      </c>
      <c r="E60" s="22" t="inlineStr">
        <is>
          <t>422 {"detail":"invalid_phone"}, không gọi Supabase</t>
        </is>
      </c>
      <c r="F60" s="22" t="inlineStr">
        <is>
          <t>OTP 503 {"detail":"auth_provider_unavailable"}, verify 401 {"detail":"Invalid credentials"} — request đã tới Supabase</t>
        </is>
      </c>
      <c r="G60" s="22" t="inlineStr">
        <is>
          <t>Low</t>
        </is>
      </c>
      <c r="H60" s="22" t="inlineStr">
        <is>
          <t>zannguyen</t>
        </is>
      </c>
      <c r="I60"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61" ht="189.5" customHeight="1">
      <c r="A61" s="22" t="inlineStr">
        <is>
          <t>BUG-LOGIN-25</t>
        </is>
      </c>
      <c r="B61" s="22" t="inlineStr">
        <is>
          <t>Lưu họ tên có ký tự NUL</t>
        </is>
      </c>
      <c r="C61" s="22" t="inlineStr">
        <is>
          <t>1. POST /auth/profile {ho_ten: "abc\u0000def", ngày sinh, giới tính hợp lệ}</t>
        </is>
      </c>
      <c r="D61" s="22" t="inlineStr">
        <is>
          <t>ho_ten: abc\u0000def</t>
        </is>
      </c>
      <c r="E61" s="22" t="inlineStr">
        <is>
          <t>Không 5xx (từ chối 422 hoặc lưu được); không lộ chi tiết nội bộ</t>
        </is>
      </c>
      <c r="F61" s="22" t="inlineStr">
        <is>
          <t>500 Internal Server Error</t>
        </is>
      </c>
      <c r="G61" s="22" t="inlineStr">
        <is>
          <t>Medium</t>
        </is>
      </c>
      <c r="H61" s="22" t="inlineStr">
        <is>
          <t>zannguyen</t>
        </is>
      </c>
      <c r="I61"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62" ht="90.5" customHeight="1">
      <c r="A62" s="22" t="inlineStr">
        <is>
          <t>BUG-LOGIN-30</t>
        </is>
      </c>
      <c r="B62" s="22" t="inlineStr">
        <is>
          <t>Lưu họ tên dài 256 ký tự</t>
        </is>
      </c>
      <c r="C62" s="22" t="inlineStr">
        <is>
          <t>1. POST /auth/profile {ho_ten: A*256}</t>
        </is>
      </c>
      <c r="D62" s="22" t="inlineStr">
        <is>
          <t>A*256</t>
        </is>
      </c>
      <c r="E62" s="22" t="inlineStr">
        <is>
          <t>422; hồ sơ không đổi (giới hạn 255 theo Q4 của 01-requirement)</t>
        </is>
      </c>
      <c r="F62" s="22" t="inlineStr">
        <is>
          <t>204, đã lưu</t>
        </is>
      </c>
      <c r="G62" s="22" t="inlineStr">
        <is>
          <t>Low</t>
        </is>
      </c>
      <c r="H62" s="22" t="inlineStr">
        <is>
          <t>zannguyen</t>
        </is>
      </c>
      <c r="I62" s="22" t="inlineStr">
        <is>
          <t>Không có giới hạn độ dài họ tên: `_validate_profile` (sign_in.py) chỉ kiểm rỗng; cột users.full_name kiểu text không giới hạn
Log: evidence/test-integration.log</t>
        </is>
      </c>
    </row>
    <row r="63" ht="90.5" customHeight="1">
      <c r="A63" s="22" t="inlineStr">
        <is>
          <t>BUG-LOGIN-32</t>
        </is>
      </c>
      <c r="B63" s="22" t="inlineStr">
        <is>
          <t>Lưu ngày sinh trước 1900-01-01</t>
        </is>
      </c>
      <c r="C63" s="22" t="inlineStr">
        <is>
          <t>1. POST /auth/profile {ngay_sinh}</t>
        </is>
      </c>
      <c r="D63" s="22" t="inlineStr">
        <is>
          <t>1899-12-31 | 0001-01-01</t>
        </is>
      </c>
      <c r="E63" s="22" t="inlineStr">
        <is>
          <t>422; hồ sơ không đổi (cận dưới 1900-01-01 theo Q4)</t>
        </is>
      </c>
      <c r="F63" s="22" t="inlineStr">
        <is>
          <t>204 ở cả hai giá trị, đã lưu</t>
        </is>
      </c>
      <c r="G63" s="22" t="inlineStr">
        <is>
          <t>Low</t>
        </is>
      </c>
      <c r="H63" s="22" t="inlineStr">
        <is>
          <t>zannguyen</t>
        </is>
      </c>
      <c r="I63" s="22" t="inlineStr">
        <is>
          <t>`_validate_birth_date` (sign_in.py:229–231) chỉ chặn ngày tương lai, không có cận dưới. App mobile đã giới hạn date picker từ 1900 nên chỉ gặp khi gọi API trực tiếp
Log: evidence/test-integration.log</t>
        </is>
      </c>
    </row>
    <row r="64" ht="123.5" customHeight="1">
      <c r="A64" s="22" t="inlineStr">
        <is>
          <t>BUG-LOGIN-35</t>
        </is>
      </c>
      <c r="B64" s="22" t="inlineStr">
        <is>
          <t>Lưu ngày sinh là hôm nay lúc 00:30 giờ Việt Nam</t>
        </is>
      </c>
      <c r="C64" s="22" t="inlineStr">
        <is>
          <t>1. POST /auth/profile {ngay_sinh: "2026-10-08"}</t>
        </is>
      </c>
      <c r="D64" s="22" t="inlineStr">
        <is>
          <t>ngay_sinh: 2026-10-08</t>
        </is>
      </c>
      <c r="E64" s="22" t="inlineStr">
        <is>
          <t>204 (hôm nay theo giờ Asia/Ho_Chi_Minh — bất biến 7)</t>
        </is>
      </c>
      <c r="F64" s="22" t="inlineStr">
        <is>
          <t>422 {"detail":"invalid_date_of_birth"}</t>
        </is>
      </c>
      <c r="G64" s="22" t="inlineStr">
        <is>
          <t>Medium</t>
        </is>
      </c>
      <c r="H64" s="22" t="inlineStr">
        <is>
          <t>zannguyen</t>
        </is>
      </c>
      <c r="I64"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5" ht="173" customHeight="1">
      <c r="A65" s="22" t="inlineStr">
        <is>
          <t>BUG-LOGIN-42</t>
        </is>
      </c>
      <c r="B65" s="22" t="inlineStr">
        <is>
          <t>Chạm lại ô OTP sau khi nhập sai để sửa mã</t>
        </is>
      </c>
      <c r="C65" s="22" t="inlineStr">
        <is>
          <t>1. Chạm vào ô mã OTP
2. Theo dõi request backend nhận được</t>
        </is>
      </c>
      <c r="D65" s="22" t="inlineStr">
        <is>
          <t>Ô đang chứa 000000</t>
        </is>
      </c>
      <c r="E65" s="22" t="inlineStr">
        <is>
          <t>Không gửi xác thực cho tới khi người dùng nhập mã mới đủ 6 số</t>
        </is>
      </c>
      <c r="F65" s="22" t="inlineStr">
        <is>
          <t>Backend nhận thêm một POST /auth/mobile/verify 401 với mã cũ ngay khi chạm ô (chuỗi request: otp 204, verify 401, verify 401, verify 200)</t>
        </is>
      </c>
      <c r="G65" s="22" t="inlineStr">
        <is>
          <t>Low</t>
        </is>
      </c>
      <c r="H65" s="22" t="inlineStr">
        <is>
          <t>zannguyen</t>
        </is>
      </c>
      <c r="I65"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6" ht="222.5" customHeight="1">
      <c r="A66" s="22" t="inlineStr">
        <is>
          <t>BUG-LINKCODE-28</t>
        </is>
      </c>
      <c r="B66" s="22" t="inlineStr">
        <is>
          <t>Toàn bộ unit test, architecture test và ruff toàn repo pass</t>
        </is>
      </c>
      <c r="C66" s="22" t="inlineStr">
        <is>
          <t>1. pytest tests/unit tests/architecture -q
2. ruff check .
3. So với baseline trước khi sửa code</t>
        </is>
      </c>
      <c r="D66" s="22" t="inlineStr">
        <is>
          <t>-</t>
        </is>
      </c>
      <c r="E66" s="22" t="inlineStr">
        <is>
          <t>pytest và ruff đều pass</t>
        </is>
      </c>
      <c r="F66"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6" s="22" t="inlineStr">
        <is>
          <t>Low</t>
        </is>
      </c>
      <c r="H66" s="22" t="inlineStr">
        <is>
          <t>zannguyen</t>
        </is>
      </c>
      <c r="I66"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7" ht="239" customHeight="1">
      <c r="A67" s="22" t="inlineStr">
        <is>
          <t>BUG-REGDOSE-01</t>
        </is>
      </c>
      <c r="B67" s="22" t="inlineStr">
        <is>
          <t>Đối chiếu scheduled_at có giây khi xác nhận liều</t>
        </is>
      </c>
      <c r="C67"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7" s="22" t="inlineStr">
        <is>
          <t>client_uuid: UUID mới; schedule_id: fixture; scheduled_at=2026-10-02T01:00:59.999Z; taken_at=2026-10-02T01:05:59.999Z</t>
        </is>
      </c>
      <c r="E67" s="22" t="inlineStr">
        <is>
          <t>Theo test hiện có: HTTP 200, synced, da_uong và scheduled_at=2026-10-02T01:00:00Z.</t>
        </is>
      </c>
      <c r="F67" s="22" t="inlineStr">
        <is>
          <t>HTTP 200, synced, da_uong; scheduled_at=2026-10-02T01:00:59.999000Z. Fail trong suite DB và lặp lại khi chạy riêng (1 failed trong 1.67s).</t>
        </is>
      </c>
      <c r="G67" s="22" t="inlineStr">
        <is>
          <t>Medium</t>
        </is>
      </c>
      <c r="H67" s="22" t="inlineStr">
        <is>
          <t>phucnguyenngoc</t>
        </is>
      </c>
      <c r="I67"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8" ht="156.5" customHeight="1">
      <c r="A68" s="22" t="inlineStr">
        <is>
          <t>BUG-FALERT-19</t>
        </is>
      </c>
      <c r="B68" s="22" t="inlineStr">
        <is>
          <t>Lọc hộp thư mixed patient và từ chối patient_id trong PATCH</t>
        </is>
      </c>
      <c r="C68" s="22" t="inlineStr">
        <is>
          <t>1. Tạo hai notification cho F: P được phép và Q không có liên kết.
2. GET /notifications?patient_id=P&amp;user_id=Q; kiểm item và count.
3. PATCH notification Q với JSON {is_read:true,patient_id:P}.</t>
        </is>
      </c>
      <c r="D68" s="22" t="inlineStr">
        <is>
          <t>P/F là UUID synthetic mới mỗi lần; ID notification lấy từ DB fixture; giờ 2026-10-20T01:00:00Z.</t>
        </is>
      </c>
      <c r="E68" s="22" t="inlineStr">
        <is>
          <t>List chỉ trả P, total=unread_count=1 và Q có denied; PATCH field lạ phải trả 422.</t>
        </is>
      </c>
      <c r="F68" s="22" t="inlineStr">
        <is>
          <t>HTTP 503 notification_access_unavailable thay vì 422; assertion fail.</t>
        </is>
      </c>
      <c r="G68" s="22" t="inlineStr">
        <is>
          <t>Medium</t>
        </is>
      </c>
      <c r="H68" s="22" t="inlineStr">
        <is>
          <t>phucnguyenngoc</t>
        </is>
      </c>
      <c r="I68"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9" ht="123.5" customHeight="1">
      <c r="A69" s="22" t="inlineStr">
        <is>
          <t>BUG-FALERT-36</t>
        </is>
      </c>
      <c r="B69" s="22" t="inlineStr">
        <is>
          <t>Từ chối tham số phân trang ngoài biên [params0]</t>
        </is>
      </c>
      <c r="C69" s="22" t="inlineStr">
        <is>
          <t>1. Đăng nhập F có notification và quyền hợp lệ.
2. GET /notifications với limit=0, limit=101 hoặc offset=-1 theo Test Data.
3. Kiểm HTTP status và Cache-Control.</t>
        </is>
      </c>
      <c r="D69" s="22" t="inlineStr">
        <is>
          <t>limit=0; offset=0</t>
        </is>
      </c>
      <c r="E69" s="22" t="inlineStr">
        <is>
          <t>422 validation, Cache-Control:no-store; không trả dữ liệu notification.</t>
        </is>
      </c>
      <c r="F69" s="22" t="inlineStr">
        <is>
          <t>HTTP 503 notification_access_unavailable thay vì 422; assertion fail.</t>
        </is>
      </c>
      <c r="G69" s="22" t="inlineStr">
        <is>
          <t>Medium</t>
        </is>
      </c>
      <c r="H69" s="22" t="inlineStr">
        <is>
          <t>phucnguyenngoc</t>
        </is>
      </c>
      <c r="I69"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0" ht="123.5" customHeight="1">
      <c r="A70" s="22" t="inlineStr">
        <is>
          <t>BUG-FALERT-37</t>
        </is>
      </c>
      <c r="B70" s="22" t="inlineStr">
        <is>
          <t>Từ chối tham số phân trang ngoài biên [params1]</t>
        </is>
      </c>
      <c r="C70" s="22" t="inlineStr">
        <is>
          <t>1. Đăng nhập F có notification và quyền hợp lệ.
2. GET /notifications với limit=0, limit=101 hoặc offset=-1 theo Test Data.
3. Kiểm HTTP status và Cache-Control.</t>
        </is>
      </c>
      <c r="D70" s="22" t="inlineStr">
        <is>
          <t>limit=101; offset=0</t>
        </is>
      </c>
      <c r="E70" s="22" t="inlineStr">
        <is>
          <t>422 validation, Cache-Control:no-store; không trả dữ liệu notification.</t>
        </is>
      </c>
      <c r="F70" s="22" t="inlineStr">
        <is>
          <t>HTTP 503 notification_access_unavailable thay vì 422; assertion fail.</t>
        </is>
      </c>
      <c r="G70" s="22" t="inlineStr">
        <is>
          <t>Medium</t>
        </is>
      </c>
      <c r="H70" s="22" t="inlineStr">
        <is>
          <t>phucnguyenngoc</t>
        </is>
      </c>
      <c r="I70"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1" ht="123.5" customHeight="1">
      <c r="A71" s="22" t="inlineStr">
        <is>
          <t>BUG-FALERT-38</t>
        </is>
      </c>
      <c r="B71" s="22" t="inlineStr">
        <is>
          <t>Từ chối tham số phân trang ngoài biên [params2]</t>
        </is>
      </c>
      <c r="C71" s="22" t="inlineStr">
        <is>
          <t>1. Đăng nhập F có notification và quyền hợp lệ.
2. GET /notifications với limit=0, limit=101 hoặc offset=-1 theo Test Data.
3. Kiểm HTTP status và Cache-Control.</t>
        </is>
      </c>
      <c r="D71" s="22" t="inlineStr">
        <is>
          <t>limit=20; offset=-1</t>
        </is>
      </c>
      <c r="E71" s="22" t="inlineStr">
        <is>
          <t>422 validation, Cache-Control:no-store; không trả dữ liệu notification.</t>
        </is>
      </c>
      <c r="F71" s="22" t="inlineStr">
        <is>
          <t>HTTP 503 notification_access_unavailable thay vì 422; assertion fail.</t>
        </is>
      </c>
      <c r="G71" s="22" t="inlineStr">
        <is>
          <t>Medium</t>
        </is>
      </c>
      <c r="H71" s="22" t="inlineStr">
        <is>
          <t>phucnguyenngoc</t>
        </is>
      </c>
      <c r="I71"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2" ht="140" customHeight="1">
      <c r="A72" s="22" t="inlineStr">
        <is>
          <t>BUG-REDEEMFLOW-02</t>
        </is>
      </c>
      <c r="B72" s="22" t="inlineStr">
        <is>
          <t>Quét QR hợp lệ và chờ xác nhận trước khi gửi</t>
        </is>
      </c>
      <c r="C72" s="22" t="inlineStr">
        <is>
          <t>1. Cấp qr_payload cho scanner callback.
2. Kiểm số POST trước khi bấm xác nhận.
3. Bấm xác nhận và kiểm pending.</t>
        </is>
      </c>
      <c r="D72" s="22" t="inlineStr">
        <is>
          <t>qr_payload=body.qr_payload của GET /family/link-code</t>
        </is>
      </c>
      <c r="E72" s="22" t="inlineStr">
        <is>
          <t>Mã được điền; 0 POST trước xác nhận; sau xác nhận một POST 201 và một pending.</t>
        </is>
      </c>
      <c r="F72" s="22" t="inlineStr">
        <is>
          <t>Widget và Android LM_G710: 1 POST trước xác nhận (Expected 0, Actual 1); evidence/test-widget-redeem.log và evidence/test-android-remaining-phases.log.</t>
        </is>
      </c>
      <c r="G72" s="22" t="inlineStr">
        <is>
          <t>Medium</t>
        </is>
      </c>
      <c r="H72" s="22" t="inlineStr">
        <is>
          <t>phucnguyenngoc</t>
        </is>
      </c>
      <c r="I72" s="22" t="inlineStr">
        <is>
          <t>scan_link_qr_screen.dart đặt autoSubmit=true, enter_link_code_screen.dart tự submit sau frame đầu.
Log: evidence/test-widget-redeem.log</t>
        </is>
      </c>
    </row>
    <row r="73" ht="305" customHeight="1">
      <c r="A73" s="22" t="inlineStr">
        <is>
          <t>BUG-FADH-20</t>
        </is>
      </c>
      <c r="B73" s="22" t="inlineStr">
        <is>
          <t>Tính ngay xác nhận tại -30 phút</t>
        </is>
      </c>
      <c r="C73" s="22" t="inlineStr">
        <is>
          <t>1. Chạy test tại backend/tests/unit/test_get_adherence_history.py với delay0, cả group_by=date và medication.
2. Quan sát ở đúng taken_at; kiểm summary, nhóm và một dose.</t>
        </is>
      </c>
      <c r="D73" s="22" t="inlineStr">
        <is>
          <t>scheduled_at=08:00 +07; delay=-30 phút; status=da_uong</t>
        </is>
      </c>
      <c r="E73" s="22" t="inlineStr">
        <is>
          <t>total=1, counted=1, rate=100.00; taken/late đúng trạng thái; đúng một liều ngay khi xác nhận.</t>
        </is>
      </c>
      <c r="F73" s="22"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G73" s="22" t="inlineStr">
        <is>
          <t>Medium</t>
        </is>
      </c>
      <c r="H73" s="22" t="inlineStr">
        <is>
          <t>phucnguyenngoc</t>
        </is>
      </c>
      <c r="I73" s="22" t="inlineStr">
        <is>
          <t>BUG-3.25-01: domain build_history và SQL reader lọc scheduled_at &lt;= as_of; đã tái hiện ở family API/DB, không chỉ unit. Contract gốc giữ quy tắc loại liều chưa đến giờ, khác ngoại lệ AC3 được người dùng chốt.
Log: evidence/test-contract-history-final.log</t>
        </is>
      </c>
    </row>
  </sheetData>
  <mergeCells count="2">
    <mergeCell ref="A1:G1"/>
    <mergeCell ref="A3:A5"/>
  </mergeCells>
  <conditionalFormatting sqref="F11:F34">
    <cfRule type="cellIs" priority="1" operator="greaterThan" dxfId="0">
      <formula>0.2</formula>
    </cfRule>
  </conditionalFormatting>
  <conditionalFormatting sqref="G11:G34">
    <cfRule type="expression" priority="2" dxfId="0">
      <formula>OR(G11="Critical",G11="High")</formula>
    </cfRule>
  </conditionalFormatting>
  <conditionalFormatting sqref="G59:G73">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4" showDropDown="0" showInputMessage="0" showErrorMessage="0" allowBlank="1" type="list">
      <formula1>"Critical,High,Medium,Low"</formula1>
    </dataValidation>
    <dataValidation sqref="G59:G73"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2026-10-29T08:53:12Z</dcterms:modified>
  <cp:lastModifiedBy>Người dùng Khách</cp:lastModifiedBy>
</cp:coreProperties>
</file>