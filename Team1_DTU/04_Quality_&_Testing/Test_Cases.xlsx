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Alert dispatch" sheetId="16" state="visible" r:id="rId16"/>
    <sheet xmlns:r="http://schemas.openxmlformats.org/officeDocument/2006/relationships" name="Lịch sử tuân thủ" sheetId="17" state="visible" r:id="rId17"/>
    <sheet xmlns:r="http://schemas.openxmlformats.org/officeDocument/2006/relationships" name="Family adherence view" sheetId="18" state="visible" r:id="rId18"/>
    <sheet xmlns:r="http://schemas.openxmlformats.org/officeDocument/2006/relationships" name="Report" sheetId="19" state="visible" r:id="rId19"/>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'Alert dispatch'!$A$8:$I$19</definedName>
    <definedName name="_xlnm._FilterDatabase" localSheetId="16" hidden="1">'Lịch sử tuân thủ'!$A$8:$I$31</definedName>
    <definedName name="_xlnm._FilterDatabase" localSheetId="17" hidden="1">'Family adherence view'!$A$8:$I$29</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'Report'!$A$11:$A$28</f>
            </numRef>
          </cat>
          <val>
            <numRef>
              <f>'Report'!$D$11:$D$28</f>
            </numRef>
          </val>
        </ser>
        <ser>
          <idx val="1"/>
          <order val="1"/>
          <tx>
            <strRef>
              <f>'Report'!E10</f>
            </strRef>
          </tx>
          <spPr>
            <a:ln xmlns:a="http://schemas.openxmlformats.org/drawingml/2006/main">
              <a:prstDash val="solid"/>
            </a:ln>
          </spPr>
          <cat>
            <numRef>
              <f>'Report'!$A$11:$A$28</f>
            </numRef>
          </cat>
          <val>
            <numRef>
              <f>'Report'!$E$11:$E$28</f>
            </numRef>
          </val>
        </ser>
        <ser>
          <idx val="2"/>
          <order val="2"/>
          <tx>
            <strRef>
              <f>'Report'!F10</f>
            </strRef>
          </tx>
          <spPr>
            <a:ln xmlns:a="http://schemas.openxmlformats.org/drawingml/2006/main">
              <a:prstDash val="solid"/>
            </a:ln>
          </spPr>
          <cat>
            <numRef>
              <f>'Report'!$A$11:$A$28</f>
            </numRef>
          </cat>
          <val>
            <numRef>
              <f>'Report'!$F$11:$F$28</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'Report'!$F$3:$F$4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30</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30</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U2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Điều phối cảnh báo người thân (ALERT)</t>
        </is>
      </c>
    </row>
    <row r="3">
      <c r="A3" s="1" t="inlineStr">
        <is>
          <t>Created By</t>
        </is>
      </c>
      <c r="B3" s="2" t="inlineStr">
        <is>
          <t>Ngọc Việt</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Điều kiện điều phối cảnh báo cho người thân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TC-ALERT-01</t>
        </is>
      </c>
      <c r="B9" s="7" t="inlineStr">
        <is>
          <t>Điều phối cảnh báo cho người thân dùng Android có đủ liên kết và quyền</t>
        </is>
      </c>
      <c r="C9" s="8" t="inlineStr">
        <is>
          <t>Bệnh nhân P bỏ lỡ liều thuốc (dose_log_id=999). Người thân F có liên kết active, sharing_enabled=true, consent family_sharing hiệu lực và token Android.</t>
        </is>
      </c>
      <c r="D9" s="8" t="inlineStr">
        <is>
          <t>1. Hệ thống chạy tác vụ scan_missed_doses
2. Kiểm tra bản ghi được tạo trong bảng notifications
3. Kiểm tra danh sách Alert gửi tới NotificationPort</t>
        </is>
      </c>
      <c r="E9" s="8" t="inlineStr">
        <is>
          <t>patient_id=P, caregiver_id=F, platform='android', token='token_android_123'</t>
        </is>
      </c>
      <c r="F9" s="8" t="inlineStr">
        <is>
          <t>Tạo 1 bản ghi notifications cho F với content='Bác [Tên] chưa ghi nhận liều thuốc đúng giờ'. Phát sinh 1 Alert gửi tới NotificationPort với đúng token của F.</t>
        </is>
      </c>
      <c r="G9" s="8" t="inlineStr">
        <is>
          <t>Đã tạo bản ghi notifications có tên bệnh nhân và phát sinh Alert với token_android_123 gửi tới NotificationPort.</t>
        </is>
      </c>
      <c r="H9" s="7" t="inlineStr">
        <is>
          <t>Pass</t>
        </is>
      </c>
      <c r="I9" s="8" t="inlineStr">
        <is>
          <t>AC1 · Decision Table (R4) · EP (1) · test_dispatch_creates_alert_for_android_caregiver</t>
        </is>
      </c>
      <c r="K9" s="9" t="inlineStr">
        <is>
          <t>recipient_platform</t>
        </is>
      </c>
      <c r="L9" s="10" t="inlineStr">
        <is>
          <t>android</t>
        </is>
      </c>
      <c r="M9" s="10" t="inlineStr">
        <is>
          <t>1</t>
        </is>
      </c>
      <c r="N9" s="10" t="inlineStr">
        <is>
          <t>ios
không có token</t>
        </is>
      </c>
      <c r="O9" s="10" t="inlineStr">
        <is>
          <t>6
7</t>
        </is>
      </c>
      <c r="Q9" s="10" t="inlineStr">
        <is>
          <t>Liên kết active và bật chia sẻ?</t>
        </is>
      </c>
      <c r="R9" s="11" t="inlineStr">
        <is>
          <t>No</t>
        </is>
      </c>
      <c r="S9" s="11" t="inlineStr">
        <is>
          <t>Yes</t>
        </is>
      </c>
      <c r="T9" s="11" t="inlineStr">
        <is>
          <t>Yes</t>
        </is>
      </c>
      <c r="U9" s="11" t="inlineStr">
        <is>
          <t>Yes</t>
        </is>
      </c>
    </row>
    <row r="10" ht="74" customHeight="1">
      <c r="A10" s="7" t="inlineStr">
        <is>
          <t>TC-ALERT-02</t>
        </is>
      </c>
      <c r="B10" s="7" t="inlineStr">
        <is>
          <t>Điều phối cảnh báo cho người thân dùng iOS (không có push APNs)</t>
        </is>
      </c>
      <c r="C10" s="8" t="inlineStr">
        <is>
          <t>Bệnh nhân P bỏ lỡ liều thuốc. Người thân F có đủ quyền nhưng chỉ đăng ký thiết bị iOS (không có token Android).</t>
        </is>
      </c>
      <c r="D10" s="8" t="inlineStr">
        <is>
          <t>1. Hệ thống chạy tác vụ scan_missed_doses
2. Kiểm tra bản ghi trong bảng notifications
3. Kiểm tra danh sách Alert gửi tới NotificationPort</t>
        </is>
      </c>
      <c r="E10" s="8" t="inlineStr">
        <is>
          <t>patient_id=P, caregiver_id=F, platform='ios'</t>
        </is>
      </c>
      <c r="F10" s="8" t="inlineStr">
        <is>
          <t>Vẫn tạo 1 bản ghi notifications cho F trong CSDL. Không phát sinh Alert push nào gửi tới NotificationPort (C-06, C-07, BS-03).</t>
        </is>
      </c>
      <c r="G10" s="8" t="inlineStr">
        <is>
          <t>Bản ghi notifications đã được tạo trong CSDL, không có Alert push nào được gửi.</t>
        </is>
      </c>
      <c r="H10" s="7" t="inlineStr">
        <is>
          <t>Pass</t>
        </is>
      </c>
      <c r="I10" s="8" t="inlineStr">
        <is>
          <t>AC2 · Decision Table (R3) · EP (2) · test_dispatch_skips_push_for_ios_caregiver_but_creates_notification_row</t>
        </is>
      </c>
      <c r="K10" s="9" t="inlineStr">
        <is>
          <t>caregiver_relationship</t>
        </is>
      </c>
      <c r="L10" s="10" t="inlineStr">
        <is>
          <t>active và sharing_enabled=true và consent_granted</t>
        </is>
      </c>
      <c r="M10" s="10" t="inlineStr">
        <is>
          <t>2</t>
        </is>
      </c>
      <c r="N10" s="10" t="inlineStr">
        <is>
          <t>chưa liên kết
active nhưng sharing_enabled=false
consent_revoked</t>
        </is>
      </c>
      <c r="O10" s="10" t="inlineStr">
        <is>
          <t>8
9
10</t>
        </is>
      </c>
      <c r="Q10" s="10" t="inlineStr">
        <is>
          <t>Consent family_sharing còn hiệu lực?</t>
        </is>
      </c>
      <c r="R10" s="11" t="inlineStr">
        <is>
          <t>-</t>
        </is>
      </c>
      <c r="S10" s="11" t="inlineStr">
        <is>
          <t>No</t>
        </is>
      </c>
      <c r="T10" s="11" t="inlineStr">
        <is>
          <t>Yes</t>
        </is>
      </c>
      <c r="U10" s="11" t="inlineStr">
        <is>
          <t>Yes</t>
        </is>
      </c>
    </row>
    <row r="11" ht="74" customHeight="1">
      <c r="A11" s="7" t="inlineStr">
        <is>
          <t>TC-ALERT-03</t>
        </is>
      </c>
      <c r="B11" s="7" t="inlineStr">
        <is>
          <t>Chống trùng lặp cảnh báo khi quét lặp lại cùng liều bỏ lỡ</t>
        </is>
      </c>
      <c r="C11" s="8" t="inlineStr">
        <is>
          <t>Liều thuốc đã được quét và đã tạo bản ghi notifications với dedupe_key='bo_lo:999:F'.</t>
        </is>
      </c>
      <c r="D11" s="8" t="inlineStr">
        <is>
          <t>1. Hệ thống chạy lại tác vụ scan_missed_doses với cùng lượt uống và liều 999
2. Kiểm tra số lượng bản ghi trong notifications và số Alert gửi đi</t>
        </is>
      </c>
      <c r="E11" s="8" t="inlineStr">
        <is>
          <t>dedupe_key='bo_lo:999:F'</t>
        </is>
      </c>
      <c r="F11" s="8" t="inlineStr">
        <is>
          <t>Không tạo thêm bản ghi notifications mới (ON CONFLICT DO NOTHING). Không gửi thêm Alert push lặp lại cho F.</t>
        </is>
      </c>
      <c r="G11" s="8" t="inlineStr">
        <is>
          <t>Số lượng notifications giữ nguyên 1, số Alert phát sinh là 0.</t>
        </is>
      </c>
      <c r="H11" s="7" t="inlineStr">
        <is>
          <t>Pass</t>
        </is>
      </c>
      <c r="I11" s="8" t="inlineStr">
        <is>
          <t>AC3 · test_dispatch_deduplicates_repeated_missed_dose_scans</t>
        </is>
      </c>
      <c r="K11" s="9" t="inlineStr">
        <is>
          <t>limit (query GET /notifications)</t>
        </is>
      </c>
      <c r="L11" s="10" t="inlineStr">
        <is>
          <t>1..100</t>
        </is>
      </c>
      <c r="M11" s="10" t="inlineStr">
        <is>
          <t>3</t>
        </is>
      </c>
      <c r="N11" s="10" t="inlineStr">
        <is>
          <t>0
-1
101</t>
        </is>
      </c>
      <c r="O11" s="10" t="inlineStr">
        <is>
          <t>11
12
13</t>
        </is>
      </c>
      <c r="Q11" s="10" t="inlineStr">
        <is>
          <t>Thiết bị có token Android?</t>
        </is>
      </c>
      <c r="R11" s="11" t="inlineStr">
        <is>
          <t>-</t>
        </is>
      </c>
      <c r="S11" s="11" t="inlineStr">
        <is>
          <t>-</t>
        </is>
      </c>
      <c r="T11" s="11" t="inlineStr">
        <is>
          <t>No (iOS / không có)</t>
        </is>
      </c>
      <c r="U11" s="11" t="inlineStr">
        <is>
          <t>Yes (Android)</t>
        </is>
      </c>
    </row>
    <row r="12" ht="74" customHeight="1">
      <c r="A12" s="7" t="inlineStr">
        <is>
          <t>TC-ALERT-04</t>
        </is>
      </c>
      <c r="B12" s="7" t="inlineStr">
        <is>
          <t>Chặn gửi cảnh báo khi người thân bị tắt chia sẻ hoặc rút consent</t>
        </is>
      </c>
      <c r="C12" s="8" t="inlineStr">
        <is>
          <t>Người thân F bị bệnh nhân tắt chia sẻ (sharing_enabled=false) hoặc bệnh nhân đã rút consent family_sharing.</t>
        </is>
      </c>
      <c r="D12" s="8" t="inlineStr">
        <is>
          <t>1. Hệ thống chạy tác vụ scan_missed_doses
2. Kiểm tra danh sách người thân được access.caregivers_of trả về
3. Kiểm tra bản ghi notifications và Alert</t>
        </is>
      </c>
      <c r="E12" s="8" t="inlineStr">
        <is>
          <t>sharing_enabled=false hoặc consent revoked</t>
        </is>
      </c>
      <c r="F12" s="8" t="inlineStr">
        <is>
          <t>access.caregivers_of không trả về F. Không tạo bản ghi notifications và không gửi Alert push cho F.</t>
        </is>
      </c>
      <c r="G12" s="8" t="inlineStr">
        <is>
          <t>access.caregivers_of trả về rỗng, không tạo notification và không gửi alert.</t>
        </is>
      </c>
      <c r="H12" s="7" t="inlineStr">
        <is>
          <t>Pass</t>
        </is>
      </c>
      <c r="I12" s="8" t="inlineStr">
        <is>
          <t>AC4 · Decision Table (R1, R2) · test_dispatch_respects_revoked_consent_and_sharing_switch</t>
        </is>
      </c>
      <c r="K12" s="9" t="inlineStr">
        <is>
          <t>is_read (query / body PATCH)</t>
        </is>
      </c>
      <c r="L12" s="10" t="inlineStr">
        <is>
          <t>true
false</t>
        </is>
      </c>
      <c r="M12" s="10" t="inlineStr">
        <is>
          <t>4
5</t>
        </is>
      </c>
      <c r="N12" s="10" t="inlineStr">
        <is>
          <t>(blank)
chuỗi không hợp lệ</t>
        </is>
      </c>
      <c r="O12" s="10" t="inlineStr">
        <is>
          <t>14
15</t>
        </is>
      </c>
      <c r="Q12" s="6" t="inlineStr">
        <is>
          <t>Action</t>
        </is>
      </c>
      <c r="R12" s="5" t="inlineStr">
        <is>
          <t>R1</t>
        </is>
      </c>
      <c r="S12" s="5" t="inlineStr">
        <is>
          <t>R2</t>
        </is>
      </c>
      <c r="T12" s="5" t="inlineStr">
        <is>
          <t>R3</t>
        </is>
      </c>
      <c r="U12" s="5" t="inlineStr">
        <is>
          <t>R4</t>
        </is>
      </c>
    </row>
    <row r="13" ht="74" customHeight="1">
      <c r="A13" s="7" t="inlineStr">
        <is>
          <t>TC-ALERT-05</t>
        </is>
      </c>
      <c r="B13" s="7" t="inlineStr">
        <is>
          <t>Bảo mật dữ liệu y tế trong nội dung push FCM (CD6, QD-26)</t>
        </is>
      </c>
      <c r="C13" s="8" t="inlineStr">
        <is>
          <t>Alert được tạo cho người thân về bệnh nhân Nguyễn Văn A.</t>
        </is>
      </c>
      <c r="D13" s="8" t="inlineStr">
        <is>
          <t>1. Xây dựng payload FCM qua build_fcm_payload
2. Kiểm tra các trường title, body, data
3. Kiểm tra sự xuất hiện của các từ khóa nhạy cảm (tên thuốc, hàm lượng, giờ uống)</t>
        </is>
      </c>
      <c r="E13" s="8" t="inlineStr">
        <is>
          <t>notification_id=105, patient_name='Nguyễn Văn A'</t>
        </is>
      </c>
      <c r="F13" s="8" t="inlineStr">
        <is>
          <t>Body chỉ chứa thông báo nhắc nhở chung kèm tên bệnh nhân. Tuyệt đối không chứa tên thuốc, hoạt chất, hàm lượng (viên, mg, ml) hay giờ uống cụ thể.</t>
        </is>
      </c>
      <c r="G13" s="8" t="inlineStr">
        <is>
          <t>Payload FCM tuân thủ CD6: không chứa bất kỳ từ khóa thuốc hay giờ uống nhạy cảm nào.</t>
        </is>
      </c>
      <c r="H13" s="7" t="inlineStr">
        <is>
          <t>Pass</t>
        </is>
      </c>
      <c r="I13" s="8" t="inlineStr">
        <is>
          <t>AC5 · test_alert_payload_hides_medication_details_and_names_patient</t>
        </is>
      </c>
      <c r="Q13" s="10" t="inlineStr">
        <is>
          <t>Không tạo notification, không gửi push</t>
        </is>
      </c>
      <c r="R13" s="11" t="inlineStr">
        <is>
          <t>X</t>
        </is>
      </c>
      <c r="S13" s="11" t="inlineStr">
        <is>
          <t>X</t>
        </is>
      </c>
      <c r="T13" s="11" t="inlineStr"/>
      <c r="U13" s="11" t="inlineStr"/>
    </row>
    <row r="14" ht="90.5" customHeight="1">
      <c r="A14" s="7" t="inlineStr">
        <is>
          <t>TC-ALERT-06</t>
        </is>
      </c>
      <c r="B14" s="7" t="inlineStr">
        <is>
          <t>Lấy danh sách thông báo qua GET /notifications (đường thành công và lọc is_read)</t>
        </is>
      </c>
      <c r="C14" s="8" t="inlineStr">
        <is>
          <t>Người dùng F đã đăng nhập, có 2 thông báo (1 chưa đọc, 1 đã đọc).</t>
        </is>
      </c>
      <c r="D14" s="8" t="inlineStr">
        <is>
          <t>1. F gửi GET /notifications
2. Kiểm tra HTTP status, total, unread_count, danh sách items
3. F gửi GET /notifications?is_read=false
4. Kiểm tra danh sách trả về</t>
        </is>
      </c>
      <c r="E14" s="8" t="inlineStr">
        <is>
          <t>limit=20, offset=0, is_read=false</t>
        </is>
      </c>
      <c r="F14" s="8" t="inlineStr">
        <is>
          <t>HTTP 200, total=2, unread_count=1. Khi lọc is_read=false, chỉ trả về đúng 1 thông báo chưa đọc.</t>
        </is>
      </c>
      <c r="G14" s="8" t="inlineStr">
        <is>
          <t>HTTP 200, trả về đúng số lượng và lọc chính xác theo trạng thái đã đọc.</t>
        </is>
      </c>
      <c r="H14" s="7" t="inlineStr">
        <is>
          <t>Pass</t>
        </is>
      </c>
      <c r="I14" s="8" t="inlineStr">
        <is>
          <t>AC6 · EP (3, 4) · test_get_notifications_returns_user_inbox_with_counts</t>
        </is>
      </c>
      <c r="Q14" s="10" t="inlineStr">
        <is>
          <t>Tạo dòng notification, không gửi push (DM3/iOS)</t>
        </is>
      </c>
      <c r="R14" s="11" t="inlineStr"/>
      <c r="S14" s="11" t="inlineStr"/>
      <c r="T14" s="11" t="inlineStr">
        <is>
          <t>X</t>
        </is>
      </c>
      <c r="U14" s="11" t="inlineStr"/>
    </row>
    <row r="15" ht="90.5" customHeight="1">
      <c r="A15" s="7" t="inlineStr">
        <is>
          <t>TC-ALERT-07</t>
        </is>
      </c>
      <c r="B15" s="7" t="inlineStr">
        <is>
          <t>Cập nhật trạng thái đã đọc qua PATCH /notifications/{id}</t>
        </is>
      </c>
      <c r="C15" s="8" t="inlineStr">
        <is>
          <t>Thông báo id=1 của người dùng F có is_read=false.</t>
        </is>
      </c>
      <c r="D15" s="8" t="inlineStr">
        <is>
          <t>1. F gửi PATCH /notifications/1 với body {'is_read': true}
2. Kiểm tra HTTP status và body trả về
3. Gửi lại GET /notifications?is_read=false để kiểm tra số lượng unread</t>
        </is>
      </c>
      <c r="E15" s="8" t="inlineStr">
        <is>
          <t>id=1, is_read=true</t>
        </is>
      </c>
      <c r="F15" s="8" t="inlineStr">
        <is>
          <t>HTTP 200, is_read chuyển thành true, số lượng unread của F giảm tương ứng.</t>
        </is>
      </c>
      <c r="G15" s="8" t="inlineStr">
        <is>
          <t>HTTP 200, is_read=true, số unread giảm về 0.</t>
        </is>
      </c>
      <c r="H15" s="7" t="inlineStr">
        <is>
          <t>Pass</t>
        </is>
      </c>
      <c r="I15" s="8" t="inlineStr">
        <is>
          <t>AC7 · test_patch_notification_marks_as_read</t>
        </is>
      </c>
      <c r="Q15" s="10" t="inlineStr">
        <is>
          <t>Tạo dòng notification và gửi push FCM</t>
        </is>
      </c>
      <c r="R15" s="11" t="inlineStr"/>
      <c r="S15" s="11" t="inlineStr"/>
      <c r="T15" s="11" t="inlineStr"/>
      <c r="U15" s="11" t="inlineStr">
        <is>
          <t>X</t>
        </is>
      </c>
    </row>
    <row r="16" ht="74" customHeight="1">
      <c r="A16" s="7" t="inlineStr">
        <is>
          <t>TC-ALERT-08</t>
        </is>
      </c>
      <c r="B16" s="7" t="inlineStr">
        <is>
          <t>Từ chối cập nhật thông báo của người khác hoặc không tồn tại (404 Not Found)</t>
        </is>
      </c>
      <c r="C16" s="8" t="inlineStr">
        <is>
          <t>Thông báo id=3 thuộc sở hữu của người dùng khác (hoặc id=999 không tồn tại).</t>
        </is>
      </c>
      <c r="D16" s="8" t="inlineStr">
        <is>
          <t>1. Người dùng F gửi PATCH /notifications/3 với body {'is_read': true}
2. Người dùng F gửi PATCH /notifications/999 với body {'is_read': true}</t>
        </is>
      </c>
      <c r="E16" s="8" t="inlineStr">
        <is>
          <t>id=3 (của người khác), id=999 (không tồn tại)</t>
        </is>
      </c>
      <c r="F16" s="8" t="inlineStr">
        <is>
          <t>HTTP 404 với detail='notification_not_found'. Không có dữ liệu nào bị thay đổi.</t>
        </is>
      </c>
      <c r="G16" s="8" t="inlineStr">
        <is>
          <t>HTTP 404 detail='notification_not_found'.</t>
        </is>
      </c>
      <c r="H16" s="7" t="inlineStr">
        <is>
          <t>Pass</t>
        </is>
      </c>
      <c r="I16" s="8" t="inlineStr">
        <is>
          <t>AC7 · test_patch_notification_returns_404_for_other_users_notification</t>
        </is>
      </c>
    </row>
    <row r="17" ht="74" customHeight="1">
      <c r="A17" s="7" t="inlineStr">
        <is>
          <t>TC-ALERT-09</t>
        </is>
      </c>
      <c r="B17" s="7" t="inlineStr">
        <is>
          <t>Kiểm tra xác thực: Chặn truy cập không có Bearer token (401 Unauthorized)</t>
        </is>
      </c>
      <c r="C17" s="8" t="inlineStr">
        <is>
          <t>Client chưa gửi header Authorization hoặc token không hợp lệ.</t>
        </is>
      </c>
      <c r="D17" s="8" t="inlineStr">
        <is>
          <t>1. Gửi GET /notifications không có header Authorization
2. Gửi PATCH /notifications/1 không có header Authorization</t>
        </is>
      </c>
      <c r="E17" s="8" t="inlineStr">
        <is>
          <t>Header Authorization: (blank)</t>
        </is>
      </c>
      <c r="F17" s="8" t="inlineStr">
        <is>
          <t>HTTP 401 Unauthorized cho cả hai endpoint.</t>
        </is>
      </c>
      <c r="G17" s="8" t="inlineStr">
        <is>
          <t>HTTP 401 Unauthorized.</t>
        </is>
      </c>
      <c r="H17" s="7" t="inlineStr">
        <is>
          <t>Pass</t>
        </is>
      </c>
      <c r="I17" s="8" t="inlineStr">
        <is>
          <t>AC6, AC7 · test_notifications_endpoints_require_authentication</t>
        </is>
      </c>
    </row>
    <row r="18" ht="107" customHeight="1">
      <c r="A18" s="7" t="inlineStr">
        <is>
          <t>TC-ALERT-10</t>
        </is>
      </c>
      <c r="B18" s="7" t="inlineStr">
        <is>
          <t>Kiểm tra tích hợp toàn trình luồng dispatch và lấy thông báo trên Postgres thật</t>
        </is>
      </c>
      <c r="C18" s="8" t="inlineStr">
        <is>
          <t>Môi trường CSDL Postgres cục bộ đang chạy qua Supabase local.</t>
        </is>
      </c>
      <c r="D18" s="8" t="inlineStr">
        <is>
          <t>1. Tạo cặp người bệnh - người thân trên DB thật
2. Tạo bản ghi cảnh báo bỏ lỡ vào notifications bằng SqlNotifications
3. Người thân đăng nhập và gọi GET /notifications</t>
        </is>
      </c>
      <c r="E18" s="8" t="inlineStr">
        <is>
          <t>Dữ liệu sinh ngẫu nhiên trên schema v11</t>
        </is>
      </c>
      <c r="F18" s="8" t="inlineStr">
        <is>
          <t>Lấy được thông báo của bệnh nhân, khớp nội dung và thời gian.</t>
        </is>
      </c>
      <c r="G18" s="8" t="inlineStr"/>
      <c r="H18" s="7" t="inlineStr">
        <is>
          <t>Pending</t>
        </is>
      </c>
      <c r="I18" s="8" t="inlineStr">
        <is>
          <t>AC1, AC2, AC6 (QA.11) · test_integration_missed_dose_alert_dispatch_and_inbox_fetch__AC1_AC2_AC6 · Cần môi trường Supabase local</t>
        </is>
      </c>
    </row>
    <row r="19" ht="74" customHeight="1">
      <c r="A19" s="7" t="inlineStr">
        <is>
          <t>TC-ALERT-11</t>
        </is>
      </c>
      <c r="B19" s="7" t="inlineStr">
        <is>
          <t>Kiểm tra tích hợp rút quyền người thân có hiệu lực ngay ở request kế tiếp (QA.02)</t>
        </is>
      </c>
      <c r="C19" s="8" t="inlineStr">
        <is>
          <t>Môi trường CSDL Postgres cục bộ đang chạy qua Supabase local.</t>
        </is>
      </c>
      <c r="D19" s="8" t="inlineStr">
        <is>
          <t>1. Tạo liên kết người thân với sharing_enabled=false trên DB thật
2. Gọi access.authorized_caregivers</t>
        </is>
      </c>
      <c r="E19" s="8" t="inlineStr">
        <is>
          <t>sharing_enabled=false trên caregiver_links</t>
        </is>
      </c>
      <c r="F19" s="8" t="inlineStr">
        <is>
          <t>caregiver_id không xuất hiện trong danh sách người nhận cảnh báo.</t>
        </is>
      </c>
      <c r="G19" s="8" t="inlineStr"/>
      <c r="H19" s="7" t="inlineStr">
        <is>
          <t>Pending</t>
        </is>
      </c>
      <c r="I19" s="8" t="inlineStr">
        <is>
          <t>AC4 (QA.02) · test_integration_caregiver_revocation_stops_alert_immediately__AC4 · Cần môi trường Supabase local</t>
        </is>
      </c>
    </row>
    <row r="20"/>
    <row r="21"/>
    <row r="22">
      <c r="G22" s="12" t="inlineStr">
        <is>
          <t>Pass</t>
        </is>
      </c>
      <c r="H22" s="13">
        <f>COUNTIF(H9:H19,"Pass")</f>
        <v/>
      </c>
    </row>
    <row r="23">
      <c r="G23" s="12" t="inlineStr">
        <is>
          <t>Fail</t>
        </is>
      </c>
      <c r="H23" s="13">
        <f>COUNTIF(H9:H19,"Fail")</f>
        <v/>
      </c>
    </row>
    <row r="24">
      <c r="G24" s="12" t="inlineStr">
        <is>
          <t>Pending</t>
        </is>
      </c>
      <c r="H24" s="13">
        <f>COUNTIF(H9:H19,"Pending")</f>
        <v/>
      </c>
    </row>
    <row r="25">
      <c r="G25" s="12" t="inlineStr">
        <is>
          <t>Total</t>
        </is>
      </c>
      <c r="H25" s="13">
        <f>SUM(H22:H24)</f>
        <v/>
      </c>
    </row>
  </sheetData>
  <autoFilter ref="A8:I19"/>
  <conditionalFormatting sqref="H9:H19">
    <cfRule type="cellIs" priority="1" operator="equal" dxfId="0">
      <formula>"Fail"</formula>
    </cfRule>
  </conditionalFormatting>
  <dataValidations count="1">
    <dataValidation sqref="H9:H19"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s>
  <sheetData>
    <row r="1">
      <c r="A1" s="1" t="inlineStr">
        <is>
          <t>Project Name</t>
        </is>
      </c>
      <c r="B1" s="2" t="inlineStr">
        <is>
          <t>DrugTime</t>
        </is>
      </c>
    </row>
    <row r="2">
      <c r="A2" s="1" t="inlineStr">
        <is>
          <t>Module Name</t>
        </is>
      </c>
      <c r="B2" s="2" t="inlineStr">
        <is>
          <t>Lịch sử tuân thủ theo consent (ADHERENCE)</t>
        </is>
      </c>
    </row>
    <row r="3">
      <c r="A3" s="1" t="inlineStr">
        <is>
          <t>Created By</t>
        </is>
      </c>
      <c r="B3" s="2" t="inlineStr">
        <is>
          <t>Ngọc Việt</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Quyền đọc lịch sử</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row>
    <row r="9" ht="156.5" customHeight="1">
      <c r="A9" s="7" t="inlineStr">
        <is>
          <t>TC-ADHERENCE-01</t>
        </is>
      </c>
      <c r="B9" s="7" t="inlineStr">
        <is>
          <t>Xem lịch sử của chính bệnh nhân</t>
        </is>
      </c>
      <c r="C9" s="8" t="inlineStr">
        <is>
          <t>Bệnh nhân P có consent health_data; có lịch uống và một liều đã uống.</t>
        </is>
      </c>
      <c r="D9" s="8" t="inlineStr">
        <is>
          <t>1. Đăng nhập bằng tài khoản P.
2. Gửi GET /adherence?patient_id=P với bearer token của P.
3. Kiểm response và access_logs.</t>
        </is>
      </c>
      <c r="E9" s="8" t="inlineStr">
        <is>
          <t>P; ngày 2026-10-19; liều 08:00 da_uong</t>
        </is>
      </c>
      <c r="F9" s="8" t="inlineStr">
        <is>
          <t>200; patient_id=P; có liều đã uống; access_logs có allowed, actor_role=patient, data_scope=lich_su_tuan_thu.</t>
        </is>
      </c>
      <c r="G9" s="8" t="inlineStr">
        <is>
          <t>Test tương ứng trong Comments PASSED sau migration; evidence/test-migration.log.</t>
        </is>
      </c>
      <c r="H9" s="7" t="inlineStr">
        <is>
          <t>Pass</t>
        </is>
      </c>
      <c r="I9" s="8" t="inlineStr">
        <is>
          <t>AC2 · EP (1) · Decision Table (R1) · test_self_and_family_success_are_audited_with_minimal_metadata__AC1_AC2</t>
        </is>
      </c>
      <c r="K9" s="9" t="inlineStr">
        <is>
          <t>patient_id và vai trò</t>
        </is>
      </c>
      <c r="L9" s="10" t="inlineStr">
        <is>
          <t>Bỏ trống hoặc chính bệnh nhân
Người thân liên kết active với consent đầy đủ</t>
        </is>
      </c>
      <c r="M9" s="10" t="inlineStr">
        <is>
          <t>1
2</t>
        </is>
      </c>
      <c r="N9" s="10" t="inlineStr">
        <is>
          <t>Người thân không liên kết
Liên kết tắt chia sẻ
Thiếu health_data
Thiếu family_sharing
Đổi sang bệnh nhân khác
Thiếu hoặc sai token
UUID sai định dạng
Admin dù tự gọi hoặc có liên kết</t>
        </is>
      </c>
      <c r="O9" s="10" t="inlineStr">
        <is>
          <t>3
4
5
6
7
8
9
10</t>
        </is>
      </c>
      <c r="Q9" s="10" t="inlineStr">
        <is>
          <t>Vai trò</t>
        </is>
      </c>
      <c r="R9" s="11" t="inlineStr">
        <is>
          <t>patient</t>
        </is>
      </c>
      <c r="S9" s="11" t="inlineStr">
        <is>
          <t>family</t>
        </is>
      </c>
      <c r="T9" s="11" t="inlineStr">
        <is>
          <t>family</t>
        </is>
      </c>
      <c r="U9" s="11" t="inlineStr">
        <is>
          <t>family</t>
        </is>
      </c>
      <c r="V9" s="11" t="inlineStr">
        <is>
          <t>family</t>
        </is>
      </c>
      <c r="W9" s="11" t="inlineStr">
        <is>
          <t>family</t>
        </is>
      </c>
      <c r="X9" s="11" t="inlineStr">
        <is>
          <t>admin</t>
        </is>
      </c>
    </row>
    <row r="10" ht="74" customHeight="1">
      <c r="A10" s="7" t="inlineStr">
        <is>
          <t>TC-ADHERENCE-02</t>
        </is>
      </c>
      <c r="B10" s="7" t="inlineStr">
        <is>
          <t>Xem lịch sử bệnh nhân từ người thân được chia sẻ</t>
        </is>
      </c>
      <c r="C10" s="8" t="inlineStr">
        <is>
          <t>P có health_data và family_sharing; F có caregiver_link active, sharing_enabled=true; P có một liều đã uống.</t>
        </is>
      </c>
      <c r="D10" s="8" t="inlineStr">
        <is>
          <t>1. Đăng nhập bằng tài khoản F.
2. Gửi GET /adherence?patient_id=P.
3. Kiểm nhóm liều và access_logs.</t>
        </is>
      </c>
      <c r="E10" s="8" t="inlineStr">
        <is>
          <t>P; F; from=2026-10-19; to=2026-10-19</t>
        </is>
      </c>
      <c r="F10" s="8" t="inlineStr">
        <is>
          <t>200; patient_id=P; nhóm và tổng hợp đúng liều của P; access_logs có allowed, actor_role=family.</t>
        </is>
      </c>
      <c r="G10" s="8" t="inlineStr">
        <is>
          <t>Test tương ứng trong Comments PASSED sau migration; evidence/test-migration.log.</t>
        </is>
      </c>
      <c r="H10" s="7" t="inlineStr">
        <is>
          <t>Pass</t>
        </is>
      </c>
      <c r="I10" s="8" t="inlineStr">
        <is>
          <t>AC1 · EP (2) · Decision Table (R2) · test_self_and_family_success_are_audited_with_minimal_metadata__AC1_AC2</t>
        </is>
      </c>
      <c r="Q10" s="10" t="inlineStr">
        <is>
          <t>Liên kết active và bật chia sẻ</t>
        </is>
      </c>
      <c r="R10" s="11" t="inlineStr">
        <is>
          <t>-</t>
        </is>
      </c>
      <c r="S10" s="11" t="inlineStr">
        <is>
          <t>Yes</t>
        </is>
      </c>
      <c r="T10" s="11" t="inlineStr">
        <is>
          <t>No</t>
        </is>
      </c>
      <c r="U10" s="11" t="inlineStr">
        <is>
          <t>No</t>
        </is>
      </c>
      <c r="V10" s="11" t="inlineStr">
        <is>
          <t>Yes</t>
        </is>
      </c>
      <c r="W10" s="11" t="inlineStr">
        <is>
          <t>Yes</t>
        </is>
      </c>
      <c r="X10" s="11" t="inlineStr">
        <is>
          <t>Yes</t>
        </is>
      </c>
    </row>
    <row r="11" ht="74" customHeight="1">
      <c r="A11" s="7" t="inlineStr">
        <is>
          <t>TC-ADHERENCE-03</t>
        </is>
      </c>
      <c r="B11" s="7" t="inlineStr">
        <is>
          <t>Từ chối người thân không có liên kết</t>
        </is>
      </c>
      <c r="C11" s="8" t="inlineStr">
        <is>
          <t>P có consent; F không có caregiver_link với P; P có liều đã uống.</t>
        </is>
      </c>
      <c r="D11" s="8" t="inlineStr">
        <is>
          <t>1. Đăng nhập F.
2. Gửi GET /adherence?patient_id=P.
3. Kiểm response và access_logs.</t>
        </is>
      </c>
      <c r="E11" s="8" t="inlineStr">
        <is>
          <t>P; F không liên kết</t>
        </is>
      </c>
      <c r="F11" s="8" t="inlineStr">
        <is>
          <t>403 {"detail":"khong_co_quyen"}; không có lịch sử; access_logs có denied cho P.</t>
        </is>
      </c>
      <c r="G11" s="8" t="inlineStr">
        <is>
          <t>Test tương ứng trong Comments PASSED sau migration; evidence/test-migration.log.</t>
        </is>
      </c>
      <c r="H11" s="7" t="inlineStr">
        <is>
          <t>Pass</t>
        </is>
      </c>
      <c r="I11" s="8" t="inlineStr">
        <is>
          <t>AC3 · EP (3) · Decision Table (R3) · test_unlinked_missing_consents_sharing_off_admin_denied_and_audited__AC11</t>
        </is>
      </c>
      <c r="Q11" s="10" t="inlineStr">
        <is>
          <t>health_data</t>
        </is>
      </c>
      <c r="R11" s="11" t="inlineStr">
        <is>
          <t>Yes</t>
        </is>
      </c>
      <c r="S11" s="11" t="inlineStr">
        <is>
          <t>Yes</t>
        </is>
      </c>
      <c r="T11" s="11" t="inlineStr">
        <is>
          <t>Yes</t>
        </is>
      </c>
      <c r="U11" s="11" t="inlineStr">
        <is>
          <t>Yes</t>
        </is>
      </c>
      <c r="V11" s="11" t="inlineStr">
        <is>
          <t>No</t>
        </is>
      </c>
      <c r="W11" s="11" t="inlineStr">
        <is>
          <t>Yes</t>
        </is>
      </c>
      <c r="X11" s="11" t="inlineStr">
        <is>
          <t>Yes</t>
        </is>
      </c>
    </row>
    <row r="12" ht="74" customHeight="1">
      <c r="A12" s="7" t="inlineStr">
        <is>
          <t>TC-ADHERENCE-04</t>
        </is>
      </c>
      <c r="B12" s="7" t="inlineStr">
        <is>
          <t>Từ chối khi tắt công tắc chia sẻ</t>
        </is>
      </c>
      <c r="C12" s="8" t="inlineStr">
        <is>
          <t>F có link active tới P; P có hai consent; sharing_enabled=false.</t>
        </is>
      </c>
      <c r="D12" s="8" t="inlineStr">
        <is>
          <t>1. Đăng nhập F.
2. Gửi GET /adherence?patient_id=P.
3. Kiểm access_logs.</t>
        </is>
      </c>
      <c r="E12" s="8" t="inlineStr">
        <is>
          <t>sharing_enabled=false</t>
        </is>
      </c>
      <c r="F12" s="8" t="inlineStr">
        <is>
          <t>403 khong_co_quyen; không có lịch sử; access_logs có denied.</t>
        </is>
      </c>
      <c r="G12" s="8" t="inlineStr">
        <is>
          <t>Test tương ứng trong Comments PASSED sau migration; evidence/test-migration.log.</t>
        </is>
      </c>
      <c r="H12" s="7" t="inlineStr">
        <is>
          <t>Pass</t>
        </is>
      </c>
      <c r="I12" s="8" t="inlineStr">
        <is>
          <t>AC3 · EP (4) · Decision Table (R4) · test_unlinked_missing_consents_sharing_off_admin_denied_and_audited__AC11</t>
        </is>
      </c>
      <c r="Q12" s="10" t="inlineStr">
        <is>
          <t>family_sharing</t>
        </is>
      </c>
      <c r="R12" s="11" t="inlineStr">
        <is>
          <t>-</t>
        </is>
      </c>
      <c r="S12" s="11" t="inlineStr">
        <is>
          <t>Yes</t>
        </is>
      </c>
      <c r="T12" s="11" t="inlineStr">
        <is>
          <t>Yes</t>
        </is>
      </c>
      <c r="U12" s="11" t="inlineStr">
        <is>
          <t>Yes</t>
        </is>
      </c>
      <c r="V12" s="11" t="inlineStr">
        <is>
          <t>Yes</t>
        </is>
      </c>
      <c r="W12" s="11" t="inlineStr">
        <is>
          <t>No</t>
        </is>
      </c>
      <c r="X12" s="11" t="inlineStr">
        <is>
          <t>Yes</t>
        </is>
      </c>
    </row>
    <row r="13" ht="74" customHeight="1">
      <c r="A13" s="7" t="inlineStr">
        <is>
          <t>TC-ADHERENCE-05</t>
        </is>
      </c>
      <c r="B13" s="7" t="inlineStr">
        <is>
          <t>Từ chối khi thiếu consent sức khỏe</t>
        </is>
      </c>
      <c r="C13" s="8" t="inlineStr">
        <is>
          <t>F có link active và sharing_enabled=true; P không còn health_data.</t>
        </is>
      </c>
      <c r="D13" s="8" t="inlineStr">
        <is>
          <t>1. Đăng nhập F.
2. Gửi GET /adherence?patient_id=P.
3. Kiểm access_logs.</t>
        </is>
      </c>
      <c r="E13" s="8" t="inlineStr">
        <is>
          <t>health_data=thu_hoi</t>
        </is>
      </c>
      <c r="F13" s="8" t="inlineStr">
        <is>
          <t>403 khong_co_quyen; không có lịch sử; access_logs có denied.</t>
        </is>
      </c>
      <c r="G13" s="8" t="inlineStr">
        <is>
          <t>Test tương ứng trong Comments PASSED sau migration; evidence/test-migration.log.</t>
        </is>
      </c>
      <c r="H13" s="7" t="inlineStr">
        <is>
          <t>Pass</t>
        </is>
      </c>
      <c r="I13" s="8" t="inlineStr">
        <is>
          <t>AC4 · EP (5) · Decision Table (R5) · test_unlinked_missing_consents_sharing_off_admin_denied_and_audited__AC11</t>
        </is>
      </c>
      <c r="Q13" s="6" t="inlineStr">
        <is>
          <t>Action</t>
        </is>
      </c>
      <c r="R13" s="5" t="inlineStr">
        <is>
          <t>R1</t>
        </is>
      </c>
      <c r="S13" s="5" t="inlineStr">
        <is>
          <t>R2</t>
        </is>
      </c>
      <c r="T13" s="5" t="inlineStr">
        <is>
          <t>R3</t>
        </is>
      </c>
      <c r="U13" s="5" t="inlineStr">
        <is>
          <t>R4</t>
        </is>
      </c>
      <c r="V13" s="5" t="inlineStr">
        <is>
          <t>R5</t>
        </is>
      </c>
      <c r="W13" s="5" t="inlineStr">
        <is>
          <t>R6</t>
        </is>
      </c>
      <c r="X13" s="5" t="inlineStr">
        <is>
          <t>R7</t>
        </is>
      </c>
    </row>
    <row r="14" ht="74" customHeight="1">
      <c r="A14" s="7" t="inlineStr">
        <is>
          <t>TC-ADHERENCE-06</t>
        </is>
      </c>
      <c r="B14" s="7" t="inlineStr">
        <is>
          <t>Từ chối khi thiếu consent chia sẻ gia đình</t>
        </is>
      </c>
      <c r="C14" s="8" t="inlineStr">
        <is>
          <t>F có link active và sharing_enabled=true; P không còn family_sharing.</t>
        </is>
      </c>
      <c r="D14" s="8" t="inlineStr">
        <is>
          <t>1. Đăng nhập F.
2. Gửi GET /adherence?patient_id=P.
3. Kiểm access_logs.</t>
        </is>
      </c>
      <c r="E14" s="8" t="inlineStr">
        <is>
          <t>family_sharing=thu_hoi</t>
        </is>
      </c>
      <c r="F14" s="8" t="inlineStr">
        <is>
          <t>403 khong_co_quyen; không có lịch sử; access_logs có denied.</t>
        </is>
      </c>
      <c r="G14" s="8" t="inlineStr">
        <is>
          <t>Test tương ứng trong Comments PASSED sau migration; evidence/test-migration.log.</t>
        </is>
      </c>
      <c r="H14" s="7" t="inlineStr">
        <is>
          <t>Pass</t>
        </is>
      </c>
      <c r="I14" s="8" t="inlineStr">
        <is>
          <t>AC4 · EP (6) · Decision Table (R6) · test_unlinked_missing_consents_sharing_off_admin_denied_and_audited__AC11</t>
        </is>
      </c>
      <c r="Q14" s="10" t="inlineStr">
        <is>
          <t>200 + allowed</t>
        </is>
      </c>
      <c r="R14" s="11" t="inlineStr">
        <is>
          <t>X</t>
        </is>
      </c>
      <c r="S14" s="11" t="inlineStr">
        <is>
          <t>X</t>
        </is>
      </c>
      <c r="T14" s="11" t="inlineStr"/>
      <c r="U14" s="11" t="inlineStr"/>
      <c r="V14" s="11" t="inlineStr"/>
      <c r="W14" s="11" t="inlineStr"/>
      <c r="X14" s="11" t="inlineStr"/>
    </row>
    <row r="15" ht="90.5" customHeight="1">
      <c r="A15" s="7" t="inlineStr">
        <is>
          <t>TC-ADHERENCE-07</t>
        </is>
      </c>
      <c r="B15" s="7" t="inlineStr">
        <is>
          <t>Từ chối ngay sau khi rút consent với cùng token</t>
        </is>
      </c>
      <c r="C15" s="8" t="inlineStr">
        <is>
          <t>F đang được phép đọc P; lưu bearer token của F.</t>
        </is>
      </c>
      <c r="D15" s="8" t="inlineStr">
        <is>
          <t>1. Gửi GET /adherence?patient_id=P và xác nhận 200.
2. Rút health_data hoặc family_sharing của P.
3. Gửi lại cùng request với token cũ.
4. Kiểm access_logs.</t>
        </is>
      </c>
      <c r="E15" s="8" t="inlineStr">
        <is>
          <t>P; F; token không đổi</t>
        </is>
      </c>
      <c r="F15" s="8" t="inlineStr">
        <is>
          <t>Request thứ hai 403 khong_co_quyen; access_logs có allowed rồi denied, không trả lịch sử.</t>
        </is>
      </c>
      <c r="G15" s="8" t="inlineStr">
        <is>
          <t>Test tương ứng trong Comments PASSED sau migration; evidence/test-migration.log.</t>
        </is>
      </c>
      <c r="H15" s="7" t="inlineStr">
        <is>
          <t>Pass</t>
        </is>
      </c>
      <c r="I15" s="8" t="inlineStr">
        <is>
          <t>AC5 · Decision Table (R5,R6) · test_revoke_sharing_off_unlink_denies_immediate_next_request_same_token__AC12</t>
        </is>
      </c>
      <c r="Q15" s="10" t="inlineStr">
        <is>
          <t>403 + denied</t>
        </is>
      </c>
      <c r="R15" s="11" t="inlineStr"/>
      <c r="S15" s="11" t="inlineStr"/>
      <c r="T15" s="11" t="inlineStr">
        <is>
          <t>X</t>
        </is>
      </c>
      <c r="U15" s="11" t="inlineStr">
        <is>
          <t>X</t>
        </is>
      </c>
      <c r="V15" s="11" t="inlineStr">
        <is>
          <t>X</t>
        </is>
      </c>
      <c r="W15" s="11" t="inlineStr">
        <is>
          <t>X</t>
        </is>
      </c>
      <c r="X15" s="11" t="inlineStr">
        <is>
          <t>X</t>
        </is>
      </c>
    </row>
    <row r="16" ht="107" customHeight="1">
      <c r="A16" s="7" t="inlineStr">
        <is>
          <t>TC-ADHERENCE-08</t>
        </is>
      </c>
      <c r="B16" s="7" t="inlineStr">
        <is>
          <t>Từ chối ngay sau khi hủy liên kết hoặc tắt chia sẻ</t>
        </is>
      </c>
      <c r="C16" s="8" t="inlineStr">
        <is>
          <t>F đang được phép đọc P; lưu bearer token của F.</t>
        </is>
      </c>
      <c r="D16" s="8" t="inlineStr">
        <is>
          <t>1. Gửi GET /adherence?patient_id=P và xác nhận 200.
2. Hủy caregiver_link hoặc tắt sharing_enabled.
3. Gửi lại với token cũ.
4. Kiểm access_logs.</t>
        </is>
      </c>
      <c r="E16" s="8" t="inlineStr">
        <is>
          <t>P; F; token không đổi</t>
        </is>
      </c>
      <c r="F16" s="8" t="inlineStr">
        <is>
          <t>Request thứ hai 403 khong_co_quyen; access_logs có allowed rồi denied.</t>
        </is>
      </c>
      <c r="G16" s="8" t="inlineStr">
        <is>
          <t>Test tương ứng trong Comments PASSED sau migration; evidence/test-migration.log.</t>
        </is>
      </c>
      <c r="H16" s="7" t="inlineStr">
        <is>
          <t>Pass</t>
        </is>
      </c>
      <c r="I16" s="8" t="inlineStr">
        <is>
          <t>AC5 · Decision Table (R3,R4) · test_revoke_sharing_off_unlink_denies_immediate_next_request_same_token__AC12</t>
        </is>
      </c>
    </row>
    <row r="17" ht="90.5" customHeight="1">
      <c r="A17" s="7" t="inlineStr">
        <is>
          <t>TC-ADHERENCE-09</t>
        </is>
      </c>
      <c r="B17" s="7" t="inlineStr">
        <is>
          <t>Từ chối đổi patient_id sang bệnh nhân khác</t>
        </is>
      </c>
      <c r="C17" s="8" t="inlineStr">
        <is>
          <t>F có quyền với P nhưng không có quyền với Q; Q có lịch sử liều.</t>
        </is>
      </c>
      <c r="D17" s="8" t="inlineStr">
        <is>
          <t>1. Đăng nhập F.
2. Gửi GET /adherence?patient_id=P và xác nhận 200.
3. Đổi patient_id=Q rồi gửi lại.
4. Kiểm access_logs của Q.</t>
        </is>
      </c>
      <c r="E17" s="8" t="inlineStr">
        <is>
          <t>P; Q; F chỉ liên kết P</t>
        </is>
      </c>
      <c r="F17" s="8" t="inlineStr">
        <is>
          <t>Request Q trả 403 khong_co_quyen; không có lịch sử Q; access_logs Q có denied.</t>
        </is>
      </c>
      <c r="G17" s="8" t="inlineStr">
        <is>
          <t>Test tương ứng trong Comments PASSED sau migration; evidence/test-migration.log.</t>
        </is>
      </c>
      <c r="H17" s="7" t="inlineStr">
        <is>
          <t>Pass</t>
        </is>
      </c>
      <c r="I17" s="8" t="inlineStr">
        <is>
          <t>AC6 · EP (7) · test_family_patient_selector_tamper_does_not_read_other_patient__AC11</t>
        </is>
      </c>
    </row>
    <row r="18" ht="57.5" customHeight="1">
      <c r="A18" s="7" t="inlineStr">
        <is>
          <t>TC-ADHERENCE-10</t>
        </is>
      </c>
      <c r="B18" s="7" t="inlineStr">
        <is>
          <t>Không trả lịch sử khi ghi audit allowed thất bại</t>
        </is>
      </c>
      <c r="C18" s="8" t="inlineStr">
        <is>
          <t>P có consent và lịch sử; DB api_role bị giả lập lỗi INSERT access_logs.</t>
        </is>
      </c>
      <c r="D18" s="8" t="inlineStr">
        <is>
          <t>1. Gửi GET /adherence bằng token P.
2. Kiểm response, audit và dữ liệu liều.</t>
        </is>
      </c>
      <c r="E18" s="8" t="inlineStr">
        <is>
          <t>Lỗi INSERT access_logs</t>
        </is>
      </c>
      <c r="F18" s="8" t="inlineStr">
        <is>
          <t>500; no-store; không có lịch sử trong response và không làm thay đổi dose_logs.</t>
        </is>
      </c>
      <c r="G18" s="8" t="inlineStr">
        <is>
          <t>Test tương ứng trong Comments PASSED sau migration; evidence/test-migration.log.</t>
        </is>
      </c>
      <c r="H18" s="7" t="inlineStr">
        <is>
          <t>Pass</t>
        </is>
      </c>
      <c r="I18" s="8" t="inlineStr">
        <is>
          <t>AC7 · test_audit_permission_and_commit_failure_fail_closed_without_health__AC13</t>
        </is>
      </c>
    </row>
    <row r="19" ht="57.5" customHeight="1">
      <c r="A19" s="7" t="inlineStr">
        <is>
          <t>TC-ADHERENCE-11</t>
        </is>
      </c>
      <c r="B19" s="7" t="inlineStr">
        <is>
          <t>Giữ log denied sau khi request rollback</t>
        </is>
      </c>
      <c r="C19" s="8" t="inlineStr">
        <is>
          <t>P đã rút health_data; request bị từ chối và transaction chính rollback.</t>
        </is>
      </c>
      <c r="D19" s="8" t="inlineStr">
        <is>
          <t>1. Gửi GET /adherence bằng token P.
2. Kiểm response.
3. Đọc access_logs bằng kết nối quản trị.</t>
        </is>
      </c>
      <c r="E19" s="8" t="inlineStr">
        <is>
          <t>health_data=thu_hoi</t>
        </is>
      </c>
      <c r="F19" s="8" t="inlineStr">
        <is>
          <t>403 consent_revoked; access_logs vẫn có denied cho scope lich_su_tuan_thu.</t>
        </is>
      </c>
      <c r="G19" s="8" t="inlineStr">
        <is>
          <t>Test tương ứng trong Comments PASSED sau migration; evidence/test-migration.log.</t>
        </is>
      </c>
      <c r="H19" s="7" t="inlineStr">
        <is>
          <t>Pass</t>
        </is>
      </c>
      <c r="I19" s="8" t="inlineStr">
        <is>
          <t>AC7 · test_denied_audit_survives_outer_transaction_rollback__AC13</t>
        </is>
      </c>
    </row>
    <row r="20" ht="74" customHeight="1">
      <c r="A20" s="7" t="inlineStr">
        <is>
          <t>TC-ADHERENCE-12</t>
        </is>
      </c>
      <c r="B20" s="7" t="inlineStr">
        <is>
          <t>Từ chối khi thiếu hoặc sai bearer token</t>
        </is>
      </c>
      <c r="C20" s="8" t="inlineStr">
        <is>
          <t>P có lịch sử liều.</t>
        </is>
      </c>
      <c r="D20" s="8" t="inlineStr">
        <is>
          <t>1. Gửi GET /adherence không có Authorization.
2. Gửi lại với Authorization: Bearer invalid-token.
3. Kiểm response và access_logs.</t>
        </is>
      </c>
      <c r="E20" s="8" t="inlineStr">
        <is>
          <t>Authorization=(blank) hoặc Bearer invalid-token</t>
        </is>
      </c>
      <c r="F20" s="8" t="inlineStr">
        <is>
          <t>401; response không chứa lịch sử; Cache-Control=no-store; không có allowed log.</t>
        </is>
      </c>
      <c r="G20" s="8" t="inlineStr">
        <is>
          <t>Test tương ứng trong Comments PASSED sau migration; evidence/test-migration.log.</t>
        </is>
      </c>
      <c r="H20" s="7" t="inlineStr">
        <is>
          <t>Pass</t>
        </is>
      </c>
      <c r="I20" s="8" t="inlineStr">
        <is>
          <t>AC8 · EP (8) · test_authentication_401_and_no_store_without_health_payload__AC14</t>
        </is>
      </c>
    </row>
    <row r="21" ht="57.5" customHeight="1">
      <c r="A21" s="7" t="inlineStr">
        <is>
          <t>TC-ADHERENCE-13</t>
        </is>
      </c>
      <c r="B21" s="7" t="inlineStr">
        <is>
          <t>Từ chối patient_id sai định dạng</t>
        </is>
      </c>
      <c r="C21" s="8" t="inlineStr">
        <is>
          <t>P có lịch sử liều và token hợp lệ.</t>
        </is>
      </c>
      <c r="D21" s="8" t="inlineStr">
        <is>
          <t>1. Gửi GET /adherence?patient_id=invalid-uuid bằng token P.
2. Kiểm response.</t>
        </is>
      </c>
      <c r="E21" s="8" t="inlineStr">
        <is>
          <t>patient_id=invalid-uuid</t>
        </is>
      </c>
      <c r="F21" s="8" t="inlineStr">
        <is>
          <t>422; response không chứa lịch sử; Cache-Control=no-store.</t>
        </is>
      </c>
      <c r="G21" s="8" t="inlineStr">
        <is>
          <t>Test tương ứng trong Comments PASSED sau migration; evidence/test-migration.log.</t>
        </is>
      </c>
      <c r="H21" s="7" t="inlineStr">
        <is>
          <t>Pass</t>
        </is>
      </c>
      <c r="I21" s="8" t="inlineStr">
        <is>
          <t>AC8 · EP (9) · test_bad_queries_are_422_without_health_payload__AC14</t>
        </is>
      </c>
    </row>
    <row r="22" ht="74" customHeight="1">
      <c r="A22" s="7" t="inlineStr">
        <is>
          <t>TC-ADHERENCE-14</t>
        </is>
      </c>
      <c r="B22" s="7" t="inlineStr">
        <is>
          <t>Từ chối admin xem lịch sử của chính mình</t>
        </is>
      </c>
      <c r="C22" s="8" t="inlineStr">
        <is>
          <t>Admin A có health_data và một liều đã uống.</t>
        </is>
      </c>
      <c r="D22" s="8" t="inlineStr">
        <is>
          <t>1. Đăng nhập A.
2. Gửi GET /adherence?patient_id=A.
3. Kiểm response, access_logs và dose_logs.</t>
        </is>
      </c>
      <c r="E22" s="8" t="inlineStr">
        <is>
          <t>A có system_role=admin</t>
        </is>
      </c>
      <c r="F22" s="8" t="inlineStr">
        <is>
          <t>403 khong_co_quyen; không lộ liều; access_logs denied actor_role=admin; dose_logs không đổi.</t>
        </is>
      </c>
      <c r="G22" s="8" t="inlineStr">
        <is>
          <t>Test tương ứng trong Comments PASSED sau migration; evidence/test-migration.log.</t>
        </is>
      </c>
      <c r="H22" s="7" t="inlineStr">
        <is>
          <t>Pass</t>
        </is>
      </c>
      <c r="I22" s="8" t="inlineStr">
        <is>
          <t>AC3, AC7 · Decision Table (R7) · test_admin_self_and_linked_history_denied_and_audited__AC3_AC6_AC7</t>
        </is>
      </c>
    </row>
    <row r="23" ht="74" customHeight="1">
      <c r="A23" s="7" t="inlineStr">
        <is>
          <t>TC-ADHERENCE-15</t>
        </is>
      </c>
      <c r="B23" s="7" t="inlineStr">
        <is>
          <t>Từ chối admin có liên kết người thân</t>
        </is>
      </c>
      <c r="C23" s="8" t="inlineStr">
        <is>
          <t>P có hai consent và một liều; admin A có caregiver_link active, sharing_enabled=true với P.</t>
        </is>
      </c>
      <c r="D23" s="8" t="inlineStr">
        <is>
          <t>1. Đăng nhập A.
2. Gửi GET /adherence?patient_id=P.
3. Kiểm response, access_logs và dose_logs.</t>
        </is>
      </c>
      <c r="E23" s="8" t="inlineStr">
        <is>
          <t>P; A có system_role=admin</t>
        </is>
      </c>
      <c r="F23" s="8" t="inlineStr">
        <is>
          <t>403 khong_co_quyen; không lộ liều; access_logs denied actor_role=admin; dose_logs không đổi.</t>
        </is>
      </c>
      <c r="G23" s="8" t="inlineStr">
        <is>
          <t>Test tương ứng trong Comments PASSED sau migration; evidence/test-migration.log.</t>
        </is>
      </c>
      <c r="H23" s="7" t="inlineStr">
        <is>
          <t>Pass</t>
        </is>
      </c>
      <c r="I23" s="8" t="inlineStr">
        <is>
          <t>AC3, AC6, AC7 · Decision Table (R7) · test_admin_self_and_linked_history_denied_and_audited__AC3_AC6_AC7</t>
        </is>
      </c>
    </row>
    <row r="24" ht="74" customHeight="1">
      <c r="A24" s="7" t="inlineStr">
        <is>
          <t>TC-ADHERENCE-16</t>
        </is>
      </c>
      <c r="B24" s="7" t="inlineStr">
        <is>
          <t>Kiểm nhóm ngày, nhóm thuốc và tỷ lệ tuân thủ</t>
        </is>
      </c>
      <c r="C24" s="8" t="inlineStr">
        <is>
          <t>P có 5 liều: 3 da_uong, 1 uong_tre, 1 bo_lo.</t>
        </is>
      </c>
      <c r="D24" s="8" t="inlineStr">
        <is>
          <t>1. Gửi GET /adherence?group_by=date&amp;from=2026-10-19&amp;to=2026-10-19.
2. Gửi lại với group_by=medication.
3. So sánh summary và nhóm.</t>
        </is>
      </c>
      <c r="E24" s="8" t="inlineStr">
        <is>
          <t>2026-10-19; 5 liều, 2 thuốc</t>
        </is>
      </c>
      <c r="F24" s="8" t="inlineStr">
        <is>
          <t>200; summary total=5, taken=3, late=1, missed=1, pending=0, adherence_rate=80; nhóm và timezone Asia/Ho_Chi_Minh đúng contract.</t>
        </is>
      </c>
      <c r="G24" s="8" t="inlineStr">
        <is>
          <t>Test tương ứng trong Comments PASSED sau migration; evidence/test-migration.log.</t>
        </is>
      </c>
      <c r="H24" s="7" t="inlineStr">
        <is>
          <t>Pass</t>
        </is>
      </c>
      <c r="I24" s="8" t="inlineStr">
        <is>
          <t>AC1, AC9 · test_patient_history_by_date_medication_groups_and_80_percent__AC1_AC3_AC4</t>
        </is>
      </c>
    </row>
    <row r="25" ht="57.5" customHeight="1">
      <c r="A25" s="7" t="inlineStr">
        <is>
          <t>TC-ADHERENCE-17</t>
        </is>
      </c>
      <c r="B25" s="7" t="inlineStr">
        <is>
          <t>Kiểm khoảng ngày một ngày</t>
        </is>
      </c>
      <c r="C25" s="8" t="inlineStr">
        <is>
          <t>P có lịch dùng thuốc bắt đầu 2026-10-19.</t>
        </is>
      </c>
      <c r="D25" s="8" t="inlineStr">
        <is>
          <t>1. Gửi GET /adherence?from=2026-10-19&amp;to=2026-10-19.
2. Kiểm summary và nhóm.</t>
        </is>
      </c>
      <c r="E25" s="8" t="inlineStr">
        <is>
          <t>from=2026-10-19; to=2026-10-19</t>
        </is>
      </c>
      <c r="F25" s="8" t="inlineStr">
        <is>
          <t>200; khoảng một ngày được chấp nhận và chỉ có liều ngày 2026-10-19.</t>
        </is>
      </c>
      <c r="G25" s="8" t="inlineStr">
        <is>
          <t>Test tương ứng trong Comments PASSED sau migration; evidence/test-migration.log.</t>
        </is>
      </c>
      <c r="H25" s="7" t="inlineStr">
        <is>
          <t>Pass</t>
        </is>
      </c>
      <c r="I25" s="8" t="inlineStr">
        <is>
          <t>AC9 · BVA (min) · test_default_partial_and_inclusive_90_day_filters__AC5</t>
        </is>
      </c>
    </row>
    <row r="26" ht="57.5" customHeight="1">
      <c r="A26" s="7" t="inlineStr">
        <is>
          <t>TC-ADHERENCE-18</t>
        </is>
      </c>
      <c r="B26" s="7" t="inlineStr">
        <is>
          <t>Kiểm khoảng ngày tối đa 90 ngày</t>
        </is>
      </c>
      <c r="C26" s="8" t="inlineStr">
        <is>
          <t>P có lịch từ 2026-07-22 đến 2026-10-19.</t>
        </is>
      </c>
      <c r="D26" s="8" t="inlineStr">
        <is>
          <t>1. Gửi GET /adherence với khoảng đúng 90 ngày.
2. Kiểm số ngày và response.</t>
        </is>
      </c>
      <c r="E26" s="8" t="inlineStr">
        <is>
          <t>from=2026-07-22; to=2026-10-19</t>
        </is>
      </c>
      <c r="F26" s="8" t="inlineStr">
        <is>
          <t>200; khoảng 90 ngày được chấp nhận.</t>
        </is>
      </c>
      <c r="G26" s="8" t="inlineStr">
        <is>
          <t>Test tương ứng trong Comments PASSED sau migration; evidence/test-migration.log.</t>
        </is>
      </c>
      <c r="H26" s="7" t="inlineStr">
        <is>
          <t>Pass</t>
        </is>
      </c>
      <c r="I26" s="8" t="inlineStr">
        <is>
          <t>AC9 · BVA (max) · test_default_partial_and_inclusive_90_day_filters__AC5</t>
        </is>
      </c>
    </row>
    <row r="27" ht="57.5" customHeight="1">
      <c r="A27" s="7" t="inlineStr">
        <is>
          <t>TC-ADHERENCE-19</t>
        </is>
      </c>
      <c r="B27" s="7" t="inlineStr">
        <is>
          <t>Từ chối khoảng ngày 91 ngày</t>
        </is>
      </c>
      <c r="C27" s="8" t="inlineStr">
        <is>
          <t>P có lịch từ 2026-07-21 đến 2026-10-19.</t>
        </is>
      </c>
      <c r="D27" s="8" t="inlineStr">
        <is>
          <t>1. Gửi GET /adherence với khoảng 91 ngày.
2. Kiểm response.</t>
        </is>
      </c>
      <c r="E27" s="8" t="inlineStr">
        <is>
          <t>from=2026-07-21; to=2026-10-19</t>
        </is>
      </c>
      <c r="F27" s="8" t="inlineStr">
        <is>
          <t>422 {"detail":"adherence_range_too_large"}; không có lịch sử.</t>
        </is>
      </c>
      <c r="G27" s="8" t="inlineStr">
        <is>
          <t>Test tương ứng trong Comments PASSED sau migration; evidence/test-migration.log.</t>
        </is>
      </c>
      <c r="H27" s="7" t="inlineStr">
        <is>
          <t>Pass</t>
        </is>
      </c>
      <c r="I27" s="8" t="inlineStr">
        <is>
          <t>AC9 · BVA (max+1) · test_default_partial_and_inclusive_90_day_filters__AC5</t>
        </is>
      </c>
    </row>
    <row r="28" ht="74" customHeight="1">
      <c r="A28" s="7" t="inlineStr">
        <is>
          <t>TC-ADHERENCE-20</t>
        </is>
      </c>
      <c r="B28" s="7" t="inlineStr">
        <is>
          <t>Đối chiếu contract với OpenAPI runtime</t>
        </is>
      </c>
      <c r="C28" s="8" t="inlineStr">
        <is>
          <t>Có api_contract/openapi.json đã duyệt và app FastAPI khởi tạo được.</t>
        </is>
      </c>
      <c r="D28" s="8" t="inlineStr">
        <is>
          <t>1. Sinh OpenAPI từ create_app().openapi().
2. So path GET /adherence, query, auth, status, schema và no-store với contract.</t>
        </is>
      </c>
      <c r="E28" s="8" t="inlineStr">
        <is>
          <t>GET /adherence; patient_id, from, to, group_by</t>
        </is>
      </c>
      <c r="F28" s="8" t="inlineStr">
        <is>
          <t>Path, query, bảo mật, mã lỗi, cấu trúc response và Cache-Control no-store khớp contract.</t>
        </is>
      </c>
      <c r="G28" s="8" t="inlineStr">
        <is>
          <t>Hai test OpenAPI runtime/schema PASSED; evidence/test-openapi-after-migration.log.</t>
        </is>
      </c>
      <c r="H28" s="7" t="inlineStr">
        <is>
          <t>Pass</t>
        </is>
      </c>
      <c r="I28" s="8" t="inlineStr">
        <is>
          <t>AC9 · test_contract_query_security_status_headers · test_response_required_nullable_enums_and_constraints</t>
        </is>
      </c>
    </row>
    <row r="29" ht="57.5" customHeight="1">
      <c r="A29" s="7" t="inlineStr">
        <is>
          <t>TC-ADHERENCE-21</t>
        </is>
      </c>
      <c r="B29" s="7" t="inlineStr">
        <is>
          <t>Từ chối khoảng ngày đảo ngược</t>
        </is>
      </c>
      <c r="C29" s="8" t="inlineStr">
        <is>
          <t>P có token hợp lệ và lịch sử liều.</t>
        </is>
      </c>
      <c r="D29" s="8" t="inlineStr">
        <is>
          <t>1. Gửi GET /adherence?from=2026-10-19&amp;to=2026-10-18 bằng token P.
2. Kiểm response không chứa lịch sử.</t>
        </is>
      </c>
      <c r="E29" s="8" t="inlineStr">
        <is>
          <t>from=2026-10-19; to=2026-10-18</t>
        </is>
      </c>
      <c r="F29" s="8" t="inlineStr">
        <is>
          <t>422; không có lịch sử trong response; Cache-Control=no-store.</t>
        </is>
      </c>
      <c r="G29" s="8" t="inlineStr">
        <is>
          <t>Test tương ứng trong Comments PASSED sau migration; evidence/test-migration.log.</t>
        </is>
      </c>
      <c r="H29" s="7" t="inlineStr">
        <is>
          <t>Pass</t>
        </is>
      </c>
      <c r="I29" s="8" t="inlineStr">
        <is>
          <t>AC9 · BVA (min-1) · test_bad_queries_are_422_without_health_payload__AC14</t>
        </is>
      </c>
    </row>
    <row r="30" ht="123.5" customHeight="1">
      <c r="A30" s="7" t="inlineStr">
        <is>
          <t>TC-ADHERENCE-22</t>
        </is>
      </c>
      <c r="B30" s="7" t="inlineStr">
        <is>
          <t>Kiểm ràng buộc actor identity sau migration</t>
        </is>
      </c>
      <c r="C30" s="8" t="inlineStr">
        <is>
          <t>DB local có migration admin-self; hai user A và B; kết nối api_role.</t>
        </is>
      </c>
      <c r="D30" s="8" t="inlineStr">
        <is>
          <t>1. Lần lượt INSERT access_logs với actor A, patient A hoặc B, vai patient/family/admin/khong_co_quyen, result allowed/denied.
2. Kiểm INSERT thành công hoặc SQLSTATE 23514 theo từng tổ hợp.
3. Rollback từng lần; xác nhận không còn dòng thử.</t>
        </is>
      </c>
      <c r="E30" s="8" t="inlineStr">
        <is>
          <t>16 tổ hợp: self/other × 4 role × allowed/denied</t>
        </is>
      </c>
      <c r="F30" s="8" t="inlineStr">
        <is>
          <t>Self patient allowed/denied và self admin denied được chấp nhận; self admin allowed, self family/no-access và other patient bị chặn. Other family/admin giữ allowed/denied; other no-access chỉ denied. Không lưu dòng sau rollback.</t>
        </is>
      </c>
      <c r="G30" s="8" t="inlineStr">
        <is>
          <t>16 ca matrix PASSED; evidence/test-migration.log.</t>
        </is>
      </c>
      <c r="H30" s="7" t="inlineStr">
        <is>
          <t>Pass</t>
        </is>
      </c>
      <c r="I30" s="8" t="inlineStr">
        <is>
          <t>AC3, AC7 · Decision Table (R7) · test_access_log_actor_identity_matrix__AC3_AC7</t>
        </is>
      </c>
    </row>
    <row r="31" ht="74" customHeight="1">
      <c r="A31" s="7" t="inlineStr">
        <is>
          <t>TC-ADHERENCE-23</t>
        </is>
      </c>
      <c r="B31" s="7" t="inlineStr">
        <is>
          <t>Chặn sửa xóa và truncate audit sau migration</t>
        </is>
      </c>
      <c r="C31" s="8" t="inlineStr">
        <is>
          <t>DB local có migration admin-self và một dòng audit; có kết nối api_role, worker_role và postgres.</t>
        </is>
      </c>
      <c r="D31" s="8" t="inlineStr">
        <is>
          <t>1. Thử UPDATE, DELETE, TRUNCATE access_logs lần lượt bằng từng role.
2. Rollback từng transaction thử.
3. Đọc lại audit bằng kết nối quản trị.</t>
        </is>
      </c>
      <c r="E31" s="8" t="inlineStr">
        <is>
          <t>api_role/worker_role/postgres × UPDATE/DELETE/TRUNCATE = 9 ca</t>
        </is>
      </c>
      <c r="F31" s="8" t="inlineStr">
        <is>
          <t>Role ứng dụng bị từ chối SQLSTATE 42501; postgres bị trigger từ chối P0001; audit không đổi.</t>
        </is>
      </c>
      <c r="G31" s="8" t="inlineStr">
        <is>
          <t>9 ca append-only PASSED; evidence/test-migration.log.</t>
        </is>
      </c>
      <c r="H31" s="7" t="inlineStr">
        <is>
          <t>Pass</t>
        </is>
      </c>
      <c r="I31" s="8" t="inlineStr">
        <is>
          <t>AC7 · CD3 · test_access_logs_remain_append_only_after_actor_identity_migration__AC7</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Người thân xem tuân thủ (FAMADH)</t>
        </is>
      </c>
    </row>
    <row r="3">
      <c r="A3" s="1" t="inlineStr">
        <is>
          <t>Created By</t>
        </is>
      </c>
      <c r="B3" s="2" t="inlineStr">
        <is>
          <t>Ngọc Việt</t>
        </is>
      </c>
    </row>
    <row r="4">
      <c r="A4" s="1" t="inlineStr">
        <is>
          <t>Creation Date</t>
        </is>
      </c>
      <c r="B4" s="21" t="n">
        <v>46317</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74" customHeight="1">
      <c r="A9" s="7" t="inlineStr">
        <is>
          <t>TC-FAMADH-01</t>
        </is>
      </c>
      <c r="B9" s="7" t="inlineStr">
        <is>
          <t>Mở route với bệnh nhân hợp lệ</t>
        </is>
      </c>
      <c r="C9" s="8" t="inlineStr">
        <is>
          <t>Môi trường Flutter test dùng repository giả; các ca backend/manual cần app đăng nhập và DB local riêng.</t>
        </is>
      </c>
      <c r="D9" s="8" t="inlineStr">
        <is>
          <t>1. Chạy opens valid family route with supplied patient.
2. Kiểm patientId của request và tên trên màn.</t>
        </is>
      </c>
      <c r="E9" s="8" t="inlineStr">
        <is>
          <t>11111111-1111-4111-8111-111111111111; tên Mẹ</t>
        </is>
      </c>
      <c r="F9" s="8" t="inlineStr">
        <is>
          <t>Một request đúng patientId; hiện Mẹ; không có lỗi widget.</t>
        </is>
      </c>
      <c r="G9" s="8" t="inlineStr">
        <is>
          <t>Khẳng định tự động đạt trong lần chạy Flutter test; xem evidence/test-after-calendar-fix.log.</t>
        </is>
      </c>
      <c r="H9" s="7" t="inlineStr">
        <is>
          <t>Pass</t>
        </is>
      </c>
      <c r="I9" s="8" t="inlineStr">
        <is>
          <t>AC1 · family_adherence_screen_test.dart</t>
        </is>
      </c>
    </row>
    <row r="10" ht="74" customHeight="1">
      <c r="A10" s="7" t="inlineStr">
        <is>
          <t>TC-FAMADH-02</t>
        </is>
      </c>
      <c r="B10" s="7" t="inlineStr">
        <is>
          <t>Từ chối đối số route sai</t>
        </is>
      </c>
      <c r="C10" s="8" t="inlineStr">
        <is>
          <t>Môi trường Flutter test dùng repository giả; các ca backend/manual cần app đăng nhập và DB local riêng.</t>
        </is>
      </c>
      <c r="D10" s="8" t="inlineStr">
        <is>
          <t>1. Chạy rejects invalid route arguments without fetching.</t>
        </is>
      </c>
      <c r="E10" s="8" t="inlineStr">
        <is>
          <t>patientId=bad-id</t>
        </is>
      </c>
      <c r="F10" s="8" t="inlineStr">
        <is>
          <t>Không gọi API; hiện Chưa thể mở lịch sử của người bệnh này.</t>
        </is>
      </c>
      <c r="G10" s="8" t="inlineStr">
        <is>
          <t>Khẳng định tự động đạt trong lần chạy Flutter test; xem evidence/test-after-calendar-fix.log.</t>
        </is>
      </c>
      <c r="H10" s="7" t="inlineStr">
        <is>
          <t>Pass</t>
        </is>
      </c>
      <c r="I10" s="8" t="inlineStr">
        <is>
          <t>AC1, AC6 · family_adherence_screen_test.dart</t>
        </is>
      </c>
    </row>
    <row r="11" ht="74" customHeight="1">
      <c r="A11" s="7" t="inlineStr">
        <is>
          <t>TC-FAMADH-03</t>
        </is>
      </c>
      <c r="B11" s="7" t="inlineStr">
        <is>
          <t>Hiển thị đủ bốn trạng thái chỉ đọc</t>
        </is>
      </c>
      <c r="C11" s="8" t="inlineStr">
        <is>
          <t>Môi trường Flutter test dùng repository giả; các ca backend/manual cần app đăng nhập và DB local riêng.</t>
        </is>
      </c>
      <c r="D11" s="8" t="inlineStr">
        <is>
          <t>1. Chạy shows server summary and four read-only dose states.</t>
        </is>
      </c>
      <c r="E11" s="8" t="inlineStr">
        <is>
          <t>da_uong, uong_tre, bo_lo, cho_xac_nhan; Thuốc A</t>
        </is>
      </c>
      <c r="F11" s="8" t="inlineStr">
        <is>
          <t>Có nhãn bốn trạng thái; không có nút Xác nhận hoặc Sửa.</t>
        </is>
      </c>
      <c r="G11" s="8" t="inlineStr">
        <is>
          <t>Khẳng định tự động đạt trong lần chạy Flutter test; xem evidence/test-after-calendar-fix.log.</t>
        </is>
      </c>
      <c r="H11" s="7" t="inlineStr">
        <is>
          <t>Pass</t>
        </is>
      </c>
      <c r="I11" s="8" t="inlineStr">
        <is>
          <t>AC1, AC2 · family_adherence_screen_test.dart</t>
        </is>
      </c>
    </row>
    <row r="12" ht="74" customHeight="1">
      <c r="A12" s="7" t="inlineStr">
        <is>
          <t>TC-FAMADH-04</t>
        </is>
      </c>
      <c r="B12" s="7" t="inlineStr">
        <is>
          <t>Giữ tỷ lệ gồm uống trễ từ server</t>
        </is>
      </c>
      <c r="C12" s="8" t="inlineStr">
        <is>
          <t>Môi trường Flutter test dùng repository giả; các ca backend/manual cần app đăng nhập và DB local riêng.</t>
        </is>
      </c>
      <c r="D12" s="8" t="inlineStr">
        <is>
          <t>1. Chạy widget test summary và mapper test parses all statuses, offset times and server rate.</t>
        </is>
      </c>
      <c r="E12" s="8" t="inlineStr">
        <is>
          <t>taken=1; late=1; missed=1; pending=1; rate=66.67</t>
        </is>
      </c>
      <c r="F12" s="8" t="inlineStr">
        <is>
          <t>Hiện 66.67% và Tỷ lệ tuân thủ (gồm uống trễ).</t>
        </is>
      </c>
      <c r="G12" s="8" t="inlineStr">
        <is>
          <t>Khẳng định tự động đạt trong lần chạy Flutter test; xem evidence/test-after-calendar-fix.log.</t>
        </is>
      </c>
      <c r="H12" s="7" t="inlineStr">
        <is>
          <t>Pass</t>
        </is>
      </c>
      <c r="I12" s="8" t="inlineStr">
        <is>
          <t>AC3 · family_adherence_screen_test.dart; adherence_api_mapper_test.dart</t>
        </is>
      </c>
    </row>
    <row r="13" ht="74" customHeight="1">
      <c r="A13" s="7" t="inlineStr">
        <is>
          <t>TC-FAMADH-05</t>
        </is>
      </c>
      <c r="B13" s="7" t="inlineStr">
        <is>
          <t>Hiển thị dữ liệu rỗng và tỷ lệ null</t>
        </is>
      </c>
      <c r="C13" s="8" t="inlineStr">
        <is>
          <t>Môi trường Flutter test dùng repository giả; các ca backend/manual cần app đăng nhập và DB local riêng.</t>
        </is>
      </c>
      <c r="D13" s="8" t="inlineStr">
        <is>
          <t>1. Chạy empty response and network retry have distinct states.</t>
        </is>
      </c>
      <c r="E13" s="8" t="inlineStr">
        <is>
          <t>groups=[]; counted=0; adherence_rate=null</t>
        </is>
      </c>
      <c r="F13" s="8" t="inlineStr">
        <is>
          <t>Hiện Chưa có liều được tính và Không có lịch sử trong ngày này.</t>
        </is>
      </c>
      <c r="G13" s="8" t="inlineStr">
        <is>
          <t>Khẳng định tự động đạt trong lần chạy Flutter test; xem evidence/test-after-calendar-fix.log.</t>
        </is>
      </c>
      <c r="H13" s="7" t="inlineStr">
        <is>
          <t>Pass</t>
        </is>
      </c>
      <c r="I13" s="8" t="inlineStr">
        <is>
          <t>AC3, AC4 · family_adherence_screen_test.dart</t>
        </is>
      </c>
    </row>
    <row r="14" ht="74" customHeight="1">
      <c r="A14" s="7" t="inlineStr">
        <is>
          <t>TC-FAMADH-06</t>
        </is>
      </c>
      <c r="B14" s="7" t="inlineStr">
        <is>
          <t>Xóa lịch sử trước refresh và khi bị 403</t>
        </is>
      </c>
      <c r="C14" s="8" t="inlineStr">
        <is>
          <t>Môi trường Flutter test dùng repository giả; các ca backend/manual cần app đăng nhập và DB local riêng.</t>
        </is>
      </c>
      <c r="D14" s="8" t="inlineStr">
        <is>
          <t>1. Tải 200 có Thuốc A.
2. Resume app và trả 403 ở request kế tiếp.</t>
        </is>
      </c>
      <c r="E14" s="8" t="inlineStr">
        <is>
          <t>response 200 → 403</t>
        </is>
      </c>
      <c r="F14" s="8" t="inlineStr">
        <is>
          <t>Thuốc A biến mất ngay khi tải lại; hiện Không còn quyền xem lịch sử.</t>
        </is>
      </c>
      <c r="G14" s="8" t="inlineStr">
        <is>
          <t>Khẳng định tự động đạt trong lần chạy Flutter test; xem evidence/test-after-calendar-fix.log.</t>
        </is>
      </c>
      <c r="H14" s="7" t="inlineStr">
        <is>
          <t>Pass</t>
        </is>
      </c>
      <c r="I14" s="8" t="inlineStr">
        <is>
          <t>AC5 · family_adherence_screen_test.dart</t>
        </is>
      </c>
    </row>
    <row r="15" ht="74" customHeight="1">
      <c r="A15" s="7" t="inlineStr">
        <is>
          <t>TC-FAMADH-07</t>
        </is>
      </c>
      <c r="B15" s="7" t="inlineStr">
        <is>
          <t>Loại response cũ khi đổi bệnh nhân</t>
        </is>
      </c>
      <c r="C15" s="8" t="inlineStr">
        <is>
          <t>Môi trường Flutter test dùng repository giả; các ca backend/manual cần app đăng nhập và DB local riêng.</t>
        </is>
      </c>
      <c r="D15" s="8" t="inlineStr">
        <is>
          <t>1. Chạy changing patient discards late response from previous patient.
2. Cho response B về trước response A.</t>
        </is>
      </c>
      <c r="E15" s="8" t="inlineStr">
        <is>
          <t>A=11111111-1111-4111-8111-111111111111; B=22222222-2222-4222-8222-222222222222</t>
        </is>
      </c>
      <c r="F15" s="8" t="inlineStr">
        <is>
          <t>Chỉ giữ lịch sử B; dữ liệu cũ bị xóa trước request.</t>
        </is>
      </c>
      <c r="G15" s="8" t="inlineStr">
        <is>
          <t>Khẳng định tự động đạt trong lần chạy Flutter test; xem evidence/test-after-calendar-fix.log.</t>
        </is>
      </c>
      <c r="H15" s="7" t="inlineStr">
        <is>
          <t>Pass</t>
        </is>
      </c>
      <c r="I15" s="8" t="inlineStr">
        <is>
          <t>AC6 · adherence_controller_test.dart</t>
        </is>
      </c>
    </row>
    <row r="16" ht="74" customHeight="1">
      <c r="A16" s="7" t="inlineStr">
        <is>
          <t>TC-FAMADH-08</t>
        </is>
      </c>
      <c r="B16" s="7" t="inlineStr">
        <is>
          <t>Map lỗi API và xử lý hết phiên</t>
        </is>
      </c>
      <c r="C16" s="8" t="inlineStr">
        <is>
          <t>Môi trường Flutter test dùng repository giả; các ca backend/manual cần app đăng nhập và DB local riêng.</t>
        </is>
      </c>
      <c r="D16" s="8" t="inlineStr">
        <is>
          <t>1. Chạy HTTP 401/403/422/503 maps to failure without retry.</t>
        </is>
      </c>
      <c r="E16" s="8" t="inlineStr">
        <is>
          <t>401;403;422;503</t>
        </is>
      </c>
      <c r="F16" s="8" t="inlineStr">
        <is>
          <t>Failure đúng loại; callback hết phiên chỉ gọi với 401; mỗi ca một request.</t>
        </is>
      </c>
      <c r="G16" s="8" t="inlineStr">
        <is>
          <t>Khẳng định tự động đạt trong lần chạy Flutter test; xem evidence/test-after-calendar-fix.log.</t>
        </is>
      </c>
      <c r="H16" s="7" t="inlineStr">
        <is>
          <t>Pass</t>
        </is>
      </c>
      <c r="I16" s="8" t="inlineStr">
        <is>
          <t>AC5, AC7 · remote_adherence_repository_test.dart</t>
        </is>
      </c>
    </row>
    <row r="17" ht="74" customHeight="1">
      <c r="A17" s="7" t="inlineStr">
        <is>
          <t>TC-FAMADH-09</t>
        </is>
      </c>
      <c r="B17" s="7" t="inlineStr">
        <is>
          <t>Thử lại sau lỗi mạng</t>
        </is>
      </c>
      <c r="C17" s="8" t="inlineStr">
        <is>
          <t>Môi trường Flutter test dùng repository giả; các ca backend/manual cần app đăng nhập và DB local riêng.</t>
        </is>
      </c>
      <c r="D17" s="8" t="inlineStr">
        <is>
          <t>1. Chạy empty response and network retry have distinct states.
2. Nhấn Thử lại sau lỗi network.</t>
        </is>
      </c>
      <c r="E17" s="8" t="inlineStr">
        <is>
          <t>AdherenceFailureKind.network</t>
        </is>
      </c>
      <c r="F17" s="8" t="inlineStr">
        <is>
          <t>Hiện Chưa thể tải lịch sử; nhấn Thử lại tạo request mới.</t>
        </is>
      </c>
      <c r="G17" s="8" t="inlineStr">
        <is>
          <t>Khẳng định tự động đạt trong lần chạy Flutter test; xem evidence/test-after-calendar-fix.log.</t>
        </is>
      </c>
      <c r="H17" s="7" t="inlineStr">
        <is>
          <t>Pass</t>
        </is>
      </c>
      <c r="I17" s="8" t="inlineStr">
        <is>
          <t>AC7 · family_adherence_screen_test.dart</t>
        </is>
      </c>
    </row>
    <row r="18" ht="74" customHeight="1">
      <c r="A18" s="7" t="inlineStr">
        <is>
          <t>TC-FAMADH-10</t>
        </is>
      </c>
      <c r="B18" s="7" t="inlineStr">
        <is>
          <t>Gửi query và token mới ở mỗi lần đọc</t>
        </is>
      </c>
      <c r="C18" s="8" t="inlineStr">
        <is>
          <t>Môi trường Flutter test dùng repository giả; các ca backend/manual cần app đăng nhập và DB local riêng.</t>
        </is>
      </c>
      <c r="D18" s="8" t="inlineStr">
        <is>
          <t>1. Chạy GET sends patient, bounded dates, group and app bearer on each call.</t>
        </is>
      </c>
      <c r="E18" s="8" t="inlineStr">
        <is>
          <t>from=2026-10-01;to=2026-10-22;group_by=date; token first-token → second-token</t>
        </is>
      </c>
      <c r="F18" s="8" t="inlineStr">
        <is>
          <t>GET /adherence đúng patient_id, from, to, group_by; bearer cập nhật.</t>
        </is>
      </c>
      <c r="G18" s="8" t="inlineStr">
        <is>
          <t>Khẳng định tự động đạt trong lần chạy Flutter test; xem evidence/test-after-calendar-fix.log.</t>
        </is>
      </c>
      <c r="H18" s="7" t="inlineStr">
        <is>
          <t>Pass</t>
        </is>
      </c>
      <c r="I18" s="8" t="inlineStr">
        <is>
          <t>AC1, AC8 · remote_adherence_repository_test.dart</t>
        </is>
      </c>
    </row>
    <row r="19" ht="74" customHeight="1">
      <c r="A19" s="7" t="inlineStr">
        <is>
          <t>TC-FAMADH-11</t>
        </is>
      </c>
      <c r="B19" s="7" t="inlineStr">
        <is>
          <t>Chặn ngày tương lai và ngày quá cũ</t>
        </is>
      </c>
      <c r="C19" s="8" t="inlineStr">
        <is>
          <t>Môi trường Flutter test dùng repository giả; các ca backend/manual cần app đăng nhập và DB local riêng.</t>
        </is>
      </c>
      <c r="D19" s="8" t="inlineStr">
        <is>
          <t>1. Chạy rejects future and out-of-range dates without a request.</t>
        </is>
      </c>
      <c r="E19" s="8" t="inlineStr">
        <is>
          <t>today=2026-10-22; chọn 2026-10-23 và 2026-07-01</t>
        </is>
      </c>
      <c r="F19" s="8" t="inlineStr">
        <is>
          <t>Không phát request.</t>
        </is>
      </c>
      <c r="G19" s="8" t="inlineStr">
        <is>
          <t>Khẳng định tự động đạt trong lần chạy Flutter test; xem evidence/test-after-calendar-fix.log.</t>
        </is>
      </c>
      <c r="H19" s="7" t="inlineStr">
        <is>
          <t>Pass</t>
        </is>
      </c>
      <c r="I19" s="8" t="inlineStr">
        <is>
          <t>AC8 · adherence_controller_test.dart</t>
        </is>
      </c>
    </row>
    <row r="20" ht="74" customHeight="1">
      <c r="A20" s="7" t="inlineStr">
        <is>
          <t>TC-FAMADH-12</t>
        </is>
      </c>
      <c r="B20" s="7" t="inlineStr">
        <is>
          <t>Đọc thời gian có offset và từ chối response sai</t>
        </is>
      </c>
      <c r="C20" s="8" t="inlineStr">
        <is>
          <t>Môi trường Flutter test dùng repository giả; các ca backend/manual cần app đăng nhập và DB local riêng.</t>
        </is>
      </c>
      <c r="D20" s="8" t="inlineStr">
        <is>
          <t>1. Chạy toàn bộ adherence_api_mapper_test.dart và rejects a response for another patient.</t>
        </is>
      </c>
      <c r="E20" s="8" t="inlineStr">
        <is>
          <t>08:00+07:00; taken_at=null; thiếu patient_id; ngày 2026-02-30; patient khác</t>
        </is>
      </c>
      <c r="F20" s="8" t="inlineStr">
        <is>
          <t>UTC đúng; giữ null; dữ liệu sai bị từ chối.</t>
        </is>
      </c>
      <c r="G20" s="8" t="inlineStr">
        <is>
          <t>Khẳng định tự động đạt trong lần chạy Flutter test; xem evidence/test-after-calendar-fix.log.</t>
        </is>
      </c>
      <c r="H20" s="7" t="inlineStr">
        <is>
          <t>Pass</t>
        </is>
      </c>
      <c r="I20" s="8" t="inlineStr">
        <is>
          <t>AC2, AC6, AC8 · adherence_api_mapper_test.dart; remote_adherence_repository_test.dart</t>
        </is>
      </c>
    </row>
    <row r="21" ht="74" customHeight="1">
      <c r="A21" s="7" t="inlineStr">
        <is>
          <t>TC-FAMADH-13</t>
        </is>
      </c>
      <c r="B21" s="7" t="inlineStr">
        <is>
          <t>Không overflow khi tăng cỡ chữ</t>
        </is>
      </c>
      <c r="C21" s="8" t="inlineStr">
        <is>
          <t>Môi trường Flutter test dùng repository giả; các ca backend/manual cần app đăng nhập và DB local riêng.</t>
        </is>
      </c>
      <c r="D21" s="8" t="inlineStr">
        <is>
          <t>1. Chạy fits narrow viewport and large text.</t>
        </is>
      </c>
      <c r="E21" s="8" t="inlineStr">
        <is>
          <t>320×640; textScaleFactor=1.6</t>
        </is>
      </c>
      <c r="F21" s="8" t="inlineStr">
        <is>
          <t>Không có Flutter layout exception.</t>
        </is>
      </c>
      <c r="G21" s="8" t="inlineStr">
        <is>
          <t>Khẳng định tự động đạt trong lần chạy Flutter test; xem evidence/test-after-calendar-fix.log.</t>
        </is>
      </c>
      <c r="H21" s="7" t="inlineStr">
        <is>
          <t>Pass</t>
        </is>
      </c>
      <c r="I21" s="8" t="inlineStr">
        <is>
          <t>AC9 · family_adherence_screen_test.dart</t>
        </is>
      </c>
    </row>
    <row r="22" ht="74" customHeight="1">
      <c r="A22" s="7" t="inlineStr">
        <is>
          <t>TC-FAMADH-14</t>
        </is>
      </c>
      <c r="B22" s="7" t="inlineStr">
        <is>
          <t>Kiểm vùng an toàn, landscape và trình đọc màn hình</t>
        </is>
      </c>
      <c r="C22" s="8" t="inlineStr">
        <is>
          <t>Cần thiết bị hoặc DB local riêng với bệnh nhân A, người thân F và liên kết active.</t>
        </is>
      </c>
      <c r="D22" s="8" t="inlineStr">
        <is>
          <t>1. Mở route trên thiết bị 375dp và 320dp.
2. Tăng chữ 1.6×; xoay ngang; cuộn hết liều.
3. Bật TalkBack/VoiceOver; kiểm nhãn ngày/tỷ lệ/trạng thái và vùng chạm.</t>
        </is>
      </c>
      <c r="E22" s="8" t="inlineStr">
        <is>
          <t>375dp, 320dp; chữ 1.6×</t>
        </is>
      </c>
      <c r="F22" s="8" t="inlineStr">
        <is>
          <t>Không che/tràn; nhãn đọc rõ; điều khiển có vùng chạm theo nền tảng.</t>
        </is>
      </c>
      <c r="G22" s="8" t="inlineStr"/>
      <c r="H22" s="7" t="inlineStr">
        <is>
          <t>Pending</t>
        </is>
      </c>
      <c r="I22" s="8" t="inlineStr">
        <is>
          <t>AC9 · manual</t>
        </is>
      </c>
    </row>
    <row r="23" ht="57.5" customHeight="1">
      <c r="A23" s="7" t="inlineStr">
        <is>
          <t>TC-FAMADH-15</t>
        </is>
      </c>
      <c r="B23" s="7" t="inlineStr">
        <is>
          <t>Đối chiếu Figma S09a/S09b</t>
        </is>
      </c>
      <c r="C23" s="8" t="inlineStr">
        <is>
          <t>Cần thiết bị hoặc DB local riêng với bệnh nhân A, người thân F và liên kết active.</t>
        </is>
      </c>
      <c r="D23" s="8" t="inlineStr">
        <is>
          <t>1. Mở màn có summary và bốn trạng thái.
2. So màu/chữ/spacing/radius với node 75:7848 và 75:8120 cùng foundation.</t>
        </is>
      </c>
      <c r="E23" s="8" t="inlineStr">
        <is>
          <t>Figma Prototype_DrugTime; 375×812</t>
        </is>
      </c>
      <c r="F23" s="8" t="inlineStr">
        <is>
          <t>Nhất quán token và visual; header thể hiện dữ liệu bệnh nhân được chia sẻ.</t>
        </is>
      </c>
      <c r="G23" s="8" t="inlineStr"/>
      <c r="H23" s="7" t="inlineStr">
        <is>
          <t>Pending</t>
        </is>
      </c>
      <c r="I23" s="8" t="inlineStr">
        <is>
          <t>AC10 · manual</t>
        </is>
      </c>
    </row>
    <row r="24" ht="74" customHeight="1">
      <c r="A24" s="7" t="inlineStr">
        <is>
          <t>TC-FAMADH-16</t>
        </is>
      </c>
      <c r="B24" s="7" t="inlineStr">
        <is>
          <t>Kiểm quyền đọc và audit trên DB thật</t>
        </is>
      </c>
      <c r="C24" s="8" t="inlineStr">
        <is>
          <t>Cần thiết bị hoặc DB local riêng với bệnh nhân A, người thân F và liên kết active.</t>
        </is>
      </c>
      <c r="D24" s="8" t="inlineStr">
        <is>
          <t>1. Chạy backend/tests/integration/test_adherence_history_access.py trên DB local sạch.
2. Kiểm ca family allowed, không link/consent và giả mạo patient_id.</t>
        </is>
      </c>
      <c r="E24" s="8" t="inlineStr">
        <is>
          <t>F liên kết A; B không liên kết</t>
        </is>
      </c>
      <c r="F24" s="8" t="inlineStr">
        <is>
          <t>200 + audit allowed với A; 403 + audit denied với B/thiếu quyền.</t>
        </is>
      </c>
      <c r="G24" s="8" t="inlineStr">
        <is>
          <t>60 test API/quyền/audit pass trên DB thật sau khi restart Docker, 17.36 giây; khẳng định tương ứng đạt.</t>
        </is>
      </c>
      <c r="H24" s="7" t="inlineStr">
        <is>
          <t>Pass</t>
        </is>
      </c>
      <c r="I24" s="8" t="inlineStr">
        <is>
          <t>AC5, AC6 · manual</t>
        </is>
      </c>
    </row>
    <row r="25" ht="74" customHeight="1">
      <c r="A25" s="7" t="inlineStr">
        <is>
          <t>TC-FAMADH-17</t>
        </is>
      </c>
      <c r="B25" s="7" t="inlineStr">
        <is>
          <t>Thu hồi quyền có hiệu lực request kế tiếp</t>
        </is>
      </c>
      <c r="C25" s="8" t="inlineStr">
        <is>
          <t>Cần thiết bị hoặc DB local riêng với bệnh nhân A, người thân F và liên kết active.</t>
        </is>
      </c>
      <c r="D25" s="8" t="inlineStr">
        <is>
          <t>1. Chạy test_revoke_sharing_off_unlink_denies_immediate_next_request_same_token__AC12.
2. Rút consent hoặc tắt sharing/unlink, gửi lại cùng token.</t>
        </is>
      </c>
      <c r="E25" s="8" t="inlineStr">
        <is>
          <t>Cùng phiên F; A vừa thu hồi</t>
        </is>
      </c>
      <c r="F25" s="8" t="inlineStr">
        <is>
          <t>403 ngay request tiếp theo; có audit denied.</t>
        </is>
      </c>
      <c r="G25" s="8" t="inlineStr">
        <is>
          <t>60 test API/quyền/audit pass trên DB thật sau khi restart Docker, 17.36 giây; khẳng định tương ứng đạt.</t>
        </is>
      </c>
      <c r="H25" s="7" t="inlineStr">
        <is>
          <t>Pass</t>
        </is>
      </c>
      <c r="I25" s="8" t="inlineStr">
        <is>
          <t>AC5 · manual</t>
        </is>
      </c>
    </row>
    <row r="26" ht="57.5" customHeight="1">
      <c r="A26" s="7" t="inlineStr">
        <is>
          <t>TC-FAMADH-18</t>
        </is>
      </c>
      <c r="B26" s="7" t="inlineStr">
        <is>
          <t>Fail closed khi ghi audit lỗi</t>
        </is>
      </c>
      <c r="C26" s="8" t="inlineStr">
        <is>
          <t>Cần thiết bị hoặc DB local riêng với bệnh nhân A, người thân F và liên kết active.</t>
        </is>
      </c>
      <c r="D26" s="8" t="inlineStr">
        <is>
          <t>1. Chạy test_audit_permission_and_commit_failure_fail_closed_without_health__AC13 trên DB riêng.</t>
        </is>
      </c>
      <c r="E26" s="8" t="inlineStr">
        <is>
          <t>Lỗi insert audit/commit/đọc quyền</t>
        </is>
      </c>
      <c r="F26" s="8" t="inlineStr">
        <is>
          <t>Không trả dữ liệu sức khỏe khi audit/quyền lỗi.</t>
        </is>
      </c>
      <c r="G26" s="8" t="inlineStr">
        <is>
          <t>60 test API/quyền/audit pass trên DB thật sau khi restart Docker, 17.36 giây; khẳng định tương ứng đạt.</t>
        </is>
      </c>
      <c r="H26" s="7" t="inlineStr">
        <is>
          <t>Pass</t>
        </is>
      </c>
      <c r="I26" s="8" t="inlineStr">
        <is>
          <t>AC5, AC6 · manual</t>
        </is>
      </c>
    </row>
    <row r="27" ht="57.5" customHeight="1">
      <c r="A27" s="7" t="inlineStr">
        <is>
          <t>TC-FAMADH-19</t>
        </is>
      </c>
      <c r="B27" s="7" t="inlineStr">
        <is>
          <t>Kiểm đủ biên 90 ngày và điều hướng lịch tháng</t>
        </is>
      </c>
      <c r="C27" s="8" t="inlineStr">
        <is>
          <t>Cần thiết bị hoặc DB local riêng với bệnh nhân A, người thân F và liên kết active.</t>
        </is>
      </c>
      <c r="D27" s="8" t="inlineStr">
        <is>
          <t>1. Chọn today-90, today-89, today, today+1.
2. Mở lịch tháng và chuyển giữa các tháng trong cửa sổ.</t>
        </is>
      </c>
      <c r="E27" s="8" t="inlineStr">
        <is>
          <t>today=2026-10-22; các ngày biên 2026-07-24,2026-07-25,2026-10-22,2026-10-23</t>
        </is>
      </c>
      <c r="F27" s="8" t="inlineStr">
        <is>
          <t>Chỉ today-89 đến today được chọn; query mỗi lần không quá 90 ngày; tương lai bị khóa.</t>
        </is>
      </c>
      <c r="G27" s="8" t="inlineStr">
        <is>
          <t>Hai ca biên bốn ngày và khóa điều hướng tháng đều pass.</t>
        </is>
      </c>
      <c r="H27" s="7" t="inlineStr">
        <is>
          <t>Pass</t>
        </is>
      </c>
      <c r="I27" s="8" t="inlineStr">
        <is>
          <t>AC8 · manual</t>
        </is>
      </c>
    </row>
    <row r="28" ht="90.5" customHeight="1">
      <c r="A28" s="7" t="inlineStr">
        <is>
          <t>TC-FAMADH-20</t>
        </is>
      </c>
      <c r="B28" s="7" t="inlineStr">
        <is>
          <t>Kiểm vùng chạm chọn ngày ở 320dp</t>
        </is>
      </c>
      <c r="C28" s="8" t="inlineStr">
        <is>
          <t>Flutter test; viewport 320x640; padding ngang 16dp</t>
        </is>
      </c>
      <c r="D28" s="8" t="inlineStr">
        <is>
          <t>1. Chạy evidence/calendar-accessibility-repro.dart từ frontend/mobile bằng flutter test --no-pub.
2. Kiểm androidTapTargetGuideline.</t>
        </is>
      </c>
      <c r="E28" s="8" t="inlineStr">
        <is>
          <t>320dp; ngày 22/10/2026</t>
        </is>
      </c>
      <c r="F28" s="8" t="inlineStr">
        <is>
          <t>Mọi ô tương tác ít nhất 48x48dp.</t>
        </is>
      </c>
      <c r="G28" s="8" t="inlineStr">
        <is>
          <t>Hồi quy tuần/tháng tại 320dp và 375dp, chữ 1.6x đạt androidTapTargetGuideline; chọn ngày cột cuối đúng.</t>
        </is>
      </c>
      <c r="H28" s="7" t="inlineStr">
        <is>
          <t>Pass</t>
        </is>
      </c>
      <c r="I28" s="8" t="inlineStr">
        <is>
          <t>AC9 · BVA viewport 320dp · calendar meets Android tap target sizes at 320dp; BUG-FAMADH-20 đã sửa, giữ log fail cũ test-calendar-accessibility.log</t>
        </is>
      </c>
    </row>
    <row r="29" ht="90.5" customHeight="1">
      <c r="A29" s="7" t="inlineStr">
        <is>
          <t>TC-FAMADH-21</t>
        </is>
      </c>
      <c r="B29" s="7" t="inlineStr">
        <is>
          <t>Giữ khoảng ngày hợp lệ khi refresh qua nửa đêm</t>
        </is>
      </c>
      <c r="C29" s="8" t="inlineStr">
        <is>
          <t>Controller mở ngày 28/10/2026 với selectedDate=31/07/2026 (today-89).</t>
        </is>
      </c>
      <c r="D29" s="8" t="inlineStr">
        <is>
          <t>1. Chạy evidence/review-date-rollover-repro.dart bằng flutter test --no-pub từ frontend/mobile.
2. Chuyển đồng hồ sang 29/10/2026 và gọi refresh; xem khoảng request mà repository ghi nhận.</t>
        </is>
      </c>
      <c r="E29" s="8" t="inlineStr">
        <is>
          <t>now 28/10 → 29/10/2026, selectedDate=31/07/2026</t>
        </is>
      </c>
      <c r="F29" s="8" t="inlineStr">
        <is>
          <t>Chuẩn hóa ngày đang chọn vào cửa sổ mới trước refresh; mọi request có from&lt;=to.</t>
        </is>
      </c>
      <c r="G29" s="8" t="inlineStr">
        <is>
          <t>Tái hiện request from=01/08/2026, to=31/07/2026. Script tái hiện pass vì khẳng định bug tồn tại; hành vi sản phẩm Fail.</t>
        </is>
      </c>
      <c r="H29" s="7" t="inlineStr">
        <is>
          <t>Fail</t>
        </is>
      </c>
      <c r="I29" s="8" t="inlineStr">
        <is>
          <t>AC8 · Chuyển trạng thái đồng hồ · review R2 · có thể chọn ngày khác để tiếp tục</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Ngọc Việt</t>
        </is>
      </c>
      <c r="F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f>
        <v/>
      </c>
      <c r="D3" s="11">
        <f>'Chọn thuốc danh mục'!$H$40+'Hồi quy xác nhận liều'!$H$12</f>
        <v/>
      </c>
      <c r="E3" s="11">
        <f>'Alert dispatch'!$H$22+'Lịch sử tuân thủ'!$H$34+'Family adherence view'!$H$32</f>
        <v/>
      </c>
      <c r="F3" s="15">
        <f>SUM(C3:E3)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f>
        <v/>
      </c>
      <c r="D4" s="11">
        <f>'Chọn thuốc danh mục'!$H$41+'Hồi quy xác nhận liều'!$H$13</f>
        <v/>
      </c>
      <c r="E4" s="11">
        <f>'Alert dispatch'!$H$23+'Lịch sử tuân thủ'!$H$35+'Family adherence view'!$H$33</f>
        <v/>
      </c>
      <c r="F4" s="15">
        <f>SUM(C4:E4)</f>
        <v/>
      </c>
    </row>
    <row r="5">
      <c r="A5" s="17" t="n"/>
      <c r="B5" s="9" t="inlineStr">
        <is>
          <t>(Total) Test executed (Passed + Failed)</t>
        </is>
      </c>
      <c r="C5" s="11">
        <f>C3+C4</f>
        <v/>
      </c>
      <c r="D5" s="11">
        <f>D3+D4</f>
        <v/>
      </c>
      <c r="E5" s="11">
        <f>E3+E4</f>
        <v/>
      </c>
      <c r="F5" s="15">
        <f>SUM(C5:E5)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f>
        <v/>
      </c>
      <c r="D6" s="11">
        <f>'Chọn thuốc danh mục'!$H$42+'Hồi quy xác nhận liều'!$H$14</f>
        <v/>
      </c>
      <c r="E6" s="11">
        <f>'Alert dispatch'!$H$24+'Lịch sử tuân thủ'!$H$36+'Family adherence view'!$H$34</f>
        <v/>
      </c>
      <c r="F6" s="15">
        <f>SUM(C6:E6)</f>
        <v/>
      </c>
    </row>
    <row r="7">
      <c r="A7" s="15" t="inlineStr">
        <is>
          <t>(Sub-total) Test Planned</t>
        </is>
      </c>
      <c r="B7" s="10" t="inlineStr"/>
      <c r="C7" s="11">
        <f>C5+C6</f>
        <v/>
      </c>
      <c r="D7" s="11">
        <f>D5+D6</f>
        <v/>
      </c>
      <c r="E7" s="11">
        <f>E5+E6</f>
        <v/>
      </c>
      <c r="F7" s="15">
        <f>SUM(C7:E7)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90.5" customHeight="1">
      <c r="A26" s="11" t="inlineStr">
        <is>
          <t>Điều phối cảnh báo người thân</t>
        </is>
      </c>
      <c r="B26" s="10" t="inlineStr">
        <is>
          <t>Điều phối cảnh báo bỏ lỡ liều cho người thân: gửi FCM trên Android, lưu hộp thư cho iOS (không có APNs), và API Notification Inbox.</t>
        </is>
      </c>
      <c r="C26" s="11" t="inlineStr">
        <is>
          <t>Alert dispatch</t>
        </is>
      </c>
      <c r="D26" s="18">
        <f>IFERROR(('Alert dispatch'!$H$25-'Alert dispatch'!$H$24)/'Alert dispatch'!$H$25,0)</f>
        <v/>
      </c>
      <c r="E26" s="18">
        <f>IFERROR('Alert dispatch'!$H$22/'Alert dispatch'!$H$25,0)</f>
        <v/>
      </c>
      <c r="F26" s="18">
        <f>IFERROR('Alert dispatch'!$H$23/'Alert dispatch'!$H$25,0)</f>
        <v/>
      </c>
      <c r="G26" s="11" t="inlineStr">
        <is>
          <t>High</t>
        </is>
      </c>
      <c r="H26" s="10" t="inlineStr">
        <is>
          <t>Đã hoàn thành và kiểm thử tự động toàn bộ logic điều phối cảnh báo và API Notification Inbox. Các test tích hợp trên DB thật để trạng thái Pending chờ môi trường local Supabase.</t>
        </is>
      </c>
      <c r="I26" s="11" t="inlineStr">
        <is>
          <t>Ngọc Việt</t>
        </is>
      </c>
    </row>
    <row r="27" ht="90.5" customHeight="1">
      <c r="A27" s="11" t="inlineStr">
        <is>
          <t>Lịch sử tuân thủ theo consent</t>
        </is>
      </c>
      <c r="B27" s="10" t="inlineStr">
        <is>
          <t>GET /adherence theo quyền bệnh nhân, người thân, consent và audit.</t>
        </is>
      </c>
      <c r="C27" s="11" t="inlineStr">
        <is>
          <t>Lịch sử tuân thủ</t>
        </is>
      </c>
      <c r="D27" s="18">
        <f>IFERROR(('Lịch sử tuân thủ'!$H$37-'Lịch sử tuân thủ'!$H$36)/'Lịch sử tuân thủ'!$H$37,0)</f>
        <v/>
      </c>
      <c r="E27" s="18">
        <f>IFERROR('Lịch sử tuân thủ'!$H$34/'Lịch sử tuân thủ'!$H$37,0)</f>
        <v/>
      </c>
      <c r="F27" s="18">
        <f>IFERROR('Lịch sử tuân thủ'!$H$35/'Lịch sử tuân thủ'!$H$37,0)</f>
        <v/>
      </c>
      <c r="G27" s="11" t="inlineStr">
        <is>
          <t>Critical</t>
        </is>
      </c>
      <c r="H27" s="10" t="inlineStr">
        <is>
          <t>23 Pass sau migration; BUG-ADHERENCE-14 đã qua kiểm thử hồi quy, còn chờ review/PR.</t>
        </is>
      </c>
      <c r="I27" s="11" t="inlineStr">
        <is>
          <t>Ngọc Việt</t>
        </is>
      </c>
    </row>
    <row r="28" ht="90.5" customHeight="1">
      <c r="A28" s="11" t="inlineStr">
        <is>
          <t>Người thân xem tuân thủ</t>
        </is>
      </c>
      <c r="B28" s="10" t="inlineStr">
        <is>
          <t>Màn chỉ đọc nhận patientId</t>
        </is>
      </c>
      <c r="C28" s="11" t="inlineStr">
        <is>
          <t>Family adherence view</t>
        </is>
      </c>
      <c r="D28" s="18">
        <f>IFERROR(('Family adherence view'!$H$35-'Family adherence view'!$H$34)/'Family adherence view'!$H$35,0)</f>
        <v/>
      </c>
      <c r="E28" s="18">
        <f>IFERROR('Family adherence view'!$H$32/'Family adherence view'!$H$35,0)</f>
        <v/>
      </c>
      <c r="F28" s="18">
        <f>IFERROR('Family adherence view'!$H$33/'Family adherence view'!$H$35,0)</f>
        <v/>
      </c>
      <c r="G28" s="11" t="inlineStr">
        <is>
          <t>High</t>
        </is>
      </c>
      <c r="H28" s="10" t="inlineStr">
        <is>
          <t>R1 workbook đã khôi phục baseline; BUG-FAMADH-20 đã sửa; R2/BUG-FAMADH-21 Medium còn mở; 2 manual Pending.</t>
        </is>
      </c>
      <c r="I28" s="11" t="inlineStr">
        <is>
          <t>Ngọc Việt</t>
        </is>
      </c>
    </row>
    <row r="51">
      <c r="A51" s="19" t="inlineStr">
        <is>
          <t>Bug Report</t>
        </is>
      </c>
    </row>
    <row r="52">
      <c r="A52" s="20" t="inlineStr">
        <is>
          <t>Bug ID</t>
        </is>
      </c>
      <c r="B52" s="20" t="inlineStr">
        <is>
          <t>Description</t>
        </is>
      </c>
      <c r="C52" s="20" t="inlineStr">
        <is>
          <t>Steps to Reproduce</t>
        </is>
      </c>
      <c r="D52" s="20" t="inlineStr">
        <is>
          <t>Input Data</t>
        </is>
      </c>
      <c r="E52" s="20" t="inlineStr">
        <is>
          <t>Expected Result</t>
        </is>
      </c>
      <c r="F52" s="20" t="inlineStr">
        <is>
          <t>Actual Result</t>
        </is>
      </c>
      <c r="G52" s="20" t="inlineStr">
        <is>
          <t>Severity</t>
        </is>
      </c>
      <c r="H52" s="20" t="inlineStr">
        <is>
          <t>Name of Tester</t>
        </is>
      </c>
      <c r="I52" s="20" t="inlineStr">
        <is>
          <t>Logs</t>
        </is>
      </c>
    </row>
    <row r="53" ht="123.5" customHeight="1">
      <c r="A53" s="22" t="inlineStr">
        <is>
          <t>BUG-LOGIN-08</t>
        </is>
      </c>
      <c r="B53" s="22" t="inlineStr">
        <is>
          <t>Gửi số điện thoại có ký tự xuống dòng ở cuối</t>
        </is>
      </c>
      <c r="C53" s="22" t="inlineStr">
        <is>
          <t>1. POST /auth/mobile/otp {phone: "0900000001\n"}
2. POST /auth/mobile/verify {phone: "0900000001\n", token: 123456}</t>
        </is>
      </c>
      <c r="D53" s="22" t="inlineStr">
        <is>
          <t>phone: 0900000001 + ký tự \n</t>
        </is>
      </c>
      <c r="E53" s="22" t="inlineStr">
        <is>
          <t>422 {"detail":"invalid_phone"} (theo AC6 của 01-requirement)</t>
        </is>
      </c>
      <c r="F53" s="22" t="inlineStr">
        <is>
          <t>OTP 204, verify 200 và cấp phiên (backend bỏ ký tự trắng hai đầu)</t>
        </is>
      </c>
      <c r="G53" s="22" t="inlineStr">
        <is>
          <t>Low</t>
        </is>
      </c>
      <c r="H53" s="22" t="inlineStr">
        <is>
          <t>zannguyen</t>
        </is>
      </c>
      <c r="I53"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4" ht="123.5" customHeight="1">
      <c r="A54" s="22" t="inlineStr">
        <is>
          <t>BUG-LOGIN-11</t>
        </is>
      </c>
      <c r="B54" s="22" t="inlineStr">
        <is>
          <t>Gửi số điện thoại viết bằng chữ số Unicode</t>
        </is>
      </c>
      <c r="C54" s="22" t="inlineStr">
        <is>
          <t>1. POST /auth/mobile/otp {phone}
2. POST /auth/mobile/verify {phone, token: 123456}</t>
        </is>
      </c>
      <c r="D54" s="22" t="inlineStr">
        <is>
          <t>+８４９０００００００１ (full-width) | +٨٤٩٠٠٠٠٠٠٠١ (chữ số Ả Rập)</t>
        </is>
      </c>
      <c r="E54" s="22" t="inlineStr">
        <is>
          <t>422 {"detail":"invalid_phone"}, không gọi Supabase</t>
        </is>
      </c>
      <c r="F54" s="22" t="inlineStr">
        <is>
          <t>OTP 503 {"detail":"auth_provider_unavailable"}, verify 401 {"detail":"Invalid credentials"} — request đã tới Supabase</t>
        </is>
      </c>
      <c r="G54" s="22" t="inlineStr">
        <is>
          <t>Low</t>
        </is>
      </c>
      <c r="H54" s="22" t="inlineStr">
        <is>
          <t>zannguyen</t>
        </is>
      </c>
      <c r="I54"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5" ht="189.5" customHeight="1">
      <c r="A55" s="22" t="inlineStr">
        <is>
          <t>BUG-LOGIN-25</t>
        </is>
      </c>
      <c r="B55" s="22" t="inlineStr">
        <is>
          <t>Lưu họ tên có ký tự NUL</t>
        </is>
      </c>
      <c r="C55" s="22" t="inlineStr">
        <is>
          <t>1. POST /auth/profile {ho_ten: "abc\u0000def", ngày sinh, giới tính hợp lệ}</t>
        </is>
      </c>
      <c r="D55" s="22" t="inlineStr">
        <is>
          <t>ho_ten: abc\u0000def</t>
        </is>
      </c>
      <c r="E55" s="22" t="inlineStr">
        <is>
          <t>Không 5xx (từ chối 422 hoặc lưu được); không lộ chi tiết nội bộ</t>
        </is>
      </c>
      <c r="F55" s="22" t="inlineStr">
        <is>
          <t>500 Internal Server Error</t>
        </is>
      </c>
      <c r="G55" s="22" t="inlineStr">
        <is>
          <t>Medium</t>
        </is>
      </c>
      <c r="H55" s="22" t="inlineStr">
        <is>
          <t>zannguyen</t>
        </is>
      </c>
      <c r="I55"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6" ht="90.5" customHeight="1">
      <c r="A56" s="22" t="inlineStr">
        <is>
          <t>BUG-LOGIN-30</t>
        </is>
      </c>
      <c r="B56" s="22" t="inlineStr">
        <is>
          <t>Lưu họ tên dài 256 ký tự</t>
        </is>
      </c>
      <c r="C56" s="22" t="inlineStr">
        <is>
          <t>1. POST /auth/profile {ho_ten: A*256}</t>
        </is>
      </c>
      <c r="D56" s="22" t="inlineStr">
        <is>
          <t>A*256</t>
        </is>
      </c>
      <c r="E56" s="22" t="inlineStr">
        <is>
          <t>422; hồ sơ không đổi (giới hạn 255 theo Q4 của 01-requirement)</t>
        </is>
      </c>
      <c r="F56" s="22" t="inlineStr">
        <is>
          <t>204, đã lưu</t>
        </is>
      </c>
      <c r="G56" s="22" t="inlineStr">
        <is>
          <t>Low</t>
        </is>
      </c>
      <c r="H56" s="22" t="inlineStr">
        <is>
          <t>zannguyen</t>
        </is>
      </c>
      <c r="I56" s="22" t="inlineStr">
        <is>
          <t>Không có giới hạn độ dài họ tên: `_validate_profile` (sign_in.py) chỉ kiểm rỗng; cột users.full_name kiểu text không giới hạn
Log: evidence/test-integration.log</t>
        </is>
      </c>
    </row>
    <row r="57" ht="90.5" customHeight="1">
      <c r="A57" s="22" t="inlineStr">
        <is>
          <t>BUG-LOGIN-32</t>
        </is>
      </c>
      <c r="B57" s="22" t="inlineStr">
        <is>
          <t>Lưu ngày sinh trước 1900-01-01</t>
        </is>
      </c>
      <c r="C57" s="22" t="inlineStr">
        <is>
          <t>1. POST /auth/profile {ngay_sinh}</t>
        </is>
      </c>
      <c r="D57" s="22" t="inlineStr">
        <is>
          <t>1899-12-31 | 0001-01-01</t>
        </is>
      </c>
      <c r="E57" s="22" t="inlineStr">
        <is>
          <t>422; hồ sơ không đổi (cận dưới 1900-01-01 theo Q4)</t>
        </is>
      </c>
      <c r="F57" s="22" t="inlineStr">
        <is>
          <t>204 ở cả hai giá trị, đã lưu</t>
        </is>
      </c>
      <c r="G57" s="22" t="inlineStr">
        <is>
          <t>Low</t>
        </is>
      </c>
      <c r="H57" s="22" t="inlineStr">
        <is>
          <t>zannguyen</t>
        </is>
      </c>
      <c r="I57" s="22" t="inlineStr">
        <is>
          <t>`_validate_birth_date` (sign_in.py:229–231) chỉ chặn ngày tương lai, không có cận dưới. App mobile đã giới hạn date picker từ 1900 nên chỉ gặp khi gọi API trực tiếp
Log: evidence/test-integration.log</t>
        </is>
      </c>
    </row>
    <row r="58" ht="123.5" customHeight="1">
      <c r="A58" s="22" t="inlineStr">
        <is>
          <t>BUG-LOGIN-35</t>
        </is>
      </c>
      <c r="B58" s="22" t="inlineStr">
        <is>
          <t>Lưu ngày sinh là hôm nay lúc 00:30 giờ Việt Nam</t>
        </is>
      </c>
      <c r="C58" s="22" t="inlineStr">
        <is>
          <t>1. POST /auth/profile {ngay_sinh: "2026-10-08"}</t>
        </is>
      </c>
      <c r="D58" s="22" t="inlineStr">
        <is>
          <t>ngay_sinh: 2026-10-08</t>
        </is>
      </c>
      <c r="E58" s="22" t="inlineStr">
        <is>
          <t>204 (hôm nay theo giờ Asia/Ho_Chi_Minh — bất biến 7)</t>
        </is>
      </c>
      <c r="F58" s="22" t="inlineStr">
        <is>
          <t>422 {"detail":"invalid_date_of_birth"}</t>
        </is>
      </c>
      <c r="G58" s="22" t="inlineStr">
        <is>
          <t>Medium</t>
        </is>
      </c>
      <c r="H58" s="22" t="inlineStr">
        <is>
          <t>zannguyen</t>
        </is>
      </c>
      <c r="I58"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9" ht="173" customHeight="1">
      <c r="A59" s="22" t="inlineStr">
        <is>
          <t>BUG-LOGIN-42</t>
        </is>
      </c>
      <c r="B59" s="22" t="inlineStr">
        <is>
          <t>Chạm lại ô OTP sau khi nhập sai để sửa mã</t>
        </is>
      </c>
      <c r="C59" s="22" t="inlineStr">
        <is>
          <t>1. Chạm vào ô mã OTP
2. Theo dõi request backend nhận được</t>
        </is>
      </c>
      <c r="D59" s="22" t="inlineStr">
        <is>
          <t>Ô đang chứa 000000</t>
        </is>
      </c>
      <c r="E59" s="22" t="inlineStr">
        <is>
          <t>Không gửi xác thực cho tới khi người dùng nhập mã mới đủ 6 số</t>
        </is>
      </c>
      <c r="F59" s="22" t="inlineStr">
        <is>
          <t>Backend nhận thêm một POST /auth/mobile/verify 401 với mã cũ ngay khi chạm ô (chuỗi request: otp 204, verify 401, verify 401, verify 200)</t>
        </is>
      </c>
      <c r="G59" s="22" t="inlineStr">
        <is>
          <t>Low</t>
        </is>
      </c>
      <c r="H59" s="22" t="inlineStr">
        <is>
          <t>zannguyen</t>
        </is>
      </c>
      <c r="I59"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0" ht="222.5" customHeight="1">
      <c r="A60" s="22" t="inlineStr">
        <is>
          <t>BUG-LINKCODE-28</t>
        </is>
      </c>
      <c r="B60" s="22" t="inlineStr">
        <is>
          <t>Toàn bộ unit test, architecture test và ruff toàn repo pass</t>
        </is>
      </c>
      <c r="C60" s="22" t="inlineStr">
        <is>
          <t>1. pytest tests/unit tests/architecture -q
2. ruff check .
3. So với baseline trước khi sửa code</t>
        </is>
      </c>
      <c r="D60" s="22" t="inlineStr">
        <is>
          <t>-</t>
        </is>
      </c>
      <c r="E60" s="22" t="inlineStr">
        <is>
          <t>pytest và ruff đều pass</t>
        </is>
      </c>
      <c r="F60"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0" s="22" t="inlineStr">
        <is>
          <t>Low</t>
        </is>
      </c>
      <c r="H60" s="22" t="inlineStr">
        <is>
          <t>zannguyen</t>
        </is>
      </c>
      <c r="I60"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1" ht="239" customHeight="1">
      <c r="A61" s="22" t="inlineStr">
        <is>
          <t>BUG-REGDOSE-01</t>
        </is>
      </c>
      <c r="B61" s="22" t="inlineStr">
        <is>
          <t>Đối chiếu scheduled_at có giây khi xác nhận liều</t>
        </is>
      </c>
      <c r="C61"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1" s="22" t="inlineStr">
        <is>
          <t>client_uuid: UUID mới; schedule_id: fixture; scheduled_at=2026-10-02T01:00:59.999Z; taken_at=2026-10-02T01:05:59.999Z</t>
        </is>
      </c>
      <c r="E61" s="22" t="inlineStr">
        <is>
          <t>Theo test hiện có: HTTP 200, synced, da_uong và scheduled_at=2026-10-02T01:00:00Z.</t>
        </is>
      </c>
      <c r="F61" s="22" t="inlineStr">
        <is>
          <t>HTTP 200, synced, da_uong; scheduled_at=2026-10-02T01:00:59.999000Z. Fail trong suite DB và lặp lại khi chạy riêng (1 failed trong 1.67s).</t>
        </is>
      </c>
      <c r="G61" s="22" t="inlineStr">
        <is>
          <t>Medium</t>
        </is>
      </c>
      <c r="H61" s="22" t="inlineStr">
        <is>
          <t>phucnguyenngoc</t>
        </is>
      </c>
      <c r="I61"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2" ht="140" customHeight="1">
      <c r="A62" s="22" t="inlineStr">
        <is>
          <t>BUG-FAMADH-21</t>
        </is>
      </c>
      <c r="B62" s="22" t="inlineStr">
        <is>
          <t>Giữ khoảng ngày hợp lệ khi refresh qua nửa đêm</t>
        </is>
      </c>
      <c r="C62" s="22" t="inlineStr">
        <is>
          <t>1. Chạy evidence/review-date-rollover-repro.dart bằng flutter test --no-pub từ frontend/mobile.
2. Chuyển đồng hồ sang 29/10/2026 và gọi refresh; xem khoảng request mà repository ghi nhận.</t>
        </is>
      </c>
      <c r="D62" s="22" t="inlineStr">
        <is>
          <t>now 28/10 → 29/10/2026, selectedDate=31/07/2026</t>
        </is>
      </c>
      <c r="E62" s="22" t="inlineStr">
        <is>
          <t>Chuẩn hóa ngày đang chọn vào cửa sổ mới trước refresh; mọi request có from&lt;=to.</t>
        </is>
      </c>
      <c r="F62" s="22" t="inlineStr">
        <is>
          <t>Tái hiện request from=01/08/2026, to=31/07/2026. Script tái hiện pass vì khẳng định bug tồn tại; hành vi sản phẩm Fail.</t>
        </is>
      </c>
      <c r="G62" s="22" t="inlineStr">
        <is>
          <t>Medium</t>
        </is>
      </c>
      <c r="H62" s="22" t="inlineStr">
        <is>
          <t>Ngọc Việt</t>
        </is>
      </c>
      <c r="I62" s="22" t="inlineStr">
        <is>
          <t>selectedDate không được clamp khi earliestDate thay đổi theo đồng hồ; rangeFrom động nhưng rangeTo dựa tháng cũ.
Log: evidence/test-rollover-known-issue.log</t>
        </is>
      </c>
    </row>
  </sheetData>
  <mergeCells count="2">
    <mergeCell ref="A1:G1"/>
    <mergeCell ref="A3:A5"/>
  </mergeCells>
  <conditionalFormatting sqref="F11:F28">
    <cfRule type="cellIs" priority="1" operator="greaterThan" dxfId="0">
      <formula>0.2</formula>
    </cfRule>
  </conditionalFormatting>
  <conditionalFormatting sqref="G11:G28">
    <cfRule type="expression" priority="2" dxfId="0">
      <formula>OR(G11="Critical",G11="High")</formula>
    </cfRule>
  </conditionalFormatting>
  <conditionalFormatting sqref="G53:G62">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8" showDropDown="0" showInputMessage="0" showErrorMessage="0" allowBlank="1" type="list">
      <formula1>"Critical,High,Medium,Low"</formula1>
    </dataValidation>
    <dataValidation sqref="G53:G62"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2026-10-22T14:25:44Z</dcterms:modified>
  <cp:lastModifiedBy>Người dùng Khách</cp:lastModifiedBy>
</cp:coreProperties>
</file>