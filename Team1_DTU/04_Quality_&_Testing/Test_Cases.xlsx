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40" yWindow="105" windowWidth="14805" windowHeight="8010" tabRatio="600" firstSheet="0" activeTab="0" autoFilterDateGrouping="1"/>
  </bookViews>
  <sheets>
    <sheet xmlns:r="http://schemas.openxmlformats.org/officeDocument/2006/relationships" name="Android build" sheetId="1" state="visible" r:id="rId1"/>
    <sheet xmlns:r="http://schemas.openxmlformats.org/officeDocument/2006/relationships" name="Đăng nhập người dùng" sheetId="2" state="visible" r:id="rId2"/>
    <sheet xmlns:r="http://schemas.openxmlformats.org/officeDocument/2006/relationships" name="Lịch uống thuốc" sheetId="3" state="visible" r:id="rId3"/>
    <sheet xmlns:r="http://schemas.openxmlformats.org/officeDocument/2006/relationships" name="Tải lịch uống" sheetId="4" state="visible" r:id="rId4"/>
    <sheet xmlns:r="http://schemas.openxmlformats.org/officeDocument/2006/relationships" name="Tương tác thuốc-thuốc" sheetId="5" state="visible" r:id="rId5"/>
    <sheet xmlns:r="http://schemas.openxmlformats.org/officeDocument/2006/relationships" name="Tương tác thuốc-thực phẩm" sheetId="6" state="visible" r:id="rId6"/>
    <sheet xmlns:r="http://schemas.openxmlformats.org/officeDocument/2006/relationships" name="Tra cứu hoạt chất" sheetId="7" state="visible" r:id="rId7"/>
    <sheet xmlns:r="http://schemas.openxmlformats.org/officeDocument/2006/relationships" name="Mã liên kết người thân" sheetId="8" state="visible" r:id="rId8"/>
    <sheet xmlns:r="http://schemas.openxmlformats.org/officeDocument/2006/relationships" name="Chọn thuốc danh mục" sheetId="9" state="visible" r:id="rId9"/>
    <sheet xmlns:r="http://schemas.openxmlformats.org/officeDocument/2006/relationships" name="Hồi quy xác nhận liều" sheetId="10" state="visible" r:id="rId10"/>
    <sheet xmlns:r="http://schemas.openxmlformats.org/officeDocument/2006/relationships" name="Landing page" sheetId="11" state="visible" r:id="rId11"/>
    <sheet xmlns:r="http://schemas.openxmlformats.org/officeDocument/2006/relationships" name="Report" sheetId="12" state="visible" r:id="rId12"/>
  </sheets>
  <definedNames>
    <definedName name="_xlnm._FilterDatabase" localSheetId="0" hidden="1">'Android build'!$A$8:$I$17</definedName>
    <definedName name="_xlnm._FilterDatabase" localSheetId="1" hidden="1">'Đăng nhập người dùng'!$A$8:$I$56</definedName>
    <definedName name="_xlnm._FilterDatabase" localSheetId="2" hidden="1">'Lịch uống thuốc'!$A$8:$I$48</definedName>
    <definedName name="_xlnm._FilterDatabase" localSheetId="3" hidden="1">'Tải lịch uống'!$A$8:$I$29</definedName>
    <definedName name="_xlnm._FilterDatabase" localSheetId="4" hidden="1">'Tương tác thuốc-thuốc'!$A$8:$I$49</definedName>
    <definedName name="_xlnm._FilterDatabase" localSheetId="5" hidden="1">'Tương tác thuốc-thực phẩm'!$A$8:$I$14</definedName>
    <definedName name="_xlnm._FilterDatabase" localSheetId="6" hidden="1">'Tra cứu hoạt chất'!$A$8:$I$14</definedName>
    <definedName name="_xlnm._FilterDatabase" localSheetId="7" hidden="1">'Mã liên kết người thân'!$A$8:$I$41</definedName>
    <definedName name="_xlnm._FilterDatabase" localSheetId="8" hidden="1">'Chọn thuốc danh mục'!$A$8:$I$37</definedName>
    <definedName name="_xlnm._FilterDatabase" localSheetId="9" hidden="1">'Hồi quy xác nhận liều'!$A$8:$I$9</definedName>
    <definedName name="_xlnm._FilterDatabase" localSheetId="10" hidden="1">'Landing page'!$A$8:$I$40</definedName>
  </definedNames>
  <calcPr calcId="191028" fullCalcOnLoad="1"/>
</workbook>
</file>

<file path=xl/styles.xml><?xml version="1.0" encoding="utf-8"?>
<styleSheet xmlns="http://schemas.openxmlformats.org/spreadsheetml/2006/main">
  <numFmts count="2">
    <numFmt numFmtId="164" formatCode="dd/mm/yyyy"/>
    <numFmt numFmtId="165" formatCode="yyyy-mm-dd"/>
  </numFmts>
  <fonts count="7">
    <font>
      <name val="Calibri"/>
      <family val="2"/>
      <color theme="1"/>
      <sz val="11"/>
      <scheme val="minor"/>
    </font>
    <font>
      <name val="Times New Roman"/>
      <b val="1"/>
      <sz val="12"/>
    </font>
    <font>
      <name val="Times New Roman"/>
      <sz val="12"/>
    </font>
    <font>
      <name val="Times New Roman"/>
      <b val="1"/>
      <sz val="11"/>
    </font>
    <font>
      <name val="Times New Roman"/>
      <sz val="11"/>
    </font>
    <font>
      <name val="Times New Roman"/>
      <b val="1"/>
      <sz val="18"/>
    </font>
    <font>
      <name val="Times New Roman"/>
      <b val="1"/>
      <sz val="14"/>
    </font>
  </fonts>
  <fills count="5">
    <fill>
      <patternFill/>
    </fill>
    <fill>
      <patternFill patternType="gray125"/>
    </fill>
    <fill>
      <patternFill patternType="solid">
        <fgColor rgb="006AA84F"/>
      </patternFill>
    </fill>
    <fill>
      <patternFill patternType="solid">
        <fgColor rgb="00A8D08D"/>
      </patternFill>
    </fill>
    <fill>
      <patternFill patternType="solid">
        <fgColor rgb="00FFFF00"/>
      </patternFill>
    </fill>
  </fills>
  <borders count="6">
    <border>
      <left/>
      <right/>
      <top/>
      <bottom/>
      <diagonal/>
    </border>
    <border>
      <left style="medium"/>
      <right style="medium"/>
      <top style="medium"/>
      <bottom style="medium"/>
    </border>
    <border>
      <left style="thin"/>
      <right style="thin"/>
      <top style="thin"/>
      <bottom style="thin"/>
    </border>
    <border>
      <left style="thin"/>
      <right/>
      <top/>
      <bottom/>
      <diagonal/>
    </border>
    <border>
      <left style="thin"/>
      <right style="thin"/>
      <top/>
      <bottom/>
      <diagonal/>
    </border>
    <border>
      <left style="thin"/>
      <right style="thin"/>
      <top/>
      <bottom style="thin"/>
      <diagonal/>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2" borderId="1" applyAlignment="1" pivotButton="0" quotePrefix="0" xfId="0">
      <alignment horizontal="center" vertical="center" wrapText="1"/>
    </xf>
    <xf numFmtId="164" fontId="2" fillId="2" borderId="1" applyAlignment="1" pivotButton="0" quotePrefix="0" xfId="0">
      <alignment horizontal="center" vertical="center" wrapText="1"/>
    </xf>
    <xf numFmtId="0" fontId="1" fillId="0" borderId="0" applyAlignment="1" pivotButton="0" quotePrefix="0" xfId="0">
      <alignment horizontal="left" vertical="center" wrapText="1"/>
    </xf>
    <xf numFmtId="0" fontId="1" fillId="2" borderId="2" applyAlignment="1" pivotButton="0" quotePrefix="0" xfId="0">
      <alignment horizontal="center" vertical="center" wrapText="1"/>
    </xf>
    <xf numFmtId="0" fontId="1" fillId="2" borderId="2" applyAlignment="1" pivotButton="0" quotePrefix="0" xfId="0">
      <alignment horizontal="left" vertical="center" wrapText="1"/>
    </xf>
    <xf numFmtId="0" fontId="2" fillId="0" borderId="1" applyAlignment="1" pivotButton="0" quotePrefix="0" xfId="0">
      <alignment horizontal="center" vertical="center" wrapText="1"/>
    </xf>
    <xf numFmtId="0" fontId="2" fillId="0" borderId="1" applyAlignment="1" pivotButton="0" quotePrefix="0" xfId="0">
      <alignment horizontal="left" vertical="center" wrapText="1"/>
    </xf>
    <xf numFmtId="0" fontId="1" fillId="0" borderId="2" applyAlignment="1" pivotButton="0" quotePrefix="0" xfId="0">
      <alignment horizontal="left" vertical="center" wrapText="1"/>
    </xf>
    <xf numFmtId="0" fontId="2" fillId="0" borderId="2" applyAlignment="1" pivotButton="0" quotePrefix="0" xfId="0">
      <alignment horizontal="left" vertical="center" wrapText="1"/>
    </xf>
    <xf numFmtId="0" fontId="2" fillId="0" borderId="2" applyAlignment="1" pivotButton="0" quotePrefix="0" xfId="0">
      <alignment horizontal="center" vertical="center" wrapText="1"/>
    </xf>
    <xf numFmtId="0" fontId="3" fillId="3" borderId="2" applyAlignment="1" pivotButton="0" quotePrefix="0" xfId="0">
      <alignment horizontal="center" vertical="center" wrapText="1"/>
    </xf>
    <xf numFmtId="0" fontId="4" fillId="3" borderId="2" applyAlignment="1" pivotButton="0" quotePrefix="0" xfId="0">
      <alignment horizontal="center" vertical="center" wrapText="1"/>
    </xf>
    <xf numFmtId="0" fontId="5" fillId="3" borderId="0" applyAlignment="1" pivotButton="0" quotePrefix="0" xfId="0">
      <alignment horizontal="center" vertical="center" wrapText="1"/>
    </xf>
    <xf numFmtId="0" fontId="1" fillId="0" borderId="2" applyAlignment="1" pivotButton="0" quotePrefix="0" xfId="0">
      <alignment horizontal="center" vertical="center" wrapText="1"/>
    </xf>
    <xf numFmtId="0" fontId="0" fillId="0" borderId="4" pivotButton="0" quotePrefix="0" xfId="0"/>
    <xf numFmtId="0" fontId="0" fillId="0" borderId="5" pivotButton="0" quotePrefix="0" xfId="0"/>
    <xf numFmtId="9" fontId="2" fillId="0" borderId="2" applyAlignment="1" pivotButton="0" quotePrefix="0" xfId="0">
      <alignment horizontal="center" vertical="center" wrapText="1"/>
    </xf>
    <xf numFmtId="0" fontId="6" fillId="0" borderId="0" applyAlignment="1" pivotButton="0" quotePrefix="0" xfId="0">
      <alignment horizontal="left" vertical="center" wrapText="1"/>
    </xf>
    <xf numFmtId="0" fontId="3" fillId="4" borderId="2" applyAlignment="1" pivotButton="0" quotePrefix="0" xfId="0">
      <alignment horizontal="center" vertical="center" wrapText="1"/>
    </xf>
    <xf numFmtId="164" fontId="2" fillId="2" borderId="1" applyAlignment="1" pivotButton="0" quotePrefix="0" xfId="0">
      <alignment horizontal="center" vertical="center" wrapText="1"/>
    </xf>
    <xf numFmtId="0" fontId="4" fillId="0" borderId="2" applyAlignment="1" pivotButton="0" quotePrefix="0" xfId="0">
      <alignment horizontal="left" vertical="center" wrapText="1"/>
    </xf>
  </cellXfs>
  <cellStyles count="1">
    <cellStyle name="Bình thường" xfId="0" builtinId="0"/>
  </cellStyles>
  <dxfs count="4">
    <dxf>
      <font>
        <color rgb="009C0006"/>
      </font>
      <fill>
        <patternFill patternType="solid">
          <bgColor rgb="00FFC7CE"/>
        </patternFill>
      </fill>
    </dxf>
    <dxf>
      <font>
        <b val="1"/>
        <color rgb="00FFFFFF"/>
      </font>
      <fill>
        <patternFill patternType="solid">
          <bgColor rgb="00C00000"/>
        </patternFill>
      </fill>
    </dxf>
    <dxf>
      <font>
        <b val="1"/>
        <color rgb="00FFFFFF"/>
      </font>
      <fill>
        <patternFill patternType="solid">
          <bgColor rgb="00FF0000"/>
        </patternFill>
      </fill>
    </dxf>
    <dxf>
      <font>
        <b val="1"/>
        <color rgb="00000000"/>
      </font>
      <fill>
        <patternFill patternType="solid">
          <bgColor rgb="00FFE599"/>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Kết quả theo chức năng</a:t>
            </a:r>
          </a:p>
        </rich>
      </tx>
    </title>
    <plotArea>
      <barChart>
        <barDir val="col"/>
        <grouping val="clustered"/>
        <ser>
          <idx val="0"/>
          <order val="0"/>
          <tx>
            <strRef>
              <f>'Report'!D10</f>
            </strRef>
          </tx>
          <spPr>
            <a:ln xmlns:a="http://schemas.openxmlformats.org/drawingml/2006/main">
              <a:prstDash val="solid"/>
            </a:ln>
          </spPr>
          <cat>
            <numRef>
              <f>'Report'!$A$11:$A$21</f>
            </numRef>
          </cat>
          <val>
            <numRef>
              <f>'Report'!$D$11:$D$21</f>
            </numRef>
          </val>
        </ser>
        <ser>
          <idx val="1"/>
          <order val="1"/>
          <tx>
            <strRef>
              <f>'Report'!E10</f>
            </strRef>
          </tx>
          <spPr>
            <a:ln xmlns:a="http://schemas.openxmlformats.org/drawingml/2006/main">
              <a:prstDash val="solid"/>
            </a:ln>
          </spPr>
          <cat>
            <numRef>
              <f>'Report'!$A$11:$A$21</f>
            </numRef>
          </cat>
          <val>
            <numRef>
              <f>'Report'!$E$11:$E$21</f>
            </numRef>
          </val>
        </ser>
        <ser>
          <idx val="2"/>
          <order val="2"/>
          <tx>
            <strRef>
              <f>'Report'!F10</f>
            </strRef>
          </tx>
          <spPr>
            <a:ln xmlns:a="http://schemas.openxmlformats.org/drawingml/2006/main">
              <a:prstDash val="solid"/>
            </a:ln>
          </spPr>
          <cat>
            <numRef>
              <f>'Report'!$A$11:$A$21</f>
            </numRef>
          </cat>
          <val>
            <numRef>
              <f>'Report'!$F$11:$F$21</f>
            </numRef>
          </val>
        </ser>
        <gapWidth val="15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Tổng Pass / Fail</a:t>
            </a:r>
          </a:p>
        </rich>
      </tx>
    </title>
    <plotArea>
      <pieChart>
        <varyColors val="1"/>
        <ser>
          <idx val="0"/>
          <order val="0"/>
          <spPr>
            <a:ln xmlns:a="http://schemas.openxmlformats.org/drawingml/2006/main">
              <a:prstDash val="solid"/>
            </a:ln>
          </spPr>
          <cat>
            <numRef>
              <f>'Report'!$B$3:$B$4</f>
            </numRef>
          </cat>
          <val>
            <numRef>
              <f>'Report'!$E$3:$E$4</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23</row>
      <rowOff>0</rowOff>
    </from>
    <ext cx="864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23</row>
      <rowOff>0</rowOff>
    </from>
    <ext cx="43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T2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s>
  <sheetData>
    <row r="1">
      <c r="A1" s="1" t="inlineStr">
        <is>
          <t>Project Name</t>
        </is>
      </c>
      <c r="B1" s="2" t="inlineStr">
        <is>
          <t>DrugTime</t>
        </is>
      </c>
    </row>
    <row r="2">
      <c r="A2" s="1" t="inlineStr">
        <is>
          <t>Module Name</t>
        </is>
      </c>
      <c r="B2" s="2" t="inlineStr">
        <is>
          <t>Build ứng dụng Android (BUILD)</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flutter build apk --debug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74" customHeight="1">
      <c r="A9" s="7" t="inlineStr">
        <is>
          <t>TC-BUILD-01</t>
        </is>
      </c>
      <c r="B9" s="7" t="inlineStr">
        <is>
          <t>Build APK debug trên mã nguồn chưa sửa (main 1dc7d37) để xác nhận lỗi</t>
        </is>
      </c>
      <c r="C9" s="8" t="inlineStr">
        <is>
          <t>frontend ở commit 1dc7d37 (main), chưa bật desugaring, flutter_timezone 2.1.0; Android SDK và JDK 17 đã cài</t>
        </is>
      </c>
      <c r="D9" s="8" t="inlineStr">
        <is>
          <t>1. cd frontend/mobile
2. flutter build apk --debug --dart-define=DRUGTIME_API_BASE_URL=http://10.0.2.2:8000</t>
        </is>
      </c>
      <c r="E9" s="8" t="inlineStr">
        <is>
          <t>Desugaring: không bật; flutter_timezone: ^2.0.1</t>
        </is>
      </c>
      <c r="F9" s="8" t="inlineStr">
        <is>
          <t>Build fail ở task :app:checkDebugAarMetadata với thông báo "Dependency ':flutter_local_notifications' requires core library desugaring to be enabled for :app."</t>
        </is>
      </c>
      <c r="G9" s="8" t="inlineStr">
        <is>
          <t>Fail ở :app:checkDebugAarMetadata, đúng thông báo trên, exit 1</t>
        </is>
      </c>
      <c r="H9" s="7" t="inlineStr">
        <is>
          <t>Pass</t>
        </is>
      </c>
      <c r="I9" s="8" t="inlineStr">
        <is>
          <t>AC1 (trước khi sửa) · Decision Table (R1) · EP (3,4) · evidence/implement-P1-before.log</t>
        </is>
      </c>
      <c r="K9" s="9" t="inlineStr">
        <is>
          <t>Cấu hình core library desugaring trong android/app/build.gradle.kts</t>
        </is>
      </c>
      <c r="L9" s="10" t="inlineStr">
        <is>
          <t>Bật (isCoreLibraryDesugaringEnabled = true + desugar_jdk_libs)</t>
        </is>
      </c>
      <c r="M9" s="10" t="inlineStr">
        <is>
          <t>1</t>
        </is>
      </c>
      <c r="N9" s="10" t="inlineStr">
        <is>
          <t>Không bật</t>
        </is>
      </c>
      <c r="O9" s="10" t="inlineStr">
        <is>
          <t>3</t>
        </is>
      </c>
      <c r="Q9" s="10" t="inlineStr">
        <is>
          <t>Bật desugaring?</t>
        </is>
      </c>
      <c r="R9" s="11" t="inlineStr">
        <is>
          <t>No</t>
        </is>
      </c>
      <c r="S9" s="11" t="inlineStr">
        <is>
          <t>Yes</t>
        </is>
      </c>
      <c r="T9" s="11" t="inlineStr">
        <is>
          <t>Yes</t>
        </is>
      </c>
    </row>
    <row r="10" ht="90.5" customHeight="1">
      <c r="A10" s="7" t="inlineStr">
        <is>
          <t>TC-BUILD-02</t>
        </is>
      </c>
      <c r="B10" s="7" t="inlineStr">
        <is>
          <t>Build APK debug khi chỉ bật desugaring, chưa nâng flutter_timezone</t>
        </is>
      </c>
      <c r="C10" s="8" t="inlineStr">
        <is>
          <t>Như TC-BUILD-01, đã thêm isCoreLibraryDesugaringEnabled = true và coreLibraryDesugaring("com.android.tools:desugar_jdk_libs:2.1.4")</t>
        </is>
      </c>
      <c r="D10" s="8" t="inlineStr">
        <is>
          <t>1. cd frontend/mobile
2. flutter build apk --debug --dart-define=DRUGTIME_API_BASE_URL=http://10.0.2.2:8000</t>
        </is>
      </c>
      <c r="E10" s="8" t="inlineStr">
        <is>
          <t>Desugaring: bật; flutter_timezone: 2.1.0</t>
        </is>
      </c>
      <c r="F10" s="8" t="inlineStr">
        <is>
          <t>Build fail ở :flutter_timezone:compileDebugKotlin với "Unresolved reference 'Registrar'"</t>
        </is>
      </c>
      <c r="G10" s="8" t="inlineStr">
        <is>
          <t>Fail ở :flutter_timezone:compileDebugKotlin, FlutterTimezonePlugin.kt:12:48 Unresolved reference 'Registrar', exit 1</t>
        </is>
      </c>
      <c r="H10" s="7" t="inlineStr">
        <is>
          <t>Pass</t>
        </is>
      </c>
      <c r="I10" s="8" t="inlineStr">
        <is>
          <t>AC1 · Decision Table (R2) · EP (1,4) · evidence/implement-P2.log</t>
        </is>
      </c>
      <c r="K10" s="9" t="inlineStr">
        <is>
          <t>Phiên bản flutter_timezone</t>
        </is>
      </c>
      <c r="L10" s="10" t="inlineStr">
        <is>
          <t>≥ 3.0 (dùng 5.1.1, embedding v2)</t>
        </is>
      </c>
      <c r="M10" s="10" t="inlineStr">
        <is>
          <t>2</t>
        </is>
      </c>
      <c r="N10" s="10" t="inlineStr">
        <is>
          <t>2.x (dùng PluginRegistry.Registrar đã bị gỡ)</t>
        </is>
      </c>
      <c r="O10" s="10" t="inlineStr">
        <is>
          <t>4</t>
        </is>
      </c>
      <c r="Q10" s="10" t="inlineStr">
        <is>
          <t>flutter_timezone ≥ 3.0?</t>
        </is>
      </c>
      <c r="R10" s="11" t="inlineStr">
        <is>
          <t>No</t>
        </is>
      </c>
      <c r="S10" s="11" t="inlineStr">
        <is>
          <t>No</t>
        </is>
      </c>
      <c r="T10" s="11" t="inlineStr">
        <is>
          <t>Yes</t>
        </is>
      </c>
    </row>
    <row r="11" ht="74" customHeight="1">
      <c r="A11" s="7" t="inlineStr">
        <is>
          <t>TC-BUILD-03</t>
        </is>
      </c>
      <c r="B11" s="7" t="inlineStr">
        <is>
          <t>Build APK debug sau khi sửa (bật desugaring và nâng flutter_timezone)</t>
        </is>
      </c>
      <c r="C11" s="8" t="inlineStr">
        <is>
          <t>frontend nhánh fix/adhoc-20261007-android-desugaring: desugaring bật, flutter_timezone ^5.1.1</t>
        </is>
      </c>
      <c r="D11" s="8" t="inlineStr">
        <is>
          <t>1. cd frontend/mobile
2. flutter build apk --debug --dart-define=DRUGTIME_API_BASE_URL=http://10.0.2.2:8000</t>
        </is>
      </c>
      <c r="E11" s="8" t="inlineStr">
        <is>
          <t>Desugaring: bật; flutter_timezone: 5.1.1</t>
        </is>
      </c>
      <c r="F11" s="8" t="inlineStr">
        <is>
          <t>Build thành công, tạo build/app/outputs/flutter-apk/app-debug.apk, exit 0</t>
        </is>
      </c>
      <c r="G11" s="8" t="inlineStr">
        <is>
          <t>√ Built build\app\outputs\flutter-apk\app-debug.apk, exit 0</t>
        </is>
      </c>
      <c r="H11" s="7" t="inlineStr">
        <is>
          <t>Pass</t>
        </is>
      </c>
      <c r="I11" s="8" t="inlineStr">
        <is>
          <t>AC1 (hồi quy) · Decision Table (R3) · EP (1,2) · evidence/implement-P3.log</t>
        </is>
      </c>
      <c r="Q11" s="6" t="inlineStr">
        <is>
          <t>Action</t>
        </is>
      </c>
      <c r="R11" s="5" t="inlineStr">
        <is>
          <t>R1</t>
        </is>
      </c>
      <c r="S11" s="5" t="inlineStr">
        <is>
          <t>R2</t>
        </is>
      </c>
      <c r="T11" s="5" t="inlineStr">
        <is>
          <t>R3</t>
        </is>
      </c>
    </row>
    <row r="12" ht="57.5" customHeight="1">
      <c r="A12" s="7" t="inlineStr">
        <is>
          <t>TC-BUILD-04</t>
        </is>
      </c>
      <c r="B12" s="7" t="inlineStr">
        <is>
          <t>Phân tích tĩnh mã Dart sau khi sửa</t>
        </is>
      </c>
      <c r="C12" s="8" t="inlineStr">
        <is>
          <t>Như TC-BUILD-03</t>
        </is>
      </c>
      <c r="D12" s="8" t="inlineStr">
        <is>
          <t>1. cd frontend/mobile
2. flutter analyze --no-fatal-infos</t>
        </is>
      </c>
      <c r="E12" s="8" t="inlineStr">
        <is>
          <t>(không có)</t>
        </is>
      </c>
      <c r="F12" s="8" t="inlineStr">
        <is>
          <t>No issues found!</t>
        </is>
      </c>
      <c r="G12" s="8" t="inlineStr">
        <is>
          <t>No issues found! (ran in 8.1s)</t>
        </is>
      </c>
      <c r="H12" s="7" t="inlineStr">
        <is>
          <t>Pass</t>
        </is>
      </c>
      <c r="I12" s="8" t="inlineStr">
        <is>
          <t>AC2 · evidence/implement-final-frontend.log</t>
        </is>
      </c>
      <c r="Q12" s="10" t="inlineStr">
        <is>
          <t>Fail :app:checkDebugAarMetadata (requires core library desugaring)</t>
        </is>
      </c>
      <c r="R12" s="11" t="inlineStr">
        <is>
          <t>X</t>
        </is>
      </c>
      <c r="S12" s="11" t="inlineStr"/>
      <c r="T12" s="11" t="inlineStr"/>
    </row>
    <row r="13" ht="57.5" customHeight="1">
      <c r="A13" s="7" t="inlineStr">
        <is>
          <t>TC-BUILD-05</t>
        </is>
      </c>
      <c r="B13" s="7" t="inlineStr">
        <is>
          <t>Chạy toàn bộ unit/widget test của Mobile App sau khi sửa</t>
        </is>
      </c>
      <c r="C13" s="8" t="inlineStr">
        <is>
          <t>Như TC-BUILD-03</t>
        </is>
      </c>
      <c r="D13" s="8" t="inlineStr">
        <is>
          <t>1. cd frontend/mobile
2. flutter test</t>
        </is>
      </c>
      <c r="E13" s="8" t="inlineStr">
        <is>
          <t>(không có)</t>
        </is>
      </c>
      <c r="F13" s="8" t="inlineStr">
        <is>
          <t>All tests passed!, không có test fail hay skip</t>
        </is>
      </c>
      <c r="G13" s="8" t="inlineStr">
        <is>
          <t>+331: All tests passed!</t>
        </is>
      </c>
      <c r="H13" s="7" t="inlineStr">
        <is>
          <t>Pass</t>
        </is>
      </c>
      <c r="I13" s="8" t="inlineStr">
        <is>
          <t>AC2 · evidence/implement-final-frontend.log</t>
        </is>
      </c>
      <c r="Q13" s="10" t="inlineStr">
        <is>
          <t>Fail :flutter_timezone:compileDebugKotlin (Unresolved reference 'Registrar')</t>
        </is>
      </c>
      <c r="R13" s="11" t="inlineStr"/>
      <c r="S13" s="11" t="inlineStr">
        <is>
          <t>X</t>
        </is>
      </c>
      <c r="T13" s="11" t="inlineStr"/>
    </row>
    <row r="14" ht="90.5" customHeight="1">
      <c r="A14" s="7" t="inlineStr">
        <is>
          <t>TC-BUILD-06</t>
        </is>
      </c>
      <c r="B14" s="7" t="inlineStr">
        <is>
          <t>Kiểm phụ thuộc trong pubspec sau khi sửa và không đổi mã Dart</t>
        </is>
      </c>
      <c r="C14" s="8" t="inlineStr">
        <is>
          <t>Như TC-BUILD-03</t>
        </is>
      </c>
      <c r="D14" s="8" t="inlineStr">
        <is>
          <t>1. Mở frontend/mobile/pubspec.yaml, tìm flutter_local_notifications, timezone, flutter_timezone
2. Mở pubspec.lock, xem khối flutter_timezone
3. git -C frontend diff --stat -- mobile/lib</t>
        </is>
      </c>
      <c r="E14" s="8" t="inlineStr">
        <is>
          <t>(không có)</t>
        </is>
      </c>
      <c r="F14" s="8" t="inlineStr">
        <is>
          <t>pubspec.yaml còn flutter_local_notifications ^17.2.2 và timezone ^0.9.4, flutter_timezone ^5.1.1; pubspec.lock khóa flutter_timezone 5.1.1; không có thay đổi trong mobile/lib</t>
        </is>
      </c>
      <c r="G14" s="8" t="inlineStr">
        <is>
          <t>pubspec.yaml dòng 19–21 đúng như mong đợi; pubspec.lock version "5.1.1"; diff mobile/lib rỗng</t>
        </is>
      </c>
      <c r="H14" s="7" t="inlineStr">
        <is>
          <t>Pass</t>
        </is>
      </c>
      <c r="I14" s="8" t="inlineStr">
        <is>
          <t>AC3 · manual · evidence/testcase-TC-BUILD-06.log</t>
        </is>
      </c>
      <c r="Q14" s="10" t="inlineStr">
        <is>
          <t>Build thành công app-debug.apk</t>
        </is>
      </c>
      <c r="R14" s="11" t="inlineStr"/>
      <c r="S14" s="11" t="inlineStr"/>
      <c r="T14" s="11" t="inlineStr">
        <is>
          <t>X</t>
        </is>
      </c>
    </row>
    <row r="15" ht="123.5" customHeight="1">
      <c r="A15" s="7" t="inlineStr">
        <is>
          <t>TC-BUILD-07</t>
        </is>
      </c>
      <c r="B15" s="7" t="inlineStr">
        <is>
          <t>Cài APK đã sửa lên Android emulator và mở app</t>
        </is>
      </c>
      <c r="C15" s="8" t="inlineStr">
        <is>
          <t>Android emulator (emulator-5554) đã khởi động xong; APK từ TC-BUILD-03</t>
        </is>
      </c>
      <c r="D15" s="8" t="inlineStr">
        <is>
          <t>1. adb -s emulator-5554 install -r build/app/outputs/flutter-apk/app-debug.apk
2. adb -s emulator-5554 shell monkey -p vn.drugtime.drugtime_mobile -c android.intent.category.LAUNCHER 1
3. Chờ 15 giây, kiểm tiến trình app và logcat
4. Chụp màn hình</t>
        </is>
      </c>
      <c r="E15" s="8" t="inlineStr">
        <is>
          <t>Gói vn.drugtime.drugtime_mobile</t>
        </is>
      </c>
      <c r="F15" s="8" t="inlineStr">
        <is>
          <t>Cài Success; app chạy (có pid), logcat không có FATAL EXCEPTION; màn hình hiện "Đăng nhập" với tab "Số điện thoại" và nút "Gửi mã OTP"</t>
        </is>
      </c>
      <c r="G15" s="8" t="inlineStr">
        <is>
          <t>Performing Streamed Install – Success; pid 6852; không có FATAL EXCEPTION; màn hình Đăng nhập hiện đúng</t>
        </is>
      </c>
      <c r="H15" s="7" t="inlineStr">
        <is>
          <t>Pass</t>
        </is>
      </c>
      <c r="I15" s="8" t="inlineStr">
        <is>
          <t>AC4 · manual · evidence/implement-P5.log, evidence/implement-P5-login.png</t>
        </is>
      </c>
    </row>
    <row r="16" ht="90.5" customHeight="1">
      <c r="A16" s="7" t="inlineStr">
        <is>
          <t>TC-BUILD-08</t>
        </is>
      </c>
      <c r="B16" s="7" t="inlineStr">
        <is>
          <t>Chạy workflow Mobile CI có bước build APK trên pull request</t>
        </is>
      </c>
      <c r="C16" s="8" t="inlineStr">
        <is>
          <t>Nhánh fix/adhoc-20261007-android-desugaring của frontend đã push và mở PR vào main</t>
        </is>
      </c>
      <c r="D16" s="8" t="inlineStr">
        <is>
          <t>1. Mở tab Actions của PR
2. Xem job build-and-test của workflow Mobile CI</t>
        </is>
      </c>
      <c r="E16" s="8" t="inlineStr">
        <is>
          <t>Workflow .github/workflows/mobile-ci.yml (bước setup-java 17 và "Build Android APK (debug)")</t>
        </is>
      </c>
      <c r="F16" s="8" t="inlineStr">
        <is>
          <t>Mọi bước xanh, gồm "Build Android APK (debug)"</t>
        </is>
      </c>
      <c r="G16" s="8" t="inlineStr">
        <is>
          <t>PR frontend #27, run 37658903070 trên e897a56: conclusion=success; mọi bước success, gồm "Build Android APK (debug)" (✓ Built build/app/outputs/flutter-apk/app-debug.apk), thời gian job 5m44s</t>
        </is>
      </c>
      <c r="H16" s="7" t="inlineStr">
        <is>
          <t>Pass</t>
        </is>
      </c>
      <c r="I16" s="8" t="inlineStr">
        <is>
          <t>AC5 · manual (GitHub Actions) · evidence/ci-pr27.log</t>
        </is>
      </c>
    </row>
    <row r="17" ht="173" customHeight="1">
      <c r="A17" s="7" t="inlineStr">
        <is>
          <t>TC-BUILD-09</t>
        </is>
      </c>
      <c r="B17" s="7" t="inlineStr">
        <is>
          <t>Cài phụ thuộc theo đúng lockfile bằng Flutter stable của team</t>
        </is>
      </c>
      <c r="C17" s="8" t="inlineStr">
        <is>
          <t>Máy có Flutter stable bản mới nhất (Dart ≥ 3.13); frontend nhánh fix</t>
        </is>
      </c>
      <c r="D17" s="8" t="inlineStr">
        <is>
          <t>1. cd frontend/mobile
2. flutter pub get --enforce-lockfile</t>
        </is>
      </c>
      <c r="E17" s="8" t="inlineStr">
        <is>
          <t>pubspec.lock đã sửa tối thiểu (flutter_timezone 5.1.1, thêm equatable 3.0.0)</t>
        </is>
      </c>
      <c r="F17" s="8" t="inlineStr">
        <is>
          <t>Thành công, không báo lockfile cần cập nhật</t>
        </is>
      </c>
      <c r="G17" s="8" t="inlineStr"/>
      <c r="H17" s="7" t="inlineStr">
        <is>
          <t>Pending</t>
        </is>
      </c>
      <c r="I17" s="8" t="inlineStr">
        <is>
          <t>Error Guessing · manual · máy implement dùng Flutter master cũ hơn (Dart 3.12) nên không kiểm được. Bằng chứng gián tiếp: CI PR #27 (Flutter stable 3.x) chạy flutter pub get báo "Got dependencies!", không đổi phụ thuộc nào (evidence/ci-pr27.log); chưa chạy đúng --enforce-lockfile</t>
        </is>
      </c>
    </row>
    <row r="18"/>
    <row r="19"/>
    <row r="20">
      <c r="G20" s="12" t="inlineStr">
        <is>
          <t>Pass</t>
        </is>
      </c>
      <c r="H20" s="13">
        <f>COUNTIF(H9:H17,"Pass")</f>
        <v/>
      </c>
    </row>
    <row r="21">
      <c r="G21" s="12" t="inlineStr">
        <is>
          <t>Fail</t>
        </is>
      </c>
      <c r="H21" s="13">
        <f>COUNTIF(H9:H17,"Fail")</f>
        <v/>
      </c>
    </row>
    <row r="22">
      <c r="G22" s="12" t="inlineStr">
        <is>
          <t>Pending</t>
        </is>
      </c>
      <c r="H22" s="13">
        <f>COUNTIF(H9:H17,"Pending")</f>
        <v/>
      </c>
    </row>
    <row r="23">
      <c r="G23" s="12" t="inlineStr">
        <is>
          <t>Total</t>
        </is>
      </c>
      <c r="H23" s="13">
        <f>SUM(H20:H22)</f>
        <v/>
      </c>
    </row>
  </sheetData>
  <autoFilter ref="A8:I17"/>
  <conditionalFormatting sqref="H9:H17">
    <cfRule type="cellIs" priority="1" operator="equal" dxfId="0">
      <formula>"Fail"</formula>
    </cfRule>
  </conditionalFormatting>
  <dataValidations count="1">
    <dataValidation sqref="H9:H17" showDropDown="0" showInputMessage="0" showErrorMessage="0" allowBlank="0" type="list">
      <formula1>"Pass,Fail,Pending"</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2"/>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Đăng nhập người dùng (LOGIN)</t>
        </is>
      </c>
    </row>
    <row r="3">
      <c r="A3" s="1" t="inlineStr">
        <is>
          <t>Created By</t>
        </is>
      </c>
      <c r="B3" s="2" t="inlineStr">
        <is>
          <t>zannguyen</t>
        </is>
      </c>
    </row>
    <row r="4">
      <c r="A4" s="1" t="inlineStr">
        <is>
          <t>Creation Date</t>
        </is>
      </c>
      <c r="B4" s="21" t="n">
        <v>46303</v>
      </c>
    </row>
    <row r="5">
      <c r="A5" s="1" t="inlineStr">
        <is>
          <t>Reviewed By</t>
        </is>
      </c>
      <c r="B5" s="2" t="inlineStr"/>
    </row>
    <row r="6">
      <c r="A6" s="1" t="inlineStr">
        <is>
          <t>Reviewed Date</t>
        </is>
      </c>
      <c r="B6" s="2" t="n"/>
    </row>
    <row r="7">
      <c r="K7" s="4" t="inlineStr">
        <is>
          <t>Equivalence Partitioning</t>
        </is>
      </c>
      <c r="Q7" s="4" t="inlineStr">
        <is>
          <t>Kết quả POST /auth/mobile/verify</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156.5" customHeight="1">
      <c r="A9" s="7" t="inlineStr">
        <is>
          <t>TC-LOGIN-01</t>
        </is>
      </c>
      <c r="B9" s="7" t="inlineStr">
        <is>
          <t>Đăng nhập lại bằng email OTP với tài khoản đã có hồ sơ</t>
        </is>
      </c>
      <c r="C9" s="8" t="inlineStr">
        <is>
          <t>Tài khoản email đã đăng nhập OTP một lần và hoàn thiện hồ sơ</t>
        </is>
      </c>
      <c r="D9" s="8" t="inlineStr">
        <is>
          <t>1. Lấy mã OTP mới cho email
2. POST /auth/mobile/verify {email, token}</t>
        </is>
      </c>
      <c r="E9" s="8" t="inlineStr">
        <is>
          <t>email: it-login-&lt;ngẫu nhiên&gt;@example.com; token: mã 6 số từ Supabase</t>
        </is>
      </c>
      <c r="F9" s="8" t="inlineStr">
        <is>
          <t>200; user_id trùng lần đầu; profile_complete=true; session.session_type="mobile"; expires_in = 864000 ± 60; không có field supabase, không có refresh_token; bảng users có đúng 1 dòng cho email</t>
        </is>
      </c>
      <c r="G9" s="8" t="inlineStr">
        <is>
          <t>Đúng như mong đợi</t>
        </is>
      </c>
      <c r="H9" s="7" t="inlineStr">
        <is>
          <t>Pass</t>
        </is>
      </c>
      <c r="I9" s="8" t="inlineStr">
        <is>
          <t>AC1 · Decision Table (R6) · EP (4,6) · test_returning_email_user_same_id_profile_complete__AC1</t>
        </is>
      </c>
      <c r="K9" s="9" t="inlineStr">
        <is>
          <t>phone</t>
        </is>
      </c>
      <c r="L9" s="10" t="inlineStr">
        <is>
          <t>Số nội địa 0xxxxxxxxx
Số quốc tế +84xxxxxxxxx
Có khoảng trắng, gạch, khoảng trắng hai đầu</t>
        </is>
      </c>
      <c r="M9" s="10" t="inlineStr">
        <is>
          <t>1
2
3</t>
        </is>
      </c>
      <c r="N9" s="10" t="inlineStr">
        <is>
          <t>84… thiếu dấu +
Có ngoặc hoặc chữ
Chữ số Unicode (full-width, Ả Rập)
Khoảng trắng không ngắt ở giữa
Độ dài &lt; 9 hoặc &gt; 16 ký tự (kể cả +)
Sai kiểu JSON (số, mảng, object, bool)</t>
        </is>
      </c>
      <c r="O9" s="10" t="inlineStr">
        <is>
          <t>13
14
15
16
17
18</t>
        </is>
      </c>
      <c r="Q9" s="10" t="inlineStr">
        <is>
          <t>Định danh hợp lệ?</t>
        </is>
      </c>
      <c r="R9" s="11" t="inlineStr">
        <is>
          <t>No</t>
        </is>
      </c>
      <c r="S9" s="11" t="inlineStr">
        <is>
          <t>Yes</t>
        </is>
      </c>
      <c r="T9" s="11" t="inlineStr">
        <is>
          <t>Yes</t>
        </is>
      </c>
      <c r="U9" s="11" t="inlineStr">
        <is>
          <t>Yes</t>
        </is>
      </c>
      <c r="V9" s="11" t="inlineStr">
        <is>
          <t>Yes</t>
        </is>
      </c>
      <c r="W9" s="11" t="inlineStr">
        <is>
          <t>Yes</t>
        </is>
      </c>
    </row>
    <row r="10" ht="90.5" customHeight="1">
      <c r="A10" s="7" t="inlineStr">
        <is>
          <t>TC-LOGIN-02</t>
        </is>
      </c>
      <c r="B10" s="7" t="inlineStr">
        <is>
          <t>Đăng nhập bằng số điện thoại dạng nội địa</t>
        </is>
      </c>
      <c r="C10" s="8" t="inlineStr">
        <is>
          <t>Số thử test_otp 84900000001 = 123456 trên Supabase local</t>
        </is>
      </c>
      <c r="D10" s="8" t="inlineStr">
        <is>
          <t>1. POST /auth/mobile/verify {phone: "0900000001", token: "123456"}
2. Đọc users.phone_number của user_id trả về</t>
        </is>
      </c>
      <c r="E10" s="8" t="inlineStr">
        <is>
          <t>phone: 0900000001; token: 123456</t>
        </is>
      </c>
      <c r="F10" s="8" t="inlineStr">
        <is>
          <t>200; users.phone_number = "+84900000001"</t>
        </is>
      </c>
      <c r="G10" s="8" t="inlineStr">
        <is>
          <t>200; phone_number = +84900000001</t>
        </is>
      </c>
      <c r="H10" s="7" t="inlineStr">
        <is>
          <t>Pass</t>
        </is>
      </c>
      <c r="I10" s="8" t="inlineStr">
        <is>
          <t>AC2 · EP (1,6) · test_local_phone_format_logs_in_and_wrong_otp_401__AC2</t>
        </is>
      </c>
      <c r="K10" s="9" t="inlineStr">
        <is>
          <t>email</t>
        </is>
      </c>
      <c r="L10" s="10" t="inlineStr">
        <is>
          <t>Email chữ thường
Có chữ hoa hoặc khoảng trắng hai đầu</t>
        </is>
      </c>
      <c r="M10" s="10" t="inlineStr">
        <is>
          <t>4
5</t>
        </is>
      </c>
      <c r="N10" s="10" t="inlineStr">
        <is>
          <t>Sai định dạng (thiếu @, thiếu tên miền, nhiều @, có khoảng trắng)
Rỗng hoặc chỉ khoảng trắng (không có phone)</t>
        </is>
      </c>
      <c r="O10" s="10" t="inlineStr">
        <is>
          <t>19
20</t>
        </is>
      </c>
      <c r="Q10" s="10" t="inlineStr">
        <is>
          <t>Mã OTP đúng?</t>
        </is>
      </c>
      <c r="R10" s="11" t="inlineStr">
        <is>
          <t>-</t>
        </is>
      </c>
      <c r="S10" s="11" t="inlineStr">
        <is>
          <t>No</t>
        </is>
      </c>
      <c r="T10" s="11" t="inlineStr">
        <is>
          <t>Yes</t>
        </is>
      </c>
      <c r="U10" s="11" t="inlineStr">
        <is>
          <t>Yes</t>
        </is>
      </c>
      <c r="V10" s="11" t="inlineStr">
        <is>
          <t>Yes</t>
        </is>
      </c>
      <c r="W10" s="11" t="inlineStr">
        <is>
          <t>Yes</t>
        </is>
      </c>
    </row>
    <row r="11" ht="90.5" customHeight="1">
      <c r="A11" s="7" t="inlineStr">
        <is>
          <t>TC-LOGIN-03</t>
        </is>
      </c>
      <c r="B11" s="7" t="inlineStr">
        <is>
          <t>Xác thực số điện thoại với mã OTP sai</t>
        </is>
      </c>
      <c r="C11" s="8" t="inlineStr">
        <is>
          <t>Như TC-LOGIN-02</t>
        </is>
      </c>
      <c r="D11" s="8" t="inlineStr">
        <is>
          <t>1. POST /auth/mobile/verify {phone: "0900000001", token: "000000"}</t>
        </is>
      </c>
      <c r="E11" s="8" t="inlineStr">
        <is>
          <t>token: 000000</t>
        </is>
      </c>
      <c r="F11" s="8" t="inlineStr">
        <is>
          <t>401 {"detail":"Invalid credentials"}; không chứa msg, error_code, otp_expired của Supabase</t>
        </is>
      </c>
      <c r="G11" s="8" t="inlineStr">
        <is>
          <t>401 {"detail":"Invalid credentials"}</t>
        </is>
      </c>
      <c r="H11" s="7" t="inlineStr">
        <is>
          <t>Pass</t>
        </is>
      </c>
      <c r="I11" s="8" t="inlineStr">
        <is>
          <t>AC2 · Decision Table (R2) · EP (21) · test_local_phone_format_logs_in_and_wrong_otp_401__AC2</t>
        </is>
      </c>
      <c r="K11" s="9" t="inlineStr">
        <is>
          <t>token (OTP)</t>
        </is>
      </c>
      <c r="L11" s="10" t="inlineStr">
        <is>
          <t>Đúng mã 6 chữ số</t>
        </is>
      </c>
      <c r="M11" s="10" t="inlineStr">
        <is>
          <t>6</t>
        </is>
      </c>
      <c r="N11" s="10" t="inlineStr">
        <is>
          <t>Sai mã 6 chữ số
Rỗng
Chỉ khoảng trắng
Sai độ dài, có chữ, rất dài
Chuỗi injection/ký tự đặc biệt</t>
        </is>
      </c>
      <c r="O11" s="10" t="inlineStr">
        <is>
          <t>21
22
23
24
25</t>
        </is>
      </c>
      <c r="Q11" s="10" t="inlineStr">
        <is>
          <t>Tài khoản</t>
        </is>
      </c>
      <c r="R11" s="11" t="inlineStr">
        <is>
          <t>-</t>
        </is>
      </c>
      <c r="S11" s="11" t="inlineStr">
        <is>
          <t>-</t>
        </is>
      </c>
      <c r="T11" s="11" t="inlineStr">
        <is>
          <t>Đã xóa</t>
        </is>
      </c>
      <c r="U11" s="11" t="inlineStr">
        <is>
          <t>Admin</t>
        </is>
      </c>
      <c r="V11" s="11" t="inlineStr">
        <is>
          <t>Thường, chưa có hồ sơ</t>
        </is>
      </c>
      <c r="W11" s="11" t="inlineStr">
        <is>
          <t>Thường, đủ hồ sơ</t>
        </is>
      </c>
    </row>
    <row r="12" ht="90.5" customHeight="1">
      <c r="A12" s="7" t="inlineStr">
        <is>
          <t>TC-LOGIN-04</t>
        </is>
      </c>
      <c r="B12" s="7" t="inlineStr">
        <is>
          <t>Đăng nhập Mobile App bằng tài khoản admin</t>
        </is>
      </c>
      <c r="C12" s="8" t="inlineStr">
        <is>
          <t>Tài khoản có users.system_role = 'admin'</t>
        </is>
      </c>
      <c r="D12" s="8" t="inlineStr">
        <is>
          <t>1. Lấy mã OTP email của admin
2. POST /auth/mobile/verify {email, token}</t>
        </is>
      </c>
      <c r="E12" s="8" t="inlineStr">
        <is>
          <t>email: it-login-admin-&lt;ngẫu nhiên&gt;@example.com</t>
        </is>
      </c>
      <c r="F12" s="8" t="inlineStr">
        <is>
          <t>403 {"detail":"admin_must_use_web"}; không cấp session</t>
        </is>
      </c>
      <c r="G12" s="8" t="inlineStr">
        <is>
          <t>403 {"detail":"admin_must_use_web"}, không có session</t>
        </is>
      </c>
      <c r="H12" s="7" t="inlineStr">
        <is>
          <t>Pass</t>
        </is>
      </c>
      <c r="I12" s="8" t="inlineStr">
        <is>
          <t>AC3 · Decision Table (R4) · test_admin_account_on_mobile_forbidden__AC3</t>
        </is>
      </c>
      <c r="K12" s="9" t="inlineStr">
        <is>
          <t>ho_ten</t>
        </is>
      </c>
      <c r="L12" s="10" t="inlineStr">
        <is>
          <t>Tiếng Việt có dấu
Emoji
Chuỗi SQL/HTML/template (lưu như dữ liệu)
Dài đúng 255 ký tự</t>
        </is>
      </c>
      <c r="M12" s="10" t="inlineStr">
        <is>
          <t>7
8
9
10</t>
        </is>
      </c>
      <c r="N12" s="10" t="inlineStr">
        <is>
          <t>Rỗng hoặc chỉ khoảng trắng
Dài &gt; 255 ký tự
Có ký tự NUL</t>
        </is>
      </c>
      <c r="O12" s="10" t="inlineStr">
        <is>
          <t>26
27
28</t>
        </is>
      </c>
      <c r="Q12" s="6" t="inlineStr">
        <is>
          <t>Action</t>
        </is>
      </c>
      <c r="R12" s="5" t="inlineStr">
        <is>
          <t>R1</t>
        </is>
      </c>
      <c r="S12" s="5" t="inlineStr">
        <is>
          <t>R2</t>
        </is>
      </c>
      <c r="T12" s="5" t="inlineStr">
        <is>
          <t>R3</t>
        </is>
      </c>
      <c r="U12" s="5" t="inlineStr">
        <is>
          <t>R4</t>
        </is>
      </c>
      <c r="V12" s="5" t="inlineStr">
        <is>
          <t>R5</t>
        </is>
      </c>
      <c r="W12" s="5" t="inlineStr">
        <is>
          <t>R6</t>
        </is>
      </c>
    </row>
    <row r="13" ht="74" customHeight="1">
      <c r="A13" s="7" t="inlineStr">
        <is>
          <t>TC-LOGIN-05</t>
        </is>
      </c>
      <c r="B13" s="7" t="inlineStr">
        <is>
          <t>Dùng phiên cũ và đăng nhập lại sau khi tài khoản bị xóa</t>
        </is>
      </c>
      <c r="C13" s="8" t="inlineStr">
        <is>
          <t>User đã đăng nhập, đang giữ phiên mobile hợp lệ</t>
        </is>
      </c>
      <c r="D13" s="8" t="inlineStr">
        <is>
          <t>1. Đặt users.erased_at = now() (xóa trường định danh như SqlUsers.erase)
2. POST /auth/profile với phiên cũ
3. POST /auth/mobile/verify với mã OTP mới</t>
        </is>
      </c>
      <c r="E13" s="8" t="inlineStr">
        <is>
          <t>Phiên mobile còn hạn</t>
        </is>
      </c>
      <c r="F13" s="8" t="inlineStr">
        <is>
          <t>Cả hai request trả 401 ngay ở request kế tiếp; không cấp session</t>
        </is>
      </c>
      <c r="G13" s="8" t="inlineStr">
        <is>
          <t>401 và 401, không có session</t>
        </is>
      </c>
      <c r="H13" s="7" t="inlineStr">
        <is>
          <t>Pass</t>
        </is>
      </c>
      <c r="I13" s="8" t="inlineStr">
        <is>
          <t>AC4 · State Transition (đang có phiên → bị xóa) · Decision Table (R3) · test_erased_user_session_and_relogin_rejected__AC4</t>
        </is>
      </c>
      <c r="K13" s="9" t="inlineStr">
        <is>
          <t>ngay_sinh</t>
        </is>
      </c>
      <c r="L13" s="10" t="inlineStr">
        <is>
          <t>Từ 1900-01-01 tới hôm nay theo giờ Asia/Ho_Chi_Minh</t>
        </is>
      </c>
      <c r="M13" s="10" t="inlineStr">
        <is>
          <t>11</t>
        </is>
      </c>
      <c r="N13" s="10" t="inlineStr">
        <is>
          <t>Sau hôm nay (giờ VN)
Trước 1900-01-01
Ngày không tồn tại hoặc sai định dạng</t>
        </is>
      </c>
      <c r="O13" s="10" t="inlineStr">
        <is>
          <t>29
30
31</t>
        </is>
      </c>
      <c r="Q13" s="10" t="inlineStr">
        <is>
          <t>422 (invalid_phone / invalid_email / login_identifier_required)</t>
        </is>
      </c>
      <c r="R13" s="11" t="inlineStr">
        <is>
          <t>X</t>
        </is>
      </c>
      <c r="S13" s="11" t="inlineStr"/>
      <c r="T13" s="11" t="inlineStr"/>
      <c r="U13" s="11" t="inlineStr"/>
      <c r="V13" s="11" t="inlineStr"/>
      <c r="W13" s="11" t="inlineStr"/>
    </row>
    <row r="14" ht="74" customHeight="1">
      <c r="A14" s="7" t="inlineStr">
        <is>
          <t>TC-LOGIN-06</t>
        </is>
      </c>
      <c r="B14" s="7" t="inlineStr">
        <is>
          <t>Đăng nhập với nhiều cách viết của cùng một số điện thoại</t>
        </is>
      </c>
      <c r="C14" s="8" t="inlineStr">
        <is>
          <t>Số thử test_otp</t>
        </is>
      </c>
      <c r="D14" s="8" t="inlineStr">
        <is>
          <t>1. POST /auth/mobile/verify lần lượt với từng dạng số, token 123456
2. So user_id các lần
3. Đếm users có phone_number = +84900000001</t>
        </is>
      </c>
      <c r="E14" s="8" t="inlineStr">
        <is>
          <t>0900000001 | +84900000001 | +84 900 000 001 | 0900-000-001 | "  0900000001  "</t>
        </is>
      </c>
      <c r="F14" s="8" t="inlineStr">
        <is>
          <t>Mọi lần 200 với cùng một user_id; đúng 1 dòng users, phone_number = +84900000001</t>
        </is>
      </c>
      <c r="G14" s="8" t="inlineStr">
        <is>
          <t>5/5 lần 200, cùng user_id; 1 dòng users</t>
        </is>
      </c>
      <c r="H14" s="7" t="inlineStr">
        <is>
          <t>Pass</t>
        </is>
      </c>
      <c r="I14" s="8" t="inlineStr">
        <is>
          <t>AC5 · EP (1,2,3) · test_phone_formats_same_user__AC5</t>
        </is>
      </c>
      <c r="K14" s="9" t="inlineStr">
        <is>
          <t>gioi_tinh</t>
        </is>
      </c>
      <c r="L14" s="10" t="inlineStr">
        <is>
          <t>nam / nu / khac (không phân biệt hoa thường)</t>
        </is>
      </c>
      <c r="M14" s="10" t="inlineStr">
        <is>
          <t>12</t>
        </is>
      </c>
      <c r="N14" s="10" t="inlineStr">
        <is>
          <t>Giá trị khác, rỗng, chuỗi injection</t>
        </is>
      </c>
      <c r="O14" s="10" t="inlineStr">
        <is>
          <t>32</t>
        </is>
      </c>
      <c r="Q14" s="10" t="inlineStr">
        <is>
          <t>401 Invalid credentials / không cấp phiên</t>
        </is>
      </c>
      <c r="R14" s="11" t="inlineStr"/>
      <c r="S14" s="11" t="inlineStr">
        <is>
          <t>X</t>
        </is>
      </c>
      <c r="T14" s="11" t="inlineStr">
        <is>
          <t>X</t>
        </is>
      </c>
      <c r="U14" s="11" t="inlineStr"/>
      <c r="V14" s="11" t="inlineStr"/>
      <c r="W14" s="11" t="inlineStr"/>
    </row>
    <row r="15" ht="74" customHeight="1">
      <c r="A15" s="7" t="inlineStr">
        <is>
          <t>TC-LOGIN-07</t>
        </is>
      </c>
      <c r="B15" s="7" t="inlineStr">
        <is>
          <t>Gửi số điện thoại sai định dạng tới OTP và verify</t>
        </is>
      </c>
      <c r="C15" s="8" t="inlineStr">
        <is>
          <t>Không</t>
        </is>
      </c>
      <c r="D15" s="8" t="inlineStr">
        <is>
          <t>1. POST /auth/mobile/otp {phone}
2. POST /auth/mobile/verify {phone, token: 123456}
3. Đếm auth.users trước/sau</t>
        </is>
      </c>
      <c r="E15" s="8" t="inlineStr">
        <is>
          <t>84900000001 | (+84)900000001 | 09abc12345 | +84 900\u00a0000 001 | + | 0</t>
        </is>
      </c>
      <c r="F15" s="8" t="inlineStr">
        <is>
          <t>422 {"detail":"invalid_phone"} ở cả hai endpoint; không tạo user trên Supabase</t>
        </is>
      </c>
      <c r="G15" s="8" t="inlineStr">
        <is>
          <t>422 invalid_phone ở cả 12 request; auth.users không đổi</t>
        </is>
      </c>
      <c r="H15" s="7" t="inlineStr">
        <is>
          <t>Pass</t>
        </is>
      </c>
      <c r="I15" s="8" t="inlineStr">
        <is>
          <t>AC6 · EP (13,14,16) · test_invalid_phone_rejected_before_provider__AC6</t>
        </is>
      </c>
      <c r="Q15" s="10" t="inlineStr">
        <is>
          <t>403 admin_must_use_web</t>
        </is>
      </c>
      <c r="R15" s="11" t="inlineStr"/>
      <c r="S15" s="11" t="inlineStr"/>
      <c r="T15" s="11" t="inlineStr"/>
      <c r="U15" s="11" t="inlineStr">
        <is>
          <t>X</t>
        </is>
      </c>
      <c r="V15" s="11" t="inlineStr"/>
      <c r="W15" s="11" t="inlineStr"/>
    </row>
    <row r="16" ht="74" customHeight="1">
      <c r="A16" s="7" t="inlineStr">
        <is>
          <t>TC-LOGIN-08</t>
        </is>
      </c>
      <c r="B16" s="7" t="inlineStr">
        <is>
          <t>Gửi số điện thoại có ký tự xuống dòng ở cuối</t>
        </is>
      </c>
      <c r="C16" s="8" t="inlineStr">
        <is>
          <t>Số thử test_otp</t>
        </is>
      </c>
      <c r="D16" s="8" t="inlineStr">
        <is>
          <t>1. POST /auth/mobile/otp {phone: "0900000001\n"}
2. POST /auth/mobile/verify {phone: "0900000001\n", token: 123456}</t>
        </is>
      </c>
      <c r="E16" s="8" t="inlineStr">
        <is>
          <t>phone: 0900000001 + ký tự \n</t>
        </is>
      </c>
      <c r="F16" s="8" t="inlineStr">
        <is>
          <t>422 {"detail":"invalid_phone"} (theo AC6 của 01-requirement)</t>
        </is>
      </c>
      <c r="G16" s="8" t="inlineStr">
        <is>
          <t>OTP 204, verify 200 và cấp phiên (backend bỏ ký tự trắng hai đầu)</t>
        </is>
      </c>
      <c r="H16" s="7" t="inlineStr">
        <is>
          <t>Fail</t>
        </is>
      </c>
      <c r="I16" s="8" t="inlineStr">
        <is>
          <t>AC6 · Error Guessing · test_invalid_phone_rejected_before_provider__AC6[0900000001\n-*]</t>
        </is>
      </c>
      <c r="Q16" s="10" t="inlineStr">
        <is>
          <t>200, phiên mobile 10 ngày, profile_complete=false</t>
        </is>
      </c>
      <c r="R16" s="11" t="inlineStr"/>
      <c r="S16" s="11" t="inlineStr"/>
      <c r="T16" s="11" t="inlineStr"/>
      <c r="U16" s="11" t="inlineStr"/>
      <c r="V16" s="11" t="inlineStr">
        <is>
          <t>X</t>
        </is>
      </c>
      <c r="W16" s="11" t="inlineStr"/>
    </row>
    <row r="17" ht="57.5" customHeight="1">
      <c r="A17" s="7" t="inlineStr">
        <is>
          <t>TC-LOGIN-09</t>
        </is>
      </c>
      <c r="B17" s="7" t="inlineStr">
        <is>
          <t>Gửi số điện thoại ngay ngoài giới hạn độ dài</t>
        </is>
      </c>
      <c r="C17" s="8" t="inlineStr">
        <is>
          <t>Không</t>
        </is>
      </c>
      <c r="D17" s="8" t="inlineStr">
        <is>
          <t>1. POST /auth/mobile/otp và /auth/mobile/verify với từng số</t>
        </is>
      </c>
      <c r="E17" s="8" t="inlineStr">
        <is>
          <t>+8490000 (8 ký tự) | +8490000000000000 (17 ký tự)</t>
        </is>
      </c>
      <c r="F17" s="8" t="inlineStr">
        <is>
          <t>422 {"detail":"invalid_phone"}</t>
        </is>
      </c>
      <c r="G17" s="8" t="inlineStr">
        <is>
          <t>422 invalid_phone</t>
        </is>
      </c>
      <c r="H17" s="7" t="inlineStr">
        <is>
          <t>Pass</t>
        </is>
      </c>
      <c r="I17" s="8" t="inlineStr">
        <is>
          <t>AC6 · BVA (min-1, max+1) · EP (17) · test_invalid_phone_rejected_before_provider__AC6</t>
        </is>
      </c>
      <c r="Q17" s="10" t="inlineStr">
        <is>
          <t>200, phiên mobile 10 ngày, profile_complete=true</t>
        </is>
      </c>
      <c r="R17" s="11" t="inlineStr"/>
      <c r="S17" s="11" t="inlineStr"/>
      <c r="T17" s="11" t="inlineStr"/>
      <c r="U17" s="11" t="inlineStr"/>
      <c r="V17" s="11" t="inlineStr"/>
      <c r="W17" s="11" t="inlineStr">
        <is>
          <t>X</t>
        </is>
      </c>
    </row>
    <row r="18" ht="57.5" customHeight="1">
      <c r="A18" s="7" t="inlineStr">
        <is>
          <t>TC-LOGIN-10</t>
        </is>
      </c>
      <c r="B18" s="7" t="inlineStr">
        <is>
          <t>Gửi số điện thoại đúng giới hạn độ dài</t>
        </is>
      </c>
      <c r="C18" s="8" t="inlineStr">
        <is>
          <t>Không</t>
        </is>
      </c>
      <c r="D18" s="8" t="inlineStr">
        <is>
          <t>1. POST /auth/mobile/otp {phone}
2. POST /auth/mobile/verify {phone, token: 123456}</t>
        </is>
      </c>
      <c r="E18" s="8" t="inlineStr">
        <is>
          <t>+84900000 (9 ký tự) | +849000000000000 (16 ký tự)</t>
        </is>
      </c>
      <c r="F18" s="8" t="inlineStr">
        <is>
          <t>Không bị backend trả invalid_phone; không 5xx ngoài 503; không lộ nội dung Supabase</t>
        </is>
      </c>
      <c r="G18" s="8" t="inlineStr">
        <is>
          <t>Không có invalid_phone; mã trạng thái &lt; 500 hoặc 503; không lộ nội dung</t>
        </is>
      </c>
      <c r="H18" s="7" t="inlineStr">
        <is>
          <t>Pass</t>
        </is>
      </c>
      <c r="I18" s="8" t="inlineStr">
        <is>
          <t>AC6 · BVA (min, max) · EP (2) · test_phone_length_boundaries_accepted_by_backend__AC6</t>
        </is>
      </c>
    </row>
    <row r="19" ht="57.5" customHeight="1">
      <c r="A19" s="7" t="inlineStr">
        <is>
          <t>TC-LOGIN-11</t>
        </is>
      </c>
      <c r="B19" s="7" t="inlineStr">
        <is>
          <t>Gửi số điện thoại viết bằng chữ số Unicode</t>
        </is>
      </c>
      <c r="C19" s="8" t="inlineStr">
        <is>
          <t>Không</t>
        </is>
      </c>
      <c r="D19" s="8" t="inlineStr">
        <is>
          <t>1. POST /auth/mobile/otp {phone}
2. POST /auth/mobile/verify {phone, token: 123456}</t>
        </is>
      </c>
      <c r="E19" s="8" t="inlineStr">
        <is>
          <t>+８４９０００００００１ (full-width) | +٨٤٩٠٠٠٠٠٠٠١ (chữ số Ả Rập)</t>
        </is>
      </c>
      <c r="F19" s="8" t="inlineStr">
        <is>
          <t>422 {"detail":"invalid_phone"}, không gọi Supabase</t>
        </is>
      </c>
      <c r="G19" s="8" t="inlineStr">
        <is>
          <t>OTP 503 {"detail":"auth_provider_unavailable"}, verify 401 {"detail":"Invalid credentials"} — request đã tới Supabase</t>
        </is>
      </c>
      <c r="H19" s="7" t="inlineStr">
        <is>
          <t>Fail</t>
        </is>
      </c>
      <c r="I19" s="8" t="inlineStr">
        <is>
          <t>AC7 · EP (15) · test_unicode_digit_phone_rejected__AC7</t>
        </is>
      </c>
    </row>
    <row r="20" ht="90.5" customHeight="1">
      <c r="A20" s="7" t="inlineStr">
        <is>
          <t>TC-LOGIN-12</t>
        </is>
      </c>
      <c r="B20" s="7" t="inlineStr">
        <is>
          <t>Đăng nhập email với chữ hoa và khoảng trắng hai đầu</t>
        </is>
      </c>
      <c r="C20" s="8" t="inlineStr">
        <is>
          <t>Tài khoản email chữ thường user.test+&lt;tag&gt;@example.com</t>
        </is>
      </c>
      <c r="D20" s="8" t="inlineStr">
        <is>
          <t>1. POST /auth/mobile/verify {email: "User.Test+&lt;tag&gt;@Example.COM", token}
2. POST /auth/mobile/verify {email: "  user.test+&lt;tag&gt;@example.com  ", token mới}
3. Đọc users.email</t>
        </is>
      </c>
      <c r="E20" s="8" t="inlineStr">
        <is>
          <t>Hai cách viết của cùng email</t>
        </is>
      </c>
      <c r="F20" s="8" t="inlineStr">
        <is>
          <t>Cả hai 200, cùng user_id; users.email lưu chữ thường</t>
        </is>
      </c>
      <c r="G20" s="8" t="inlineStr">
        <is>
          <t>200, 200, cùng user_id; email chữ thường</t>
        </is>
      </c>
      <c r="H20" s="7" t="inlineStr">
        <is>
          <t>Pass</t>
        </is>
      </c>
      <c r="I20" s="8" t="inlineStr">
        <is>
          <t>AC8 · EP (4,5) · test_email_case_and_spaces_same_user__AC8</t>
        </is>
      </c>
    </row>
    <row r="21" ht="57.5" customHeight="1">
      <c r="A21" s="7" t="inlineStr">
        <is>
          <t>TC-LOGIN-13</t>
        </is>
      </c>
      <c r="B21" s="7" t="inlineStr">
        <is>
          <t>Gửi email sai định dạng tới OTP và verify</t>
        </is>
      </c>
      <c r="C21" s="8" t="inlineStr">
        <is>
          <t>Không</t>
        </is>
      </c>
      <c r="D21" s="8" t="inlineStr">
        <is>
          <t>1. POST /auth/mobile/otp {email}
2. POST /auth/mobile/verify {email, token: 123456}</t>
        </is>
      </c>
      <c r="E21" s="8" t="inlineStr">
        <is>
          <t>abc | a@b | a@@b.com | a b@c.com | @example.com | a@example.</t>
        </is>
      </c>
      <c r="F21" s="8" t="inlineStr">
        <is>
          <t>422 {"detail":"invalid_email"}</t>
        </is>
      </c>
      <c r="G21" s="8" t="inlineStr">
        <is>
          <t>422 invalid_email ở cả 12 request</t>
        </is>
      </c>
      <c r="H21" s="7" t="inlineStr">
        <is>
          <t>Pass</t>
        </is>
      </c>
      <c r="I21" s="8" t="inlineStr">
        <is>
          <t>AC8 · EP (19) · test_invalid_email_rejected__AC8</t>
        </is>
      </c>
    </row>
    <row r="22" ht="57.5" customHeight="1">
      <c r="A22" s="7" t="inlineStr">
        <is>
          <t>TC-LOGIN-14</t>
        </is>
      </c>
      <c r="B22" s="7" t="inlineStr">
        <is>
          <t>Gửi email rỗng hoặc chỉ khoảng trắng, không có số điện thoại</t>
        </is>
      </c>
      <c r="C22" s="8" t="inlineStr">
        <is>
          <t>Không</t>
        </is>
      </c>
      <c r="D22" s="8" t="inlineStr">
        <is>
          <t>1. POST /auth/mobile/otp {email}
2. POST /auth/mobile/verify {email, token: 123456}</t>
        </is>
      </c>
      <c r="E22" s="8" t="inlineStr">
        <is>
          <t>(blank) | "   "</t>
        </is>
      </c>
      <c r="F22" s="8" t="inlineStr">
        <is>
          <t>422 {"detail":"login_identifier_required"}</t>
        </is>
      </c>
      <c r="G22" s="8" t="inlineStr">
        <is>
          <t>422 login_identifier_required</t>
        </is>
      </c>
      <c r="H22" s="7" t="inlineStr">
        <is>
          <t>Pass</t>
        </is>
      </c>
      <c r="I22" s="8" t="inlineStr">
        <is>
          <t>AC8 · EP (20) · Decision Table (R1) · test_invalid_email_rejected__AC8</t>
        </is>
      </c>
    </row>
    <row r="23" ht="41" customHeight="1">
      <c r="A23" s="7" t="inlineStr">
        <is>
          <t>TC-LOGIN-15</t>
        </is>
      </c>
      <c r="B23" s="7" t="inlineStr">
        <is>
          <t>Gửi email rất dài và email có dấu tiếng Việt</t>
        </is>
      </c>
      <c r="C23" s="8" t="inlineStr">
        <is>
          <t>Không</t>
        </is>
      </c>
      <c r="D23" s="8" t="inlineStr">
        <is>
          <t>1. POST /auth/mobile/otp {email}</t>
        </is>
      </c>
      <c r="E23" s="8" t="inlineStr">
        <is>
          <t>a*300@example.com (312 ký tự) | nguyễn@example.com</t>
        </is>
      </c>
      <c r="F23" s="8" t="inlineStr">
        <is>
          <t>Không 5xx ngoài 503; không lộ nội dung Supabase</t>
        </is>
      </c>
      <c r="G23" s="8" t="inlineStr">
        <is>
          <t>Mã &lt; 500 hoặc 503; không lộ nội dung</t>
        </is>
      </c>
      <c r="H23" s="7" t="inlineStr">
        <is>
          <t>Pass</t>
        </is>
      </c>
      <c r="I23" s="8" t="inlineStr">
        <is>
          <t>AC8 · Error Guessing · test_long_and_unicode_email_no_5xx__AC8</t>
        </is>
      </c>
    </row>
    <row r="24" ht="41" customHeight="1">
      <c r="A24" s="7" t="inlineStr">
        <is>
          <t>TC-LOGIN-16</t>
        </is>
      </c>
      <c r="B24" s="7" t="inlineStr">
        <is>
          <t>Xác thực với mã OTP rỗng</t>
        </is>
      </c>
      <c r="C24" s="8" t="inlineStr">
        <is>
          <t>Tài khoản email mới</t>
        </is>
      </c>
      <c r="D24" s="8" t="inlineStr">
        <is>
          <t>1. POST /auth/mobile/verify {email, token: ""}</t>
        </is>
      </c>
      <c r="E24" s="8" t="inlineStr">
        <is>
          <t>token: (blank)</t>
        </is>
      </c>
      <c r="F24" s="8" t="inlineStr">
        <is>
          <t>422</t>
        </is>
      </c>
      <c r="G24" s="8" t="inlineStr">
        <is>
          <t>422</t>
        </is>
      </c>
      <c r="H24" s="7" t="inlineStr">
        <is>
          <t>Pass</t>
        </is>
      </c>
      <c r="I24" s="8" t="inlineStr">
        <is>
          <t>AC9 · EP (22) · test_empty_token_422__AC9</t>
        </is>
      </c>
    </row>
    <row r="25" ht="57.5" customHeight="1">
      <c r="A25" s="7" t="inlineStr">
        <is>
          <t>TC-LOGIN-17</t>
        </is>
      </c>
      <c r="B25" s="7" t="inlineStr">
        <is>
          <t>Xác thực với mã OTP chỉ có khoảng trắng</t>
        </is>
      </c>
      <c r="C25" s="8" t="inlineStr">
        <is>
          <t>Tài khoản email mới, chưa có dòng users</t>
        </is>
      </c>
      <c r="D25" s="8" t="inlineStr">
        <is>
          <t>1. POST /auth/mobile/verify {email, token: "   "}
2. Đếm users theo email</t>
        </is>
      </c>
      <c r="E25" s="8" t="inlineStr">
        <is>
          <t>token: "   "</t>
        </is>
      </c>
      <c r="F25" s="8" t="inlineStr">
        <is>
          <t>401; không tạo dòng users</t>
        </is>
      </c>
      <c r="G25" s="8" t="inlineStr">
        <is>
          <t>401; 0 dòng users</t>
        </is>
      </c>
      <c r="H25" s="7" t="inlineStr">
        <is>
          <t>Pass</t>
        </is>
      </c>
      <c r="I25" s="8" t="inlineStr">
        <is>
          <t>AC9 · EP (23) · test_blank_token_401_no_user__AC9</t>
        </is>
      </c>
    </row>
    <row r="26" ht="57.5" customHeight="1">
      <c r="A26" s="7" t="inlineStr">
        <is>
          <t>TC-LOGIN-18</t>
        </is>
      </c>
      <c r="B26" s="7" t="inlineStr">
        <is>
          <t>Xác thực với mã OTP sai độ dài, có chữ hoặc rất dài</t>
        </is>
      </c>
      <c r="C26" s="8" t="inlineStr">
        <is>
          <t>Tài khoản email mới, chưa có dòng users</t>
        </is>
      </c>
      <c r="D26" s="8" t="inlineStr">
        <is>
          <t>1. POST /auth/mobile/verify {email, token} cho từng giá trị</t>
        </is>
      </c>
      <c r="E26" s="8" t="inlineStr">
        <is>
          <t>12345 | 1234567 | abcdef | "1"*1000</t>
        </is>
      </c>
      <c r="F26" s="8" t="inlineStr">
        <is>
          <t>401 hoặc 422; không 5xx; không lộ nội dung; không tạo dòng users</t>
        </is>
      </c>
      <c r="G26" s="8" t="inlineStr">
        <is>
          <t>401/422; không 5xx; 0 dòng users</t>
        </is>
      </c>
      <c r="H26" s="7" t="inlineStr">
        <is>
          <t>Pass</t>
        </is>
      </c>
      <c r="I26" s="8" t="inlineStr">
        <is>
          <t>AC9 · BVA (min-1, max+1) · EP (24) · test_malformed_tokens_no_5xx__AC9</t>
        </is>
      </c>
    </row>
    <row r="27" ht="90.5" customHeight="1">
      <c r="A27" s="7" t="inlineStr">
        <is>
          <t>TC-LOGIN-19</t>
        </is>
      </c>
      <c r="B27" s="7" t="inlineStr">
        <is>
          <t>Gửi trường sai kiểu JSON</t>
        </is>
      </c>
      <c r="C27" s="8" t="inlineStr">
        <is>
          <t>Phiên mobile hợp lệ cho /auth/profile</t>
        </is>
      </c>
      <c r="D27" s="8" t="inlineStr">
        <is>
          <t>1. POST /auth/mobile/otp với phone/email là số, mảng, object, true
2. POST /auth/mobile/verify với token sai kiểu
3. POST /auth/profile với ho_ten/gioi_tinh sai kiểu</t>
        </is>
      </c>
      <c r="E27" s="8" t="inlineStr">
        <is>
          <t>900000001 | ["0900000001"] | {"v": "0900000001"} | true</t>
        </is>
      </c>
      <c r="F27" s="8" t="inlineStr">
        <is>
          <t>4xx (422); không 5xx; không lộ chi tiết nội bộ</t>
        </is>
      </c>
      <c r="G27" s="8" t="inlineStr">
        <is>
          <t>422 ở cả 20 request</t>
        </is>
      </c>
      <c r="H27" s="7" t="inlineStr">
        <is>
          <t>Pass</t>
        </is>
      </c>
      <c r="I27" s="8" t="inlineStr">
        <is>
          <t>AC10 · EP (18) · test_wrong_json_types_no_5xx__AC10</t>
        </is>
      </c>
    </row>
    <row r="28" ht="41" customHeight="1">
      <c r="A28" s="7" t="inlineStr">
        <is>
          <t>TC-LOGIN-20</t>
        </is>
      </c>
      <c r="B28" s="7" t="inlineStr">
        <is>
          <t>Gửi body hỏng, rỗng hoặc sai Content-Type</t>
        </is>
      </c>
      <c r="C28" s="8" t="inlineStr">
        <is>
          <t>Phiên mobile hợp lệ cho /auth/profile</t>
        </is>
      </c>
      <c r="D28" s="8" t="inlineStr">
        <is>
          <t>1. POST tới /auth/mobile/otp, /auth/mobile/verify, /auth/profile với từng loại body</t>
        </is>
      </c>
      <c r="E28" s="8" t="inlineStr">
        <is>
          <t>"{not json" | (blank) | text/plain "phone=0900000001"</t>
        </is>
      </c>
      <c r="F28" s="8" t="inlineStr">
        <is>
          <t>4xx; không 5xx</t>
        </is>
      </c>
      <c r="G28" s="8" t="inlineStr">
        <is>
          <t>422 ở cả 9 request</t>
        </is>
      </c>
      <c r="H28" s="7" t="inlineStr">
        <is>
          <t>Pass</t>
        </is>
      </c>
      <c r="I28" s="8" t="inlineStr">
        <is>
          <t>AC10 · Error Guessing · test_malformed_body_no_5xx__AC10</t>
        </is>
      </c>
    </row>
    <row r="29" ht="90.5" customHeight="1">
      <c r="A29" s="7" t="inlineStr">
        <is>
          <t>TC-LOGIN-21</t>
        </is>
      </c>
      <c r="B29" s="7" t="inlineStr">
        <is>
          <t>Gửi field thừa để leo quyền hoặc ghi vào user khác</t>
        </is>
      </c>
      <c r="C29" s="8" t="inlineStr">
        <is>
          <t>Tài khoản email mới; một user khác B chưa có hồ sơ</t>
        </is>
      </c>
      <c r="D29" s="8" t="inlineStr">
        <is>
          <t>1. POST /auth/mobile/verify {email, token, system_role: "admin", user_id: &lt;B&gt;}
2. POST /auth/profile (phiên vừa cấp) {hồ sơ hợp lệ, user_id: &lt;B&gt;, system_role: "admin"}
3. Đọc users của mình và của B</t>
        </is>
      </c>
      <c r="E29" s="8" t="inlineStr">
        <is>
          <t>system_role: admin; user_id: id của B</t>
        </is>
      </c>
      <c r="F29" s="8" t="inlineStr">
        <is>
          <t>Verify 200 với user_id của chính mình; profile 204; system_role vẫn 'user'; hồ sơ chỉ ghi vào mình, B không đổi</t>
        </is>
      </c>
      <c r="G29" s="8" t="inlineStr">
        <is>
          <t>Đúng như mong đợi</t>
        </is>
      </c>
      <c r="H29" s="7" t="inlineStr">
        <is>
          <t>Pass</t>
        </is>
      </c>
      <c r="I29" s="8" t="inlineStr">
        <is>
          <t>AC10 · Error Guessing (leo quyền) · test_extra_fields_have_no_effect__AC10</t>
        </is>
      </c>
    </row>
    <row r="30" ht="90.5" customHeight="1">
      <c r="A30" s="7" t="inlineStr">
        <is>
          <t>TC-LOGIN-22</t>
        </is>
      </c>
      <c r="B30" s="7" t="inlineStr">
        <is>
          <t>Gửi chuỗi SQL injection và chuỗi độc hại vào số điện thoại và email</t>
        </is>
      </c>
      <c r="C30" s="8" t="inlineStr">
        <is>
          <t>Không</t>
        </is>
      </c>
      <c r="D30" s="8" t="inlineStr">
        <is>
          <t>1. POST /auth/mobile/otp {phone: &lt;chuỗi&gt;}
2. POST /auth/mobile/otp {email: &lt;chuỗi&gt;}
3. Đo thời gian phản hồi; kiểm bảng users</t>
        </is>
      </c>
      <c r="E30" s="8" t="inlineStr">
        <is>
          <t>' OR '1'='1 | admin'-- | '); DROP TABLE users;-- | 1; SELECT pg_sleep(5)-- | &lt;script&gt;alert(1)&lt;/script&gt; | ${7*7} | abc\u0000def</t>
        </is>
      </c>
      <c r="F30" s="8" t="inlineStr">
        <is>
          <t>422; &lt; 3 giây; không có Traceback, psycopg, sqlalchemy, syntax error trong phản hồi; bảng users còn và số dòng không đổi</t>
        </is>
      </c>
      <c r="G30" s="8" t="inlineStr">
        <is>
          <t>422 ở cả 14 request, &lt; 3 giây, không lộ; users còn, số dòng không đổi</t>
        </is>
      </c>
      <c r="H30" s="7" t="inlineStr">
        <is>
          <t>Pass</t>
        </is>
      </c>
      <c r="I30" s="8" t="inlineStr">
        <is>
          <t>AC11 · Error Guessing (bảo mật) · test_injection_in_identifier_rejected_no_leak__AC11, test_injection_group_leaves_users_table_intact__AC11</t>
        </is>
      </c>
    </row>
    <row r="31" ht="41" customHeight="1">
      <c r="A31" s="7" t="inlineStr">
        <is>
          <t>TC-LOGIN-23</t>
        </is>
      </c>
      <c r="B31" s="7" t="inlineStr">
        <is>
          <t>Gửi chuỗi injection làm mã OTP</t>
        </is>
      </c>
      <c r="C31" s="8" t="inlineStr">
        <is>
          <t>Tài khoản email mới, chưa có dòng users</t>
        </is>
      </c>
      <c r="D31" s="8" t="inlineStr">
        <is>
          <t>1. POST /auth/mobile/verify {email, token: &lt;chuỗi&gt;}</t>
        </is>
      </c>
      <c r="E31" s="8" t="inlineStr">
        <is>
          <t>7 chuỗi như TC-LOGIN-22</t>
        </is>
      </c>
      <c r="F31" s="8" t="inlineStr">
        <is>
          <t>401 hoặc 422; không 5xx; không lộ; không tạo dòng users</t>
        </is>
      </c>
      <c r="G31" s="8" t="inlineStr">
        <is>
          <t>401/422 ở cả 7 request; không lộ; 0 dòng users</t>
        </is>
      </c>
      <c r="H31" s="7" t="inlineStr">
        <is>
          <t>Pass</t>
        </is>
      </c>
      <c r="I31" s="8" t="inlineStr">
        <is>
          <t>AC11 · EP (25) · test_injection_in_token_no_5xx_no_leak__AC11</t>
        </is>
      </c>
    </row>
    <row r="32" ht="57.5" customHeight="1">
      <c r="A32" s="7" t="inlineStr">
        <is>
          <t>TC-LOGIN-24</t>
        </is>
      </c>
      <c r="B32" s="7" t="inlineStr">
        <is>
          <t>Lưu họ tên là chuỗi SQL/HTML/template</t>
        </is>
      </c>
      <c r="C32" s="8" t="inlineStr">
        <is>
          <t>User có phiên mobile, chưa có hồ sơ</t>
        </is>
      </c>
      <c r="D32" s="8" t="inlineStr">
        <is>
          <t>1. POST /auth/profile {ho_ten: &lt;chuỗi&gt;, ngày sinh, giới tính hợp lệ}
2. Đọc users.full_name</t>
        </is>
      </c>
      <c r="E32" s="8" t="inlineStr">
        <is>
          <t>6 chuỗi đầu của TC-LOGIN-22 (không có NUL)</t>
        </is>
      </c>
      <c r="F32" s="8" t="inlineStr">
        <is>
          <t>204; full_name lưu nguyên văn chuỗi; &lt; 3 giây; bảng users còn</t>
        </is>
      </c>
      <c r="G32" s="8" t="inlineStr">
        <is>
          <t>204; lưu nguyên văn cả 6 chuỗi</t>
        </is>
      </c>
      <c r="H32" s="7" t="inlineStr">
        <is>
          <t>Pass</t>
        </is>
      </c>
      <c r="I32" s="8" t="inlineStr">
        <is>
          <t>AC11 · EP (9) · test_injection_in_full_name_stored_verbatim__AC11</t>
        </is>
      </c>
    </row>
    <row r="33" ht="57.5" customHeight="1">
      <c r="A33" s="7" t="inlineStr">
        <is>
          <t>TC-LOGIN-25</t>
        </is>
      </c>
      <c r="B33" s="7" t="inlineStr">
        <is>
          <t>Lưu họ tên có ký tự NUL</t>
        </is>
      </c>
      <c r="C33" s="8" t="inlineStr">
        <is>
          <t>User có phiên mobile, chưa có hồ sơ</t>
        </is>
      </c>
      <c r="D33" s="8" t="inlineStr">
        <is>
          <t>1. POST /auth/profile {ho_ten: "abc\u0000def", ngày sinh, giới tính hợp lệ}</t>
        </is>
      </c>
      <c r="E33" s="8" t="inlineStr">
        <is>
          <t>ho_ten: abc\u0000def</t>
        </is>
      </c>
      <c r="F33" s="8" t="inlineStr">
        <is>
          <t>Không 5xx (từ chối 422 hoặc lưu được); không lộ chi tiết nội bộ</t>
        </is>
      </c>
      <c r="G33" s="8" t="inlineStr">
        <is>
          <t>500 Internal Server Error</t>
        </is>
      </c>
      <c r="H33" s="7" t="inlineStr">
        <is>
          <t>Fail</t>
        </is>
      </c>
      <c r="I33" s="8" t="inlineStr">
        <is>
          <t>AC11 · EP (28) · Error Guessing · test_injection_in_full_name_stored_verbatim__AC11[nul]</t>
        </is>
      </c>
    </row>
    <row r="34" ht="41" customHeight="1">
      <c r="A34" s="7" t="inlineStr">
        <is>
          <t>TC-LOGIN-26</t>
        </is>
      </c>
      <c r="B34" s="7" t="inlineStr">
        <is>
          <t>Gửi chuỗi injection làm giới tính</t>
        </is>
      </c>
      <c r="C34" s="8" t="inlineStr">
        <is>
          <t>User có phiên mobile, chưa có hồ sơ</t>
        </is>
      </c>
      <c r="D34" s="8" t="inlineStr">
        <is>
          <t>1. POST /auth/profile {gioi_tinh: &lt;chuỗi&gt;}</t>
        </is>
      </c>
      <c r="E34" s="8" t="inlineStr">
        <is>
          <t>7 chuỗi như TC-LOGIN-22</t>
        </is>
      </c>
      <c r="F34" s="8" t="inlineStr">
        <is>
          <t>422 {"detail":"invalid_gender"}; hồ sơ không đổi</t>
        </is>
      </c>
      <c r="G34" s="8" t="inlineStr">
        <is>
          <t>422 invalid_gender; full_name vẫn NULL</t>
        </is>
      </c>
      <c r="H34" s="7" t="inlineStr">
        <is>
          <t>Pass</t>
        </is>
      </c>
      <c r="I34" s="8" t="inlineStr">
        <is>
          <t>AC11 · EP (32) · test_injection_in_gender_rejected__AC11</t>
        </is>
      </c>
    </row>
    <row r="35" ht="41" customHeight="1">
      <c r="A35" s="7" t="inlineStr">
        <is>
          <t>TC-LOGIN-27</t>
        </is>
      </c>
      <c r="B35" s="7" t="inlineStr">
        <is>
          <t>Lưu họ tên tiếng Việt có dấu và có emoji</t>
        </is>
      </c>
      <c r="C35" s="8" t="inlineStr">
        <is>
          <t>User có phiên mobile, chưa có hồ sơ</t>
        </is>
      </c>
      <c r="D35" s="8" t="inlineStr">
        <is>
          <t>1. POST /auth/profile {ho_ten}
2. Đọc users.full_name</t>
        </is>
      </c>
      <c r="E35" s="8" t="inlineStr">
        <is>
          <t>Nguyễn Văn Ấn | Bà Lan 👵🏻💊</t>
        </is>
      </c>
      <c r="F35" s="8" t="inlineStr">
        <is>
          <t>204; lưu đúng nguyên văn</t>
        </is>
      </c>
      <c r="G35" s="8" t="inlineStr">
        <is>
          <t>204; lưu đúng</t>
        </is>
      </c>
      <c r="H35" s="7" t="inlineStr">
        <is>
          <t>Pass</t>
        </is>
      </c>
      <c r="I35" s="8" t="inlineStr">
        <is>
          <t>AC12 · EP (7,8) · test_profile_valid_classes_saved__AC12</t>
        </is>
      </c>
    </row>
    <row r="36" ht="41" customHeight="1">
      <c r="A36" s="7" t="inlineStr">
        <is>
          <t>TC-LOGIN-28</t>
        </is>
      </c>
      <c r="B36" s="7" t="inlineStr">
        <is>
          <t>Lưu giới tính viết hoa</t>
        </is>
      </c>
      <c r="C36" s="8" t="inlineStr">
        <is>
          <t>User có phiên mobile, chưa có hồ sơ</t>
        </is>
      </c>
      <c r="D36" s="8" t="inlineStr">
        <is>
          <t>1. POST /auth/profile {gioi_tinh: "NAM"}
2. Đọc users.gender</t>
        </is>
      </c>
      <c r="E36" s="8" t="inlineStr">
        <is>
          <t>gioi_tinh: NAM</t>
        </is>
      </c>
      <c r="F36" s="8" t="inlineStr">
        <is>
          <t>204; gender = 'nam'</t>
        </is>
      </c>
      <c r="G36" s="8" t="inlineStr">
        <is>
          <t>204; gender = nam</t>
        </is>
      </c>
      <c r="H36" s="7" t="inlineStr">
        <is>
          <t>Pass</t>
        </is>
      </c>
      <c r="I36" s="8" t="inlineStr">
        <is>
          <t>AC12 · EP (12) · test_profile_valid_classes_saved__AC12</t>
        </is>
      </c>
    </row>
    <row r="37" ht="57.5" customHeight="1">
      <c r="A37" s="7" t="inlineStr">
        <is>
          <t>TC-LOGIN-29</t>
        </is>
      </c>
      <c r="B37" s="7" t="inlineStr">
        <is>
          <t>Lưu họ tên dài đúng 255 ký tự</t>
        </is>
      </c>
      <c r="C37" s="8" t="inlineStr">
        <is>
          <t>User có phiên mobile, chưa có hồ sơ</t>
        </is>
      </c>
      <c r="D37" s="8" t="inlineStr">
        <is>
          <t>1. POST /auth/profile {ho_ten: A*255}</t>
        </is>
      </c>
      <c r="E37" s="8" t="inlineStr">
        <is>
          <t>A*255</t>
        </is>
      </c>
      <c r="F37" s="8" t="inlineStr">
        <is>
          <t>204; lưu đủ 255 ký tự</t>
        </is>
      </c>
      <c r="G37" s="8" t="inlineStr">
        <is>
          <t>204; lưu đủ</t>
        </is>
      </c>
      <c r="H37" s="7" t="inlineStr">
        <is>
          <t>Pass</t>
        </is>
      </c>
      <c r="I37" s="8" t="inlineStr">
        <is>
          <t>AC12 · BVA (max) · EP (10) · test_profile_valid_classes_saved__AC12</t>
        </is>
      </c>
    </row>
    <row r="38" ht="57.5" customHeight="1">
      <c r="A38" s="7" t="inlineStr">
        <is>
          <t>TC-LOGIN-30</t>
        </is>
      </c>
      <c r="B38" s="7" t="inlineStr">
        <is>
          <t>Lưu họ tên dài 256 ký tự</t>
        </is>
      </c>
      <c r="C38" s="8" t="inlineStr">
        <is>
          <t>User có phiên mobile, chưa có hồ sơ</t>
        </is>
      </c>
      <c r="D38" s="8" t="inlineStr">
        <is>
          <t>1. POST /auth/profile {ho_ten: A*256}</t>
        </is>
      </c>
      <c r="E38" s="8" t="inlineStr">
        <is>
          <t>A*256</t>
        </is>
      </c>
      <c r="F38" s="8" t="inlineStr">
        <is>
          <t>422; hồ sơ không đổi (giới hạn 255 theo Q4 của 01-requirement)</t>
        </is>
      </c>
      <c r="G38" s="8" t="inlineStr">
        <is>
          <t>204, đã lưu</t>
        </is>
      </c>
      <c r="H38" s="7" t="inlineStr">
        <is>
          <t>Fail</t>
        </is>
      </c>
      <c r="I38" s="8" t="inlineStr">
        <is>
          <t>AC12 · BVA (max+1) · EP (27) · test_profile_limits_255_and_1900__AC12[ten-256]</t>
        </is>
      </c>
    </row>
    <row r="39" ht="57.5" customHeight="1">
      <c r="A39" s="7" t="inlineStr">
        <is>
          <t>TC-LOGIN-31</t>
        </is>
      </c>
      <c r="B39" s="7" t="inlineStr">
        <is>
          <t>Lưu ngày sinh 1900-01-01</t>
        </is>
      </c>
      <c r="C39" s="8" t="inlineStr">
        <is>
          <t>User có phiên mobile, chưa có hồ sơ</t>
        </is>
      </c>
      <c r="D39" s="8" t="inlineStr">
        <is>
          <t>1. POST /auth/profile {ngay_sinh: "1900-01-01"}</t>
        </is>
      </c>
      <c r="E39" s="8" t="inlineStr">
        <is>
          <t>1900-01-01</t>
        </is>
      </c>
      <c r="F39" s="8" t="inlineStr">
        <is>
          <t>204; date_of_birth = 1900-01-01</t>
        </is>
      </c>
      <c r="G39" s="8" t="inlineStr">
        <is>
          <t>204; lưu đúng</t>
        </is>
      </c>
      <c r="H39" s="7" t="inlineStr">
        <is>
          <t>Pass</t>
        </is>
      </c>
      <c r="I39" s="8" t="inlineStr">
        <is>
          <t>AC12 · BVA (min) · EP (11) · test_profile_valid_classes_saved__AC12</t>
        </is>
      </c>
    </row>
    <row r="40" ht="74" customHeight="1">
      <c r="A40" s="7" t="inlineStr">
        <is>
          <t>TC-LOGIN-32</t>
        </is>
      </c>
      <c r="B40" s="7" t="inlineStr">
        <is>
          <t>Lưu ngày sinh trước 1900-01-01</t>
        </is>
      </c>
      <c r="C40" s="8" t="inlineStr">
        <is>
          <t>User có phiên mobile, chưa có hồ sơ</t>
        </is>
      </c>
      <c r="D40" s="8" t="inlineStr">
        <is>
          <t>1. POST /auth/profile {ngay_sinh}</t>
        </is>
      </c>
      <c r="E40" s="8" t="inlineStr">
        <is>
          <t>1899-12-31 | 0001-01-01</t>
        </is>
      </c>
      <c r="F40" s="8" t="inlineStr">
        <is>
          <t>422; hồ sơ không đổi (cận dưới 1900-01-01 theo Q4)</t>
        </is>
      </c>
      <c r="G40" s="8" t="inlineStr">
        <is>
          <t>204 ở cả hai giá trị, đã lưu</t>
        </is>
      </c>
      <c r="H40" s="7" t="inlineStr">
        <is>
          <t>Fail</t>
        </is>
      </c>
      <c r="I40" s="8" t="inlineStr">
        <is>
          <t>AC12 · BVA (min-1) · EP (30) · test_profile_limits_255_and_1900__AC12[ngay-1899-12-31, ngay-0001-01-01]</t>
        </is>
      </c>
    </row>
    <row r="41" ht="90.5" customHeight="1">
      <c r="A41" s="7" t="inlineStr">
        <is>
          <t>TC-LOGIN-33</t>
        </is>
      </c>
      <c r="B41" s="7" t="inlineStr">
        <is>
          <t>Gửi hồ sơ có họ tên, giới tính hoặc ngày sinh không hợp lệ</t>
        </is>
      </c>
      <c r="C41" s="8" t="inlineStr">
        <is>
          <t>User có phiên mobile, chưa có hồ sơ</t>
        </is>
      </c>
      <c r="D41" s="8" t="inlineStr">
        <is>
          <t>1. POST /auth/profile với từng giá trị
2. Đọc users.full_name</t>
        </is>
      </c>
      <c r="E41" s="8" t="inlineStr">
        <is>
          <t>ho_ten (blank) | "   " → invalid_full_name; gioi_tinh x | (blank) → invalid_gender; ngay_sinh 2026-02-30 | 30/01/1990 | abc</t>
        </is>
      </c>
      <c r="F41" s="8" t="inlineStr">
        <is>
          <t>422 (detail tương ứng); full_name vẫn NULL (profile_complete vẫn false)</t>
        </is>
      </c>
      <c r="G41" s="8" t="inlineStr">
        <is>
          <t>422 đúng detail ở cả 7 trường hợp; full_name NULL</t>
        </is>
      </c>
      <c r="H41" s="7" t="inlineStr">
        <is>
          <t>Pass</t>
        </is>
      </c>
      <c r="I41" s="8" t="inlineStr">
        <is>
          <t>AC12 · EP (26,31,32) · test_profile_invalid_classes_422_db_unchanged__AC12</t>
        </is>
      </c>
    </row>
    <row r="42" ht="57.5" customHeight="1">
      <c r="A42" s="7" t="inlineStr">
        <is>
          <t>TC-LOGIN-34</t>
        </is>
      </c>
      <c r="B42" s="7" t="inlineStr">
        <is>
          <t>Lưu ngày sinh là hôm nay lúc 12:00 giờ Việt Nam</t>
        </is>
      </c>
      <c r="C42" s="8" t="inlineStr">
        <is>
          <t>Đồng hồ server cố định 2026-10-08 12:00 (+07:00)</t>
        </is>
      </c>
      <c r="D42" s="8" t="inlineStr">
        <is>
          <t>1. POST /auth/profile {ngay_sinh: "2026-10-08"}</t>
        </is>
      </c>
      <c r="E42" s="8" t="inlineStr">
        <is>
          <t>ngay_sinh: 2026-10-08</t>
        </is>
      </c>
      <c r="F42" s="8" t="inlineStr">
        <is>
          <t>204</t>
        </is>
      </c>
      <c r="G42" s="8" t="inlineStr">
        <is>
          <t>204</t>
        </is>
      </c>
      <c r="H42" s="7" t="inlineStr">
        <is>
          <t>Pass</t>
        </is>
      </c>
      <c r="I42" s="8" t="inlineStr">
        <is>
          <t>AC12 · BVA (max) · EP (11) · test_birth_date_today_in_vietnam_accepted__AC12[12h-gio-VN]</t>
        </is>
      </c>
    </row>
    <row r="43" ht="57.5" customHeight="1">
      <c r="A43" s="7" t="inlineStr">
        <is>
          <t>TC-LOGIN-35</t>
        </is>
      </c>
      <c r="B43" s="7" t="inlineStr">
        <is>
          <t>Lưu ngày sinh là hôm nay lúc 00:30 giờ Việt Nam</t>
        </is>
      </c>
      <c r="C43" s="8" t="inlineStr">
        <is>
          <t>Đồng hồ server cố định 2026-10-08 00:30 (+07:00) = 2026-10-07 17:30 UTC</t>
        </is>
      </c>
      <c r="D43" s="8" t="inlineStr">
        <is>
          <t>1. POST /auth/profile {ngay_sinh: "2026-10-08"}</t>
        </is>
      </c>
      <c r="E43" s="8" t="inlineStr">
        <is>
          <t>ngay_sinh: 2026-10-08</t>
        </is>
      </c>
      <c r="F43" s="8" t="inlineStr">
        <is>
          <t>204 (hôm nay theo giờ Asia/Ho_Chi_Minh — bất biến 7)</t>
        </is>
      </c>
      <c r="G43" s="8" t="inlineStr">
        <is>
          <t>422 {"detail":"invalid_date_of_birth"}</t>
        </is>
      </c>
      <c r="H43" s="7" t="inlineStr">
        <is>
          <t>Fail</t>
        </is>
      </c>
      <c r="I43" s="8" t="inlineStr">
        <is>
          <t>AC12 · BVA (max) · EP (11) · test_birth_date_today_in_vietnam_accepted__AC12[0h30-gio-VN]</t>
        </is>
      </c>
    </row>
    <row r="44" ht="57.5" customHeight="1">
      <c r="A44" s="7" t="inlineStr">
        <is>
          <t>TC-LOGIN-36</t>
        </is>
      </c>
      <c r="B44" s="7" t="inlineStr">
        <is>
          <t>Lưu ngày sinh là ngày mai theo giờ Việt Nam</t>
        </is>
      </c>
      <c r="C44" s="8" t="inlineStr">
        <is>
          <t>Đồng hồ server cố định 2026-10-08 12:00 (+07:00)</t>
        </is>
      </c>
      <c r="D44" s="8" t="inlineStr">
        <is>
          <t>1. POST /auth/profile {ngay_sinh: "2026-10-09"}</t>
        </is>
      </c>
      <c r="E44" s="8" t="inlineStr">
        <is>
          <t>ngay_sinh: 2026-10-09</t>
        </is>
      </c>
      <c r="F44" s="8" t="inlineStr">
        <is>
          <t>422 {"detail":"invalid_date_of_birth"}; hồ sơ không đổi</t>
        </is>
      </c>
      <c r="G44" s="8" t="inlineStr">
        <is>
          <t>422 invalid_date_of_birth; full_name NULL</t>
        </is>
      </c>
      <c r="H44" s="7" t="inlineStr">
        <is>
          <t>Pass</t>
        </is>
      </c>
      <c r="I44" s="8" t="inlineStr">
        <is>
          <t>AC12 · BVA (max+1) · EP (29) · test_birth_date_tomorrow_in_vietnam_rejected__AC12</t>
        </is>
      </c>
    </row>
    <row r="45" ht="90.5" customHeight="1">
      <c r="A45" s="7" t="inlineStr">
        <is>
          <t>TC-LOGIN-37</t>
        </is>
      </c>
      <c r="B45" s="7" t="inlineStr">
        <is>
          <t>Gọi API cần đăng nhập với bearer thiếu, sai hoặc giả mạo</t>
        </is>
      </c>
      <c r="C45" s="8" t="inlineStr">
        <is>
          <t>User chưa có hồ sơ</t>
        </is>
      </c>
      <c r="D45" s="8" t="inlineStr">
        <is>
          <t>1. POST /auth/profile với từng header Authorization
2. Đọc users.full_name</t>
        </is>
      </c>
      <c r="E45" s="8" t="inlineStr">
        <is>
          <t>không có header | Basic &lt;token&gt; | "Bearer " | Bearer ' OR '1'='1 | token sửa chữ ký | token hết hạn (11 ngày trước) | token ký bằng secret khác</t>
        </is>
      </c>
      <c r="F45" s="8" t="inlineStr">
        <is>
          <t>401 ở mọi trường hợp; hồ sơ không đổi</t>
        </is>
      </c>
      <c r="G45" s="8" t="inlineStr">
        <is>
          <t>401 ở cả 7 trường hợp; full_name NULL</t>
        </is>
      </c>
      <c r="H45" s="7" t="inlineStr">
        <is>
          <t>Pass</t>
        </is>
      </c>
      <c r="I45" s="8" t="inlineStr">
        <is>
          <t>AC13 · Error Guessing (bảo mật) · test_bad_bearer_401_db_unchanged__AC13</t>
        </is>
      </c>
    </row>
    <row r="46" ht="140" customHeight="1">
      <c r="A46" s="7" t="inlineStr">
        <is>
          <t>TC-LOGIN-38</t>
        </is>
      </c>
      <c r="B46" s="7" t="inlineStr">
        <is>
          <t>Đăng nhập lần đầu trên app: hồ sơ, consent, vào Trang chủ</t>
        </is>
      </c>
      <c r="C46" s="8" t="inlineStr">
        <is>
          <t>Backend + Supabase local; emulator; số thử chưa có hồ sơ, consent health_data đã rút</t>
        </is>
      </c>
      <c r="D46" s="8" t="inlineStr">
        <is>
          <t>1. Mở app, tab Số điện thoại, nhập 0900000001
2. Tick đồng ý điều khoản, bấm "Gửi mã OTP"
3. Nhập 123456
4. Màn "Hoàn thiện hồ sơ": nhập Nguyễn Văn Ấn, chọn ngày sinh, chọn Nam, bấm "Lưu và tiếp tục"
5. Màn "Quyền riêng tư của bạn": bật dữ liệu sức khỏe, bấm "Tiếp tục"</t>
        </is>
      </c>
      <c r="E46" s="8" t="inlineStr">
        <is>
          <t>0900000001 / 123456; họ tên Nguyễn Văn Ấn</t>
        </is>
      </c>
      <c r="F46" s="8" t="inlineStr">
        <is>
          <t>Vào Trang chủ; DB: users.full_name = 'Nguyễn Văn Ấn', phone_number = +84900000001, đúng 1 dòng</t>
        </is>
      </c>
      <c r="G46" s="8" t="inlineStr">
        <is>
          <t>Vào Trang chủ; DB đúng</t>
        </is>
      </c>
      <c r="H46" s="7" t="inlineStr">
        <is>
          <t>Pass</t>
        </is>
      </c>
      <c r="I46" s="8" t="inlineStr">
        <is>
          <t>AC16 · State Transition (chưa hồ sơ → đủ hồ sơ) · E2E login_new_user_test.dart · evidence/test-e2e.log</t>
        </is>
      </c>
    </row>
    <row r="47" ht="41" customHeight="1">
      <c r="A47" s="7" t="inlineStr">
        <is>
          <t>TC-LOGIN-39</t>
        </is>
      </c>
      <c r="B47" s="7" t="inlineStr">
        <is>
          <t>Mở lại app khi còn phiên đăng nhập</t>
        </is>
      </c>
      <c r="C47" s="8" t="inlineStr">
        <is>
          <t>Đã qua TC-LOGIN-38</t>
        </is>
      </c>
      <c r="D47" s="8" t="inlineStr">
        <is>
          <t>1. Khởi động lại app (dựng lại toàn bộ app với cùng bộ nhớ thiết bị)</t>
        </is>
      </c>
      <c r="E47" s="8" t="inlineStr">
        <is>
          <t>Phiên đã lưu trong secure storage</t>
        </is>
      </c>
      <c r="F47" s="8" t="inlineStr">
        <is>
          <t>Vào thẳng Trang chủ, không hỏi OTP</t>
        </is>
      </c>
      <c r="G47" s="8" t="inlineStr">
        <is>
          <t>Vào thẳng Trang chủ</t>
        </is>
      </c>
      <c r="H47" s="7" t="inlineStr">
        <is>
          <t>Pass</t>
        </is>
      </c>
      <c r="I47" s="8" t="inlineStr">
        <is>
          <t>AC17 · E2E login_new_user_test.dart · evidence/test-e2e.log</t>
        </is>
      </c>
    </row>
    <row r="48" ht="41" customHeight="1">
      <c r="A48" s="7" t="inlineStr">
        <is>
          <t>TC-LOGIN-40</t>
        </is>
      </c>
      <c r="B48" s="7" t="inlineStr">
        <is>
          <t>Đăng xuất rồi mở lại app</t>
        </is>
      </c>
      <c r="C48" s="8" t="inlineStr">
        <is>
          <t>Đang ở Trang chủ</t>
        </is>
      </c>
      <c r="D48" s="8" t="inlineStr">
        <is>
          <t>1. Tab "Hồ sơ" → "Đăng xuất"
2. Khởi động lại app</t>
        </is>
      </c>
      <c r="E48" s="8" t="inlineStr">
        <is>
          <t>Không</t>
        </is>
      </c>
      <c r="F48" s="8" t="inlineStr">
        <is>
          <t>Về màn Đăng nhập; mở lại vẫn ở màn Đăng nhập</t>
        </is>
      </c>
      <c r="G48" s="8" t="inlineStr">
        <is>
          <t>Đúng như mong đợi</t>
        </is>
      </c>
      <c r="H48" s="7" t="inlineStr">
        <is>
          <t>Pass</t>
        </is>
      </c>
      <c r="I48" s="8" t="inlineStr">
        <is>
          <t>AC18 · E2E login_new_user_test.dart · evidence/test-e2e.log</t>
        </is>
      </c>
    </row>
    <row r="49" ht="57.5" customHeight="1">
      <c r="A49" s="7" t="inlineStr">
        <is>
          <t>TC-LOGIN-41</t>
        </is>
      </c>
      <c r="B49" s="7" t="inlineStr">
        <is>
          <t>Nhập mã OTP sai rồi nhập lại mã đúng trên app</t>
        </is>
      </c>
      <c r="C49" s="8" t="inlineStr">
        <is>
          <t>Số thử đã có hồ sơ và consent</t>
        </is>
      </c>
      <c r="D49" s="8" t="inlineStr">
        <is>
          <t>1. Nhập 0900000001, gửi mã
2. Nhập 000000
3. Nhập lại 123456</t>
        </is>
      </c>
      <c r="E49" s="8" t="inlineStr">
        <is>
          <t>000000 rồi 123456</t>
        </is>
      </c>
      <c r="F49" s="8" t="inlineStr">
        <is>
          <t>Sau mã sai: hiện "Mã OTP không đúng hoặc đã hết hạn", vẫn ở màn OTP; sau mã đúng: vào Trang chủ</t>
        </is>
      </c>
      <c r="G49" s="8" t="inlineStr">
        <is>
          <t>Đúng như mong đợi</t>
        </is>
      </c>
      <c r="H49" s="7" t="inlineStr">
        <is>
          <t>Pass</t>
        </is>
      </c>
      <c r="I49" s="8" t="inlineStr">
        <is>
          <t>AC19 · E2E login_errors_test.dart · evidence/test-e2e.log</t>
        </is>
      </c>
    </row>
    <row r="50" ht="74" customHeight="1">
      <c r="A50" s="7" t="inlineStr">
        <is>
          <t>TC-LOGIN-42</t>
        </is>
      </c>
      <c r="B50" s="7" t="inlineStr">
        <is>
          <t>Chạm lại ô OTP sau khi nhập sai để sửa mã</t>
        </is>
      </c>
      <c r="C50" s="8" t="inlineStr">
        <is>
          <t>Như TC-LOGIN-41, đang ở màn OTP sau lần nhập 000000</t>
        </is>
      </c>
      <c r="D50" s="8" t="inlineStr">
        <is>
          <t>1. Chạm vào ô mã OTP
2. Theo dõi request backend nhận được</t>
        </is>
      </c>
      <c r="E50" s="8" t="inlineStr">
        <is>
          <t>Ô đang chứa 000000</t>
        </is>
      </c>
      <c r="F50" s="8" t="inlineStr">
        <is>
          <t>Không gửi xác thực cho tới khi người dùng nhập mã mới đủ 6 số</t>
        </is>
      </c>
      <c r="G50" s="8" t="inlineStr">
        <is>
          <t>Backend nhận thêm một POST /auth/mobile/verify 401 với mã cũ ngay khi chạm ô (chuỗi request: otp 204, verify 401, verify 401, verify 200)</t>
        </is>
      </c>
      <c r="H50" s="7" t="inlineStr">
        <is>
          <t>Fail</t>
        </is>
      </c>
      <c r="I50" s="8" t="inlineStr">
        <is>
          <t>AC19 · Error Guessing (bấm/chạm lặp) · E2E login_errors_test.dart</t>
        </is>
      </c>
    </row>
    <row r="51" ht="74" customHeight="1">
      <c r="A51" s="7" t="inlineStr">
        <is>
          <t>TC-LOGIN-43</t>
        </is>
      </c>
      <c r="B51" s="7" t="inlineStr">
        <is>
          <t>Nhập số điện thoại không hợp lệ trên màn Đăng nhập</t>
        </is>
      </c>
      <c r="C51" s="8" t="inlineStr">
        <is>
          <t>Mở app, chưa đăng nhập, đã tick điều khoản</t>
        </is>
      </c>
      <c r="D51" s="8" t="inlineStr">
        <is>
          <t>1. Nhập abc, bấm "Gửi mã OTP"
2. Nhập 12, bấm "Gửi mã OTP"</t>
        </is>
      </c>
      <c r="E51" s="8" t="inlineStr">
        <is>
          <t>abc | 12</t>
        </is>
      </c>
      <c r="F51" s="8" t="inlineStr">
        <is>
          <t>abc: ô chỉ nhận chữ số nên rỗng → "Vui lòng nhập số điện thoại"; 12: "Số điện thoại không hợp lệ (9-11 chữ số)"; không sang màn OTP</t>
        </is>
      </c>
      <c r="G51" s="8" t="inlineStr">
        <is>
          <t>Đúng như mong đợi</t>
        </is>
      </c>
      <c r="H51" s="7" t="inlineStr">
        <is>
          <t>Pass</t>
        </is>
      </c>
      <c r="I51" s="8" t="inlineStr">
        <is>
          <t>AC20 · EP (14,17) · E2E login_errors_test.dart</t>
        </is>
      </c>
    </row>
    <row r="52" ht="57.5" customHeight="1">
      <c r="A52" s="7" t="inlineStr">
        <is>
          <t>TC-LOGIN-44</t>
        </is>
      </c>
      <c r="B52" s="7" t="inlineStr">
        <is>
          <t>Nhập số điện thoại có khoảng trắng trên app</t>
        </is>
      </c>
      <c r="C52" s="8" t="inlineStr">
        <is>
          <t>Như TC-LOGIN-43</t>
        </is>
      </c>
      <c r="D52" s="8" t="inlineStr">
        <is>
          <t>1. Nhập 0900 000 001
2. Bấm "Gửi mã OTP", nhập 123456</t>
        </is>
      </c>
      <c r="E52" s="8" t="inlineStr">
        <is>
          <t>0900 000 001</t>
        </is>
      </c>
      <c r="F52" s="8" t="inlineStr">
        <is>
          <t>Ô hiển thị "090 000 0001"; đăng nhập vào Trang chủ; DB vẫn 1 dòng users, cùng user_id với TC-LOGIN-38</t>
        </is>
      </c>
      <c r="G52" s="8" t="inlineStr">
        <is>
          <t>Đúng như mong đợi</t>
        </is>
      </c>
      <c r="H52" s="7" t="inlineStr">
        <is>
          <t>Pass</t>
        </is>
      </c>
      <c r="I52" s="8" t="inlineStr">
        <is>
          <t>AC20 · EP (3) · E2E login_errors_test.dart · evidence/test-e2e.log</t>
        </is>
      </c>
    </row>
    <row r="53" ht="90.5" customHeight="1">
      <c r="A53" s="7" t="inlineStr">
        <is>
          <t>TC-LOGIN-45</t>
        </is>
      </c>
      <c r="B53" s="7" t="inlineStr">
        <is>
          <t>Hoàn thiện hồ sơ trên app với họ tên rỗng rồi họ tên là chuỗi injection</t>
        </is>
      </c>
      <c r="C53" s="8" t="inlineStr">
        <is>
          <t>Số thử chưa có hồ sơ (đã có consent)</t>
        </is>
      </c>
      <c r="D53" s="8" t="inlineStr">
        <is>
          <t>1. Đăng nhập, màn Hoàn thiện hồ sơ
2. Chọn ngày sinh, giới tính Nữ, để trống họ tên, bấm "Lưu và tiếp tục"
3. Nhập họ tên '); DROP TABLE users;--, bấm "Lưu và tiếp tục"</t>
        </is>
      </c>
      <c r="E53" s="8" t="inlineStr">
        <is>
          <t>(blank) rồi '); DROP TABLE users;--</t>
        </is>
      </c>
      <c r="F53" s="8" t="inlineStr">
        <is>
          <t>Lần 1: hiện "Vui lòng nhập họ tên", ở lại màn; lần 2: vào Trang chủ; DB lưu nguyên văn chuỗi, bảng users còn, số dòng không giảm</t>
        </is>
      </c>
      <c r="G53" s="8" t="inlineStr">
        <is>
          <t>Đúng như mong đợi</t>
        </is>
      </c>
      <c r="H53" s="7" t="inlineStr">
        <is>
          <t>Pass</t>
        </is>
      </c>
      <c r="I53" s="8" t="inlineStr">
        <is>
          <t>AC20 · EP (9,26) · E2E profile_input_test.dart · evidence/test-e2e.log</t>
        </is>
      </c>
    </row>
    <row r="54" ht="90.5" customHeight="1">
      <c r="A54" s="7" t="inlineStr">
        <is>
          <t>TC-LOGIN-46</t>
        </is>
      </c>
      <c r="B54" s="7" t="inlineStr">
        <is>
          <t>Chạy script E2E khi thiếu điều kiện môi trường</t>
        </is>
      </c>
      <c r="C54" s="8" t="inlineStr">
        <is>
          <t>Không có Supabase local hoặc không có emulator</t>
        </is>
      </c>
      <c r="D54" s="8" t="inlineStr">
        <is>
          <t>1. backend/.venv/Scripts/python.exe tests/e2e/mobile_login/run_e2e.py</t>
        </is>
      </c>
      <c r="E54" s="8" t="inlineStr">
        <is>
          <t>Không</t>
        </is>
      </c>
      <c r="F54" s="8" t="inlineStr">
        <is>
          <t>Thoát mã 2 với "LỖI MÔI TRƯỜNG: …"; không chạy flutter, không báo pass; output không chứa key/token/mật khẩu</t>
        </is>
      </c>
      <c r="G54" s="8" t="inlineStr">
        <is>
          <t>Đúng như mong đợi (unit test test_run_e2e.py, 16 pass)</t>
        </is>
      </c>
      <c r="H54" s="7" t="inlineStr">
        <is>
          <t>Pass</t>
        </is>
      </c>
      <c r="I54" s="8" t="inlineStr">
        <is>
          <t>AC21 · test_main_exits_2_when_environment_missing, test_pick_device_*, test_require_local_*, test_redact_* · evidence/test-tests-unit.log</t>
        </is>
      </c>
    </row>
    <row r="55" ht="74" customHeight="1">
      <c r="A55" s="7" t="inlineStr">
        <is>
          <t>TC-LOGIN-47</t>
        </is>
      </c>
      <c r="B55" s="7" t="inlineStr">
        <is>
          <t>Gõ lại mã OTP bằng bàn phím thật sau khi nhập sai</t>
        </is>
      </c>
      <c r="C55" s="8" t="inlineStr">
        <is>
          <t>Điện thoại hoặc emulator, app nối backend có Supabase; đang ở màn OTP sau khi nhập mã sai</t>
        </is>
      </c>
      <c r="D55" s="8" t="inlineStr">
        <is>
          <t>1. Chạm vào ô mã
2. Xóa mã cũ bằng phím xóa
3. Gõ mã đúng bằng bàn phím</t>
        </is>
      </c>
      <c r="E55" s="8" t="inlineStr">
        <is>
          <t>Mã đúng của số đang dùng</t>
        </is>
      </c>
      <c r="F55" s="8" t="inlineStr">
        <is>
          <t>Mã mới hiện trong ô và app vào Trang chủ</t>
        </is>
      </c>
      <c r="G55" s="8" t="inlineStr"/>
      <c r="H55" s="7" t="inlineStr">
        <is>
          <t>Pending</t>
        </is>
      </c>
      <c r="I55" s="8" t="inlineStr">
        <is>
          <t>AC19 · manual · integration_test không gõ lại được vào ô sau khi app bỏ focus nên E2E đặt mã qua controller</t>
        </is>
      </c>
    </row>
    <row r="56" ht="57.5" customHeight="1">
      <c r="A56" s="7" t="inlineStr">
        <is>
          <t>TC-LOGIN-48</t>
        </is>
      </c>
      <c r="B56" s="7" t="inlineStr">
        <is>
          <t>Tắt hẳn app (force stop) rồi mở lại khi còn phiên</t>
        </is>
      </c>
      <c r="C56" s="8" t="inlineStr">
        <is>
          <t>Đã đăng nhập trên thiết bị</t>
        </is>
      </c>
      <c r="D56" s="8" t="inlineStr">
        <is>
          <t>1. Cài đặt → Ứng dụng → DrugTime → Buộc dừng
2. Mở lại app từ màn hình chính</t>
        </is>
      </c>
      <c r="E56" s="8" t="inlineStr">
        <is>
          <t>Không</t>
        </is>
      </c>
      <c r="F56" s="8" t="inlineStr">
        <is>
          <t>Vào thẳng Trang chủ, không hỏi OTP</t>
        </is>
      </c>
      <c r="G56" s="8" t="inlineStr"/>
      <c r="H56" s="7" t="inlineStr">
        <is>
          <t>Pending</t>
        </is>
      </c>
      <c r="I56" s="8" t="inlineStr">
        <is>
          <t>AC17 · manual · integration_test chỉ dựng lại app trong cùng tiến trình</t>
        </is>
      </c>
    </row>
    <row r="57"/>
    <row r="58"/>
    <row r="59">
      <c r="G59" s="12" t="inlineStr">
        <is>
          <t>Pass</t>
        </is>
      </c>
      <c r="H59" s="13">
        <f>COUNTIF(H9:H56,"Pass")</f>
        <v/>
      </c>
    </row>
    <row r="60">
      <c r="G60" s="12" t="inlineStr">
        <is>
          <t>Fail</t>
        </is>
      </c>
      <c r="H60" s="13">
        <f>COUNTIF(H9:H56,"Fail")</f>
        <v/>
      </c>
    </row>
    <row r="61">
      <c r="G61" s="12" t="inlineStr">
        <is>
          <t>Pending</t>
        </is>
      </c>
      <c r="H61" s="13">
        <f>COUNTIF(H9:H56,"Pending")</f>
        <v/>
      </c>
    </row>
    <row r="62">
      <c r="G62" s="12" t="inlineStr">
        <is>
          <t>Total</t>
        </is>
      </c>
      <c r="H62" s="13">
        <f>SUM(H59:H61)</f>
        <v/>
      </c>
    </row>
  </sheetData>
  <autoFilter ref="A8:I56"/>
  <conditionalFormatting sqref="H9:H56">
    <cfRule type="cellIs" priority="1" operator="equal" dxfId="0">
      <formula>"Fail"</formula>
    </cfRule>
  </conditionalFormatting>
  <dataValidations count="1">
    <dataValidation sqref="H9:H56" showDropDown="0" showInputMessage="0" showErrorMessage="0" allowBlank="0" type="list">
      <formula1>"Pass,Fail,Pending"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4"/>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s>
  <sheetData>
    <row r="1">
      <c r="A1" s="1" t="inlineStr">
        <is>
          <t>Project Name</t>
        </is>
      </c>
      <c r="B1" s="2" t="inlineStr">
        <is>
          <t>DrugTime</t>
        </is>
      </c>
    </row>
    <row r="2">
      <c r="A2" s="1" t="inlineStr">
        <is>
          <t>Module Name</t>
        </is>
      </c>
      <c r="B2" s="2" t="inlineStr">
        <is>
          <t>Quản lý lịch uống thuốc (SCHED)</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Kết quả thao tác ghi lịch theo trạng thái thuốc</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row>
    <row r="9" ht="74" customHeight="1">
      <c r="A9" s="7" t="inlineStr">
        <is>
          <t>TC-SCHED-01</t>
        </is>
      </c>
      <c r="B9" s="7" t="inlineStr">
        <is>
          <t>Thêm giờ uống 12:00 cho thuốc theo giờ</t>
        </is>
      </c>
      <c r="C9" s="8" t="inlineStr">
        <is>
          <t>Người bệnh P có consent health_data; thuốc X có lịch 08:00, 20:00 cả tuần</t>
        </is>
      </c>
      <c r="D9" s="8" t="inlineStr">
        <is>
          <t>1. POST /medications/{X}/schedules với body
2. Đọc lịch của X trong DB</t>
        </is>
      </c>
      <c r="E9" s="8" t="inlineStr">
        <is>
          <t>{"intake_time": "12:00"}</t>
        </is>
      </c>
      <c r="F9" s="8" t="inlineStr">
        <is>
          <t>201; schedules 08:00, 12:00, 20:00; lịch mới cả tuần, reminder_enabled true, effective_from = thời điểm request; doses_per_day = 3; 08:00, 20:00 giữ id</t>
        </is>
      </c>
      <c r="G9" s="8" t="inlineStr">
        <is>
          <t>201, đúng như kỳ vọng</t>
        </is>
      </c>
      <c r="H9" s="7" t="inlineStr">
        <is>
          <t>Pass</t>
        </is>
      </c>
      <c r="I9" s="8" t="inlineStr">
        <is>
          <t>AC1 · EP (1) · Decision Table (R5) · test_add_schedule__AC1[None]</t>
        </is>
      </c>
      <c r="K9" s="9" t="inlineStr">
        <is>
          <t>intake_time</t>
        </is>
      </c>
      <c r="L9" s="10" t="inlineStr">
        <is>
          <t>HH:MM 24 giờ, chưa có lịch mở cùng giờ</t>
        </is>
      </c>
      <c r="M9" s="10" t="inlineStr">
        <is>
          <t>1</t>
        </is>
      </c>
      <c r="N9" s="10" t="inlineStr">
        <is>
          <t>Thiếu
Sai định dạng (8:00, 7h, 24:00, 12:60)
Trùng giờ một lịch đang mở khác</t>
        </is>
      </c>
      <c r="O9" s="10" t="inlineStr">
        <is>
          <t>7
8
9</t>
        </is>
      </c>
      <c r="Q9" s="10" t="inlineStr">
        <is>
          <t>Thuốc đã ngừng?</t>
        </is>
      </c>
      <c r="R9" s="11" t="inlineStr">
        <is>
          <t>Yes</t>
        </is>
      </c>
      <c r="S9" s="11" t="inlineStr">
        <is>
          <t>No</t>
        </is>
      </c>
      <c r="T9" s="11" t="inlineStr">
        <is>
          <t>No</t>
        </is>
      </c>
      <c r="U9" s="11" t="inlineStr">
        <is>
          <t>No</t>
        </is>
      </c>
      <c r="V9" s="11" t="inlineStr">
        <is>
          <t>No</t>
        </is>
      </c>
    </row>
    <row r="10" ht="74" customHeight="1">
      <c r="A10" s="7" t="inlineStr">
        <is>
          <t>TC-SCHED-02</t>
        </is>
      </c>
      <c r="B10" s="7" t="inlineStr">
        <is>
          <t>Thêm giờ uống tắt nhắc</t>
        </is>
      </c>
      <c r="C10" s="8" t="inlineStr">
        <is>
          <t>Như TC-SCHED-01</t>
        </is>
      </c>
      <c r="D10" s="8" t="inlineStr">
        <is>
          <t>1. POST /medications/{X}/schedules với body</t>
        </is>
      </c>
      <c r="E10" s="8" t="inlineStr">
        <is>
          <t>{"intake_time": "12:00", "reminder_enabled": false}</t>
        </is>
      </c>
      <c r="F10" s="8" t="inlineStr">
        <is>
          <t>201; lịch 12:00 có reminder_enabled false</t>
        </is>
      </c>
      <c r="G10" s="8" t="inlineStr">
        <is>
          <t>201, reminder_enabled false</t>
        </is>
      </c>
      <c r="H10" s="7" t="inlineStr">
        <is>
          <t>Pass</t>
        </is>
      </c>
      <c r="I10" s="8" t="inlineStr">
        <is>
          <t>AC1 · EP (2) · test_add_schedule__AC1[False]</t>
        </is>
      </c>
      <c r="K10" s="9" t="inlineStr">
        <is>
          <t>reminder_enabled</t>
        </is>
      </c>
      <c r="L10" s="10" t="inlineStr">
        <is>
          <t>true
false
Không gửi (mặc định true khi thêm)</t>
        </is>
      </c>
      <c r="M10" s="10" t="inlineStr">
        <is>
          <t>2
3
4</t>
        </is>
      </c>
      <c r="N10" s="10" t="inlineStr">
        <is>
          <t>Chuỗi "false"
null hoặc số 0</t>
        </is>
      </c>
      <c r="O10" s="10" t="inlineStr">
        <is>
          <t>10
11</t>
        </is>
      </c>
      <c r="Q10" s="10" t="inlineStr">
        <is>
          <t>Thuốc as_needed?</t>
        </is>
      </c>
      <c r="R10" s="11" t="inlineStr">
        <is>
          <t>-</t>
        </is>
      </c>
      <c r="S10" s="11" t="inlineStr">
        <is>
          <t>Yes</t>
        </is>
      </c>
      <c r="T10" s="11" t="inlineStr">
        <is>
          <t>No</t>
        </is>
      </c>
      <c r="U10" s="11" t="inlineStr">
        <is>
          <t>No</t>
        </is>
      </c>
      <c r="V10" s="11" t="inlineStr">
        <is>
          <t>No</t>
        </is>
      </c>
    </row>
    <row r="11" ht="74" customHeight="1">
      <c r="A11" s="7" t="inlineStr">
        <is>
          <t>TC-SCHED-03</t>
        </is>
      </c>
      <c r="B11" s="7" t="inlineStr">
        <is>
          <t>Thêm giờ trùng một lịch đang mở</t>
        </is>
      </c>
      <c r="C11" s="8" t="inlineStr">
        <is>
          <t>Như TC-SCHED-01</t>
        </is>
      </c>
      <c r="D11" s="8" t="inlineStr">
        <is>
          <t>1. POST /medications/{X}/schedules với body
2. So dữ liệu thuốc, lịch trước và sau</t>
        </is>
      </c>
      <c r="E11" s="8" t="inlineStr">
        <is>
          <t>{"intake_time": "08:00"}</t>
        </is>
      </c>
      <c r="F11" s="8" t="inlineStr">
        <is>
          <t>422 {"detail": "schedule_time_conflict"}; không ghi gì</t>
        </is>
      </c>
      <c r="G11" s="8" t="inlineStr">
        <is>
          <t>422 schedule_time_conflict; DB không đổi</t>
        </is>
      </c>
      <c r="H11" s="7" t="inlineStr">
        <is>
          <t>Pass</t>
        </is>
      </c>
      <c r="I11" s="8" t="inlineStr">
        <is>
          <t>AC2 · EP (5) · Decision Table (R3) · test_add_schedule_rejected_writes_nothing__AC2</t>
        </is>
      </c>
      <c r="K11" s="9" t="inlineStr">
        <is>
          <t>days_of_week (PATCH /medications/{id})</t>
        </is>
      </c>
      <c r="L11" s="10" t="inlineStr">
        <is>
          <t>1–7 phần tử, giá trị 1..7, không trùng</t>
        </is>
      </c>
      <c r="M11" s="10" t="inlineStr">
        <is>
          <t>5</t>
        </is>
      </c>
      <c r="N11" s="10" t="inlineStr">
        <is>
          <t>Mảng rỗng
Giá trị ngoài 1..7
Phần tử trùng
Gửi cho thuốc as_needed</t>
        </is>
      </c>
      <c r="O11" s="10" t="inlineStr">
        <is>
          <t>12
13
14
15</t>
        </is>
      </c>
      <c r="Q11" s="10" t="inlineStr">
        <is>
          <t>Trùng giờ lịch mở?</t>
        </is>
      </c>
      <c r="R11" s="11" t="inlineStr">
        <is>
          <t>-</t>
        </is>
      </c>
      <c r="S11" s="11" t="inlineStr">
        <is>
          <t>-</t>
        </is>
      </c>
      <c r="T11" s="11" t="inlineStr">
        <is>
          <t>Yes</t>
        </is>
      </c>
      <c r="U11" s="11" t="inlineStr">
        <is>
          <t>No</t>
        </is>
      </c>
      <c r="V11" s="11" t="inlineStr">
        <is>
          <t>No</t>
        </is>
      </c>
    </row>
    <row r="12" ht="74" customHeight="1">
      <c r="A12" s="7" t="inlineStr">
        <is>
          <t>TC-SCHED-04</t>
        </is>
      </c>
      <c r="B12" s="7" t="inlineStr">
        <is>
          <t>Thêm giờ với body sai cấu trúc</t>
        </is>
      </c>
      <c r="C12" s="8" t="inlineStr">
        <is>
          <t>Như TC-SCHED-01</t>
        </is>
      </c>
      <c r="D12" s="8" t="inlineStr">
        <is>
          <t>1. Gửi lần lượt từng body tới POST /medications/{X}/schedules</t>
        </is>
      </c>
      <c r="E12" s="8" t="inlineStr">
        <is>
          <t>{} ; {"intake_time": "24:00"} ; {"intake_time": "08:00", "days_of_week": [1]} ; {"intake_time": "09:00", "foo": 1}</t>
        </is>
      </c>
      <c r="F12" s="8" t="inlineStr">
        <is>
          <t>422, detail là mảng lỗi theo field; không ghi gì</t>
        </is>
      </c>
      <c r="G12" s="8" t="inlineStr">
        <is>
          <t>422 mảng lỗi cho cả 4 body; DB không đổi</t>
        </is>
      </c>
      <c r="H12" s="7" t="inlineStr">
        <is>
          <t>Pass</t>
        </is>
      </c>
      <c r="I12" s="8" t="inlineStr">
        <is>
          <t>AC2 · EP (3,4) · test_add_schedule_rejected_writes_nothing__AC2</t>
        </is>
      </c>
      <c r="K12" s="9" t="inlineStr">
        <is>
          <t>schedule_id</t>
        </is>
      </c>
      <c r="L12" s="10" t="inlineStr">
        <is>
          <t>Lịch đang mở của đúng thuốc</t>
        </is>
      </c>
      <c r="M12" s="10" t="inlineStr">
        <is>
          <t>6</t>
        </is>
      </c>
      <c r="N12" s="10" t="inlineStr">
        <is>
          <t>Lịch đã đóng
Lịch của thuốc khác
Id không tồn tại</t>
        </is>
      </c>
      <c r="O12" s="10" t="inlineStr">
        <is>
          <t>16
17
18</t>
        </is>
      </c>
      <c r="Q12" s="10" t="inlineStr">
        <is>
          <t>Đã có 6 lịch mở?</t>
        </is>
      </c>
      <c r="R12" s="11" t="inlineStr">
        <is>
          <t>-</t>
        </is>
      </c>
      <c r="S12" s="11" t="inlineStr">
        <is>
          <t>-</t>
        </is>
      </c>
      <c r="T12" s="11" t="inlineStr">
        <is>
          <t>-</t>
        </is>
      </c>
      <c r="U12" s="11" t="inlineStr">
        <is>
          <t>Yes</t>
        </is>
      </c>
      <c r="V12" s="11" t="inlineStr">
        <is>
          <t>No</t>
        </is>
      </c>
    </row>
    <row r="13" ht="41" customHeight="1">
      <c r="A13" s="7" t="inlineStr">
        <is>
          <t>TC-SCHED-BVA-01</t>
        </is>
      </c>
      <c r="B13" s="7" t="inlineStr">
        <is>
          <t>Thêm giờ ở biên dưới và trên của ngày</t>
        </is>
      </c>
      <c r="C13" s="8" t="inlineStr">
        <is>
          <t>Thuốc có lịch 12:00</t>
        </is>
      </c>
      <c r="D13" s="8" t="inlineStr">
        <is>
          <t>1. POST /medications/{X}/schedules với 00:00
2. Lặp lại với thuốc khác và 23:59</t>
        </is>
      </c>
      <c r="E13" s="8" t="inlineStr">
        <is>
          <t>00:00 ; 23:59</t>
        </is>
      </c>
      <c r="F13" s="8" t="inlineStr">
        <is>
          <t>201 cả hai</t>
        </is>
      </c>
      <c r="G13" s="8" t="inlineStr">
        <is>
          <t>201 cả hai (evidence/testcase-bva-manual.log)</t>
        </is>
      </c>
      <c r="H13" s="7" t="inlineStr">
        <is>
          <t>Pass</t>
        </is>
      </c>
      <c r="I13" s="8" t="inlineStr">
        <is>
          <t>AC1 · BVA (min, max) · manual (scratch/bva_check.py)</t>
        </is>
      </c>
      <c r="Q13" s="6" t="inlineStr">
        <is>
          <t>Action</t>
        </is>
      </c>
      <c r="R13" s="5" t="inlineStr">
        <is>
          <t>R1</t>
        </is>
      </c>
      <c r="S13" s="5" t="inlineStr">
        <is>
          <t>R2</t>
        </is>
      </c>
      <c r="T13" s="5" t="inlineStr">
        <is>
          <t>R3</t>
        </is>
      </c>
      <c r="U13" s="5" t="inlineStr">
        <is>
          <t>R4</t>
        </is>
      </c>
      <c r="V13" s="5" t="inlineStr">
        <is>
          <t>R5</t>
        </is>
      </c>
    </row>
    <row r="14" ht="74" customHeight="1">
      <c r="A14" s="7" t="inlineStr">
        <is>
          <t>TC-SCHED-BVA-02</t>
        </is>
      </c>
      <c r="B14" s="7" t="inlineStr">
        <is>
          <t>Thêm giờ ở biên trên + 1</t>
        </is>
      </c>
      <c r="C14" s="8" t="inlineStr">
        <is>
          <t>Như TC-SCHED-01</t>
        </is>
      </c>
      <c r="D14" s="8" t="inlineStr">
        <is>
          <t>1. POST /medications/{X}/schedules</t>
        </is>
      </c>
      <c r="E14" s="8" t="inlineStr">
        <is>
          <t>{"intake_time": "24:00"}</t>
        </is>
      </c>
      <c r="F14" s="8" t="inlineStr">
        <is>
          <t>422 mảng lỗi</t>
        </is>
      </c>
      <c r="G14" s="8" t="inlineStr">
        <is>
          <t>422 mảng lỗi</t>
        </is>
      </c>
      <c r="H14" s="7" t="inlineStr">
        <is>
          <t>Pass</t>
        </is>
      </c>
      <c r="I14" s="8" t="inlineStr">
        <is>
          <t>AC2 · BVA (max+1) · test_add_schedule_rejected_writes_nothing__AC2; test_schedule_structural_errors_422_array</t>
        </is>
      </c>
      <c r="Q14" s="10" t="inlineStr">
        <is>
          <t>422 medication_stopped</t>
        </is>
      </c>
      <c r="R14" s="11" t="inlineStr">
        <is>
          <t>X</t>
        </is>
      </c>
      <c r="S14" s="11" t="inlineStr"/>
      <c r="T14" s="11" t="inlineStr"/>
      <c r="U14" s="11" t="inlineStr"/>
      <c r="V14" s="11" t="inlineStr"/>
    </row>
    <row r="15" ht="41" customHeight="1">
      <c r="A15" s="7" t="inlineStr">
        <is>
          <t>TC-SCHED-BVA-03</t>
        </is>
      </c>
      <c r="B15" s="7" t="inlineStr">
        <is>
          <t>Thêm lịch thứ 6 (biên trên số lịch)</t>
        </is>
      </c>
      <c r="C15" s="8" t="inlineStr">
        <is>
          <t>Thuốc có 5 lịch mở</t>
        </is>
      </c>
      <c r="D15" s="8" t="inlineStr">
        <is>
          <t>1. POST /medications/{X}/schedules 16:00</t>
        </is>
      </c>
      <c r="E15" s="8" t="inlineStr">
        <is>
          <t>{"intake_time": "16:00"}</t>
        </is>
      </c>
      <c r="F15" s="8" t="inlineStr">
        <is>
          <t>201; doses_per_day = 6</t>
        </is>
      </c>
      <c r="G15" s="8" t="inlineStr">
        <is>
          <t>201; doses_per_day 6 (evidence/testcase-bva-manual.log)</t>
        </is>
      </c>
      <c r="H15" s="7" t="inlineStr">
        <is>
          <t>Pass</t>
        </is>
      </c>
      <c r="I15" s="8" t="inlineStr">
        <is>
          <t>AC2 · BVA (max) · manual (scratch/bva_check.py)</t>
        </is>
      </c>
      <c r="Q15" s="10" t="inlineStr">
        <is>
          <t>422 medication_rule_violation</t>
        </is>
      </c>
      <c r="R15" s="11" t="inlineStr"/>
      <c r="S15" s="11" t="inlineStr">
        <is>
          <t>X</t>
        </is>
      </c>
      <c r="T15" s="11" t="inlineStr"/>
      <c r="U15" s="11" t="inlineStr"/>
      <c r="V15" s="11" t="inlineStr"/>
    </row>
    <row r="16" ht="57.5" customHeight="1">
      <c r="A16" s="7" t="inlineStr">
        <is>
          <t>TC-SCHED-BVA-04</t>
        </is>
      </c>
      <c r="B16" s="7" t="inlineStr">
        <is>
          <t>Thêm lịch thứ 7 (biên trên + 1)</t>
        </is>
      </c>
      <c r="C16" s="8" t="inlineStr">
        <is>
          <t>Thuốc có 6 lịch mở</t>
        </is>
      </c>
      <c r="D16" s="8" t="inlineStr">
        <is>
          <t>1. POST /medications/{X}/schedules 18:00</t>
        </is>
      </c>
      <c r="E16" s="8" t="inlineStr">
        <is>
          <t>{"intake_time": "18:00"}</t>
        </is>
      </c>
      <c r="F16" s="8" t="inlineStr">
        <is>
          <t>422 {"detail": "schedule_limit_reached"}; không ghi gì</t>
        </is>
      </c>
      <c r="G16" s="8" t="inlineStr">
        <is>
          <t>422 schedule_limit_reached; lịch không đổi</t>
        </is>
      </c>
      <c r="H16" s="7" t="inlineStr">
        <is>
          <t>Pass</t>
        </is>
      </c>
      <c r="I16" s="8" t="inlineStr">
        <is>
          <t>AC2 · BVA (max+1) · Decision Table (R4) · test_add_schedule_limit_reached__AC2</t>
        </is>
      </c>
      <c r="Q16" s="10" t="inlineStr">
        <is>
          <t>422 schedule_time_conflict</t>
        </is>
      </c>
      <c r="R16" s="11" t="inlineStr"/>
      <c r="S16" s="11" t="inlineStr"/>
      <c r="T16" s="11" t="inlineStr">
        <is>
          <t>X</t>
        </is>
      </c>
      <c r="U16" s="11" t="inlineStr"/>
      <c r="V16" s="11" t="inlineStr"/>
    </row>
    <row r="17" ht="57.5" customHeight="1">
      <c r="A17" s="7" t="inlineStr">
        <is>
          <t>TC-SCHED-05</t>
        </is>
      </c>
      <c r="B17" s="7" t="inlineStr">
        <is>
          <t>Thêm giờ cho thuốc dùng khi cần</t>
        </is>
      </c>
      <c r="C17" s="8" t="inlineStr">
        <is>
          <t>Thuốc W as_needed</t>
        </is>
      </c>
      <c r="D17" s="8" t="inlineStr">
        <is>
          <t>1. POST /medications/{W}/schedules</t>
        </is>
      </c>
      <c r="E17" s="8" t="inlineStr">
        <is>
          <t>{"intake_time": "08:00"}</t>
        </is>
      </c>
      <c r="F17" s="8" t="inlineStr">
        <is>
          <t>422 {"detail": "medication_rule_violation"}; không có lịch</t>
        </is>
      </c>
      <c r="G17" s="8" t="inlineStr">
        <is>
          <t>422 medication_rule_violation</t>
        </is>
      </c>
      <c r="H17" s="7" t="inlineStr">
        <is>
          <t>Pass</t>
        </is>
      </c>
      <c r="I17" s="8" t="inlineStr">
        <is>
          <t>AC2 · Decision Table (R2) · test_add_schedule_as_needed_422__AC2</t>
        </is>
      </c>
      <c r="Q17" s="10" t="inlineStr">
        <is>
          <t>422 schedule_limit_reached</t>
        </is>
      </c>
      <c r="R17" s="11" t="inlineStr"/>
      <c r="S17" s="11" t="inlineStr"/>
      <c r="T17" s="11" t="inlineStr"/>
      <c r="U17" s="11" t="inlineStr">
        <is>
          <t>X</t>
        </is>
      </c>
      <c r="V17" s="11" t="inlineStr"/>
    </row>
    <row r="18" ht="57.5" customHeight="1">
      <c r="A18" s="7" t="inlineStr">
        <is>
          <t>TC-SCHED-06</t>
        </is>
      </c>
      <c r="B18" s="7" t="inlineStr">
        <is>
          <t>Ghi lịch của thuốc đã ngừng</t>
        </is>
      </c>
      <c r="C18" s="8" t="inlineStr">
        <is>
          <t>Thuốc X đã ngừng (PATCH stopped true)</t>
        </is>
      </c>
      <c r="D18" s="8" t="inlineStr">
        <is>
          <t>1. POST /medications/{X}/schedules
2. PATCH /medications/{X}/schedules/{S1}
3. DELETE /medications/{X}/schedules/{S1}</t>
        </is>
      </c>
      <c r="E18" s="8" t="inlineStr">
        <is>
          <t>12:00 ; {"intake_time": "07:00"} ; (blank)</t>
        </is>
      </c>
      <c r="F18" s="8" t="inlineStr">
        <is>
          <t>Cả ba 422 {"detail": "medication_stopped"}; không ghi gì</t>
        </is>
      </c>
      <c r="G18" s="8" t="inlineStr">
        <is>
          <t>422 medication_stopped cả ba; DB không đổi</t>
        </is>
      </c>
      <c r="H18" s="7" t="inlineStr">
        <is>
          <t>Pass</t>
        </is>
      </c>
      <c r="I18" s="8" t="inlineStr">
        <is>
          <t>AC8 · Decision Table (R1) · test_stopped_medication_schedule_writes_422__AC8</t>
        </is>
      </c>
      <c r="Q18" s="10" t="inlineStr">
        <is>
          <t>201, thêm lịch</t>
        </is>
      </c>
      <c r="R18" s="11" t="inlineStr"/>
      <c r="S18" s="11" t="inlineStr"/>
      <c r="T18" s="11" t="inlineStr"/>
      <c r="U18" s="11" t="inlineStr"/>
      <c r="V18" s="11" t="inlineStr">
        <is>
          <t>X</t>
        </is>
      </c>
    </row>
    <row r="19" ht="74" customHeight="1">
      <c r="A19" s="7" t="inlineStr">
        <is>
          <t>TC-SCHED-07</t>
        </is>
      </c>
      <c r="B19" s="7" t="inlineStr">
        <is>
          <t>Đổi giờ một lịch, lịch cũ đóng chứ không xoá</t>
        </is>
      </c>
      <c r="C19" s="8" t="inlineStr">
        <is>
          <t>X có S1 08:00, S2 20:00; một liều quá khứ trỏ S1</t>
        </is>
      </c>
      <c r="D19" s="8" t="inlineStr">
        <is>
          <t>1. PATCH /medications/{X}/schedules/{S1}
2. Đọc lịch và dose_logs trong DB</t>
        </is>
      </c>
      <c r="E19" s="8" t="inlineStr">
        <is>
          <t>{"intake_time": "07:00"}</t>
        </is>
      </c>
      <c r="F19" s="8" t="inlineStr">
        <is>
          <t>200; S1 có ended_at, vẫn còn dòng; lịch 07:00 id mới, effective_from = ended_at(S1), giữ ngày và nhắc; S2 không đổi; doses_per_day 2; liều cũ vẫn trỏ S1</t>
        </is>
      </c>
      <c r="G19" s="8" t="inlineStr">
        <is>
          <t>200, đúng như kỳ vọng</t>
        </is>
      </c>
      <c r="H19" s="7" t="inlineStr">
        <is>
          <t>Pass</t>
        </is>
      </c>
      <c r="I19" s="8" t="inlineStr">
        <is>
          <t>AC3 · test_edit_time_versions_schedule_and_keeps_dose_logs__AC3</t>
        </is>
      </c>
    </row>
    <row r="20" ht="57.5" customHeight="1">
      <c r="A20" s="7" t="inlineStr">
        <is>
          <t>TC-SCHED-08</t>
        </is>
      </c>
      <c r="B20" s="7" t="inlineStr">
        <is>
          <t>Tắt rồi bật nhắc một giờ</t>
        </is>
      </c>
      <c r="C20" s="8" t="inlineStr">
        <is>
          <t>Như TC-SCHED-07</t>
        </is>
      </c>
      <c r="D20" s="8" t="inlineStr">
        <is>
          <t>1. PATCH S1 reminder_enabled false
2. PATCH lịch mới reminder_enabled true</t>
        </is>
      </c>
      <c r="E20" s="8" t="inlineStr">
        <is>
          <t>{"reminder_enabled": false} ; {"reminder_enabled": true}</t>
        </is>
      </c>
      <c r="F20" s="8" t="inlineStr">
        <is>
          <t>Mỗi lần 200, đóng lịch cũ và tạo lịch 08:00 id mới với trạng thái nhắc mới; luôn còn 2 lịch mở</t>
        </is>
      </c>
      <c r="G20" s="8" t="inlineStr">
        <is>
          <t>200 cả hai; 2 lịch mở, 4 dòng lịch</t>
        </is>
      </c>
      <c r="H20" s="7" t="inlineStr">
        <is>
          <t>Pass</t>
        </is>
      </c>
      <c r="I20" s="8" t="inlineStr">
        <is>
          <t>AC4 · EP (1,2) · test_toggle_reminder_versions_schedule__AC4</t>
        </is>
      </c>
    </row>
    <row r="21" ht="57.5" customHeight="1">
      <c r="A21" s="7" t="inlineStr">
        <is>
          <t>TC-SCHED-09</t>
        </is>
      </c>
      <c r="B21" s="7" t="inlineStr">
        <is>
          <t>Sửa lịch với giá trị giống hiện tại</t>
        </is>
      </c>
      <c r="C21" s="8" t="inlineStr">
        <is>
          <t>S2 20:00 nhắc bật</t>
        </is>
      </c>
      <c r="D21" s="8" t="inlineStr">
        <is>
          <t>1. PATCH /medications/{X}/schedules/{S2} với từng body</t>
        </is>
      </c>
      <c r="E21" s="8" t="inlineStr">
        <is>
          <t>{"reminder_enabled": true} ; {"intake_time": "20:00"} ; cả hai</t>
        </is>
      </c>
      <c r="F21" s="8" t="inlineStr">
        <is>
          <t>200; S2 giữ id; DB không đổi</t>
        </is>
      </c>
      <c r="G21" s="8" t="inlineStr">
        <is>
          <t>200; DB không đổi</t>
        </is>
      </c>
      <c r="H21" s="7" t="inlineStr">
        <is>
          <t>Pass</t>
        </is>
      </c>
      <c r="I21" s="8" t="inlineStr">
        <is>
          <t>AC4 · test_edit_same_values_noop__AC4</t>
        </is>
      </c>
    </row>
    <row r="22" ht="74" customHeight="1">
      <c r="A22" s="7" t="inlineStr">
        <is>
          <t>TC-SCHED-10</t>
        </is>
      </c>
      <c r="B22" s="7" t="inlineStr">
        <is>
          <t>Sửa lịch sang giờ trùng lịch khác hoặc body sai</t>
        </is>
      </c>
      <c r="C22" s="8" t="inlineStr">
        <is>
          <t>Như TC-SCHED-07</t>
        </is>
      </c>
      <c r="D22" s="8" t="inlineStr">
        <is>
          <t>1. PATCH /medications/{X}/schedules/{S1} với từng body</t>
        </is>
      </c>
      <c r="E22" s="8" t="inlineStr">
        <is>
          <t>{"intake_time": "20:00"} ; {} ; {"intake_time": "7h"} ; {"reminder_enabled": false, "x": 1}</t>
        </is>
      </c>
      <c r="F22" s="8" t="inlineStr">
        <is>
          <t>422 (schedule_time_conflict cho body đầu, mảng lỗi cho phần còn lại); không ghi gì</t>
        </is>
      </c>
      <c r="G22" s="8" t="inlineStr">
        <is>
          <t>Đúng như kỳ vọng</t>
        </is>
      </c>
      <c r="H22" s="7" t="inlineStr">
        <is>
          <t>Pass</t>
        </is>
      </c>
      <c r="I22" s="8" t="inlineStr">
        <is>
          <t>AC5 · EP (5,3) · test_edit_invalid_writes_nothing__AC5</t>
        </is>
      </c>
    </row>
    <row r="23" ht="74" customHeight="1">
      <c r="A23" s="7" t="inlineStr">
        <is>
          <t>TC-SCHED-11</t>
        </is>
      </c>
      <c r="B23" s="7" t="inlineStr">
        <is>
          <t>Sửa hoặc hủy lịch đã đóng, lịch thuốc khác, id không tồn tại</t>
        </is>
      </c>
      <c r="C23" s="8" t="inlineStr">
        <is>
          <t>S1 đã bị thay (sau TC-SCHED-07); P có thuốc khác Y</t>
        </is>
      </c>
      <c r="D23" s="8" t="inlineStr">
        <is>
          <t>1. PATCH và DELETE /medications/{X}/schedules/{id} với từng id</t>
        </is>
      </c>
      <c r="E23" s="8" t="inlineStr">
        <is>
          <t>S1 (đã đóng) ; lịch của Y ; 4611686018427387904</t>
        </is>
      </c>
      <c r="F23" s="8" t="inlineStr">
        <is>
          <t>404 {"detail": "medication_schedule_not_found"}; không lịch nào đổi</t>
        </is>
      </c>
      <c r="G23" s="8" t="inlineStr">
        <is>
          <t>404 cả 6 lần; DB không đổi</t>
        </is>
      </c>
      <c r="H23" s="7" t="inlineStr">
        <is>
          <t>Pass</t>
        </is>
      </c>
      <c r="I23" s="8" t="inlineStr">
        <is>
          <t>AC6 · EP (schedule_id: không hợp lệ) · test_closed_or_foreign_schedule_404_changes_nothing__AC6</t>
        </is>
      </c>
    </row>
    <row r="24" ht="41" customHeight="1">
      <c r="A24" s="7" t="inlineStr">
        <is>
          <t>TC-SCHED-12</t>
        </is>
      </c>
      <c r="B24" s="7" t="inlineStr">
        <is>
          <t>Hủy một giờ uống</t>
        </is>
      </c>
      <c r="C24" s="8" t="inlineStr">
        <is>
          <t>X có S1, S2</t>
        </is>
      </c>
      <c r="D24" s="8" t="inlineStr">
        <is>
          <t>1. DELETE /medications/{X}/schedules/{S2}
2. GET /medications/{X}</t>
        </is>
      </c>
      <c r="E24" s="8" t="inlineStr">
        <is>
          <t>(blank)</t>
        </is>
      </c>
      <c r="F24" s="8" t="inlineStr">
        <is>
          <t>200; schedules chỉ còn S1; S2 có ended_at; doses_per_day 1; liều không đổi</t>
        </is>
      </c>
      <c r="G24" s="8" t="inlineStr">
        <is>
          <t>200, đúng như kỳ vọng</t>
        </is>
      </c>
      <c r="H24" s="7" t="inlineStr">
        <is>
          <t>Pass</t>
        </is>
      </c>
      <c r="I24" s="8" t="inlineStr">
        <is>
          <t>AC7 · test_remove_schedule__AC7</t>
        </is>
      </c>
    </row>
    <row r="25" ht="41" customHeight="1">
      <c r="A25" s="7" t="inlineStr">
        <is>
          <t>TC-SCHED-13</t>
        </is>
      </c>
      <c r="B25" s="7" t="inlineStr">
        <is>
          <t>Hủy lịch mở cuối cùng</t>
        </is>
      </c>
      <c r="C25" s="8" t="inlineStr">
        <is>
          <t>X chỉ còn S1</t>
        </is>
      </c>
      <c r="D25" s="8" t="inlineStr">
        <is>
          <t>1. DELETE /medications/{X}/schedules/{S1}</t>
        </is>
      </c>
      <c r="E25" s="8" t="inlineStr">
        <is>
          <t>(blank)</t>
        </is>
      </c>
      <c r="F25" s="8" t="inlineStr">
        <is>
          <t>422 {"detail": "last_schedule_not_removable"}; lịch vẫn mở</t>
        </is>
      </c>
      <c r="G25" s="8" t="inlineStr">
        <is>
          <t>422 last_schedule_not_removable</t>
        </is>
      </c>
      <c r="H25" s="7" t="inlineStr">
        <is>
          <t>Pass</t>
        </is>
      </c>
      <c r="I25" s="8" t="inlineStr">
        <is>
          <t>AC8 · test_remove_last_schedule_422__AC8</t>
        </is>
      </c>
    </row>
    <row r="26" ht="74" customHeight="1">
      <c r="A26" s="7" t="inlineStr">
        <is>
          <t>TC-SCHED-14</t>
        </is>
      </c>
      <c r="B26" s="7" t="inlineStr">
        <is>
          <t>Đổi ngày uống trong tuần</t>
        </is>
      </c>
      <c r="C26" s="8" t="inlineStr">
        <is>
          <t>X có S1 08:00 nhắc bật, S2 20:00 nhắc tắt</t>
        </is>
      </c>
      <c r="D26" s="8" t="inlineStr">
        <is>
          <t>1. PATCH /medications/{X}
2. Gửi lại cùng ngày
3. PATCH kèm intake_times</t>
        </is>
      </c>
      <c r="E26" s="8" t="inlineStr">
        <is>
          <t>{"days_of_week": [5,1,3]} ; [1,3,5] ; {"intake_times": ["09:00"], "days_of_week": [6,7]}</t>
        </is>
      </c>
      <c r="F26" s="8" t="inlineStr">
        <is>
          <t>Lần 1: 200, lịch mới 08:00 và 20:00 ngày [1,3,5], giữ nhắc, cùng effective_from = ended_at lịch cũ; lần 2: không đổi lịch; lần 3: lịch 09:00 ngày [6,7]</t>
        </is>
      </c>
      <c r="G26" s="8" t="inlineStr">
        <is>
          <t>Đúng như kỳ vọng</t>
        </is>
      </c>
      <c r="H26" s="7" t="inlineStr">
        <is>
          <t>Pass</t>
        </is>
      </c>
      <c r="I26" s="8" t="inlineStr">
        <is>
          <t>AC9 · EP (days: hợp lệ) · test_patch_days_of_week__AC9</t>
        </is>
      </c>
    </row>
    <row r="27" ht="74" customHeight="1">
      <c r="A27" s="7" t="inlineStr">
        <is>
          <t>TC-SCHED-15</t>
        </is>
      </c>
      <c r="B27" s="7" t="inlineStr">
        <is>
          <t>Đổi ngày uống với giá trị sai</t>
        </is>
      </c>
      <c r="C27" s="8" t="inlineStr">
        <is>
          <t>Như TC-SCHED-14</t>
        </is>
      </c>
      <c r="D27" s="8" t="inlineStr">
        <is>
          <t>1. PATCH /medications/{X} với từng body</t>
        </is>
      </c>
      <c r="E27" s="8" t="inlineStr">
        <is>
          <t>[] ; [8] ; [1,1] ; chuyển sang as_needed kèm days_of_week [1]</t>
        </is>
      </c>
      <c r="F27" s="8" t="inlineStr">
        <is>
          <t>422 (mảng lỗi, hoặc medication_rule_violation cho body cuối); không ghi gì</t>
        </is>
      </c>
      <c r="G27" s="8" t="inlineStr">
        <is>
          <t>Đúng như kỳ vọng</t>
        </is>
      </c>
      <c r="H27" s="7" t="inlineStr">
        <is>
          <t>Pass</t>
        </is>
      </c>
      <c r="I27" s="8" t="inlineStr">
        <is>
          <t>AC9 · EP (days: không hợp lệ) · test_patch_days_invalid_writes_nothing__AC9; test_patch_days_on_as_needed_422__AC9</t>
        </is>
      </c>
    </row>
    <row r="28" ht="57.5" customHeight="1">
      <c r="A28" s="7" t="inlineStr">
        <is>
          <t>TC-SCHED-BVA-05</t>
        </is>
      </c>
      <c r="B28" s="7" t="inlineStr">
        <is>
          <t>Đổi ngày uống ở biên 1, 7 và 0, 8</t>
        </is>
      </c>
      <c r="C28" s="8" t="inlineStr">
        <is>
          <t>Thuốc có lịch 08:00</t>
        </is>
      </c>
      <c r="D28" s="8" t="inlineStr">
        <is>
          <t>1. PATCH /medications/{X} với từng giá trị</t>
        </is>
      </c>
      <c r="E28" s="8" t="inlineStr">
        <is>
          <t>[1] ; [7] ; [0] ; [8]</t>
        </is>
      </c>
      <c r="F28" s="8" t="inlineStr">
        <is>
          <t>[1], [7]: 200; [0], [8]: 422</t>
        </is>
      </c>
      <c r="G28" s="8" t="inlineStr">
        <is>
          <t>200, 200, 422, 422 (evidence/testcase-bva-manual.log)</t>
        </is>
      </c>
      <c r="H28" s="7" t="inlineStr">
        <is>
          <t>Pass</t>
        </is>
      </c>
      <c r="I28" s="8" t="inlineStr">
        <is>
          <t>AC9 · BVA (min, max, min-1, max+1) · manual (scratch/bva_check.py)</t>
        </is>
      </c>
    </row>
    <row r="29" ht="41" customHeight="1">
      <c r="A29" s="7" t="inlineStr">
        <is>
          <t>TC-SCHED-16</t>
        </is>
      </c>
      <c r="B29" s="7" t="inlineStr">
        <is>
          <t>Đổi giờ qua PATCH /medications giữ trạng thái nhắc</t>
        </is>
      </c>
      <c r="C29" s="8" t="inlineStr">
        <is>
          <t>S2 20:00 đang tắt nhắc</t>
        </is>
      </c>
      <c r="D29" s="8" t="inlineStr">
        <is>
          <t>1. PATCH /medications/{X}</t>
        </is>
      </c>
      <c r="E29" s="8" t="inlineStr">
        <is>
          <t>{"intake_times": ["08:00","20:00","22:00"]}</t>
        </is>
      </c>
      <c r="F29" s="8" t="inlineStr">
        <is>
          <t>08:00 bật, 20:00 tắt, 22:00 bật</t>
        </is>
      </c>
      <c r="G29" s="8" t="inlineStr">
        <is>
          <t>Đúng như kỳ vọng</t>
        </is>
      </c>
      <c r="H29" s="7" t="inlineStr">
        <is>
          <t>Pass</t>
        </is>
      </c>
      <c r="I29" s="8" t="inlineStr">
        <is>
          <t>AC10 · test_patch_times_keeps_reminder__AC10</t>
        </is>
      </c>
    </row>
    <row r="30" ht="57.5" customHeight="1">
      <c r="A30" s="7" t="inlineStr">
        <is>
          <t>TC-SCHED-17</t>
        </is>
      </c>
      <c r="B30" s="7" t="inlineStr">
        <is>
          <t>Hai request thêm cùng giờ gửi đồng thời</t>
        </is>
      </c>
      <c r="C30" s="8" t="inlineStr">
        <is>
          <t>Như TC-SCHED-01</t>
        </is>
      </c>
      <c r="D30" s="8" t="inlineStr">
        <is>
          <t>1. Gửi song song hai POST /medications/{X}/schedules 12:00</t>
        </is>
      </c>
      <c r="E30" s="8" t="inlineStr">
        <is>
          <t>{"intake_time": "12:00"} ×2</t>
        </is>
      </c>
      <c r="F30" s="8" t="inlineStr">
        <is>
          <t>Một 201, một 422; đúng một lịch 12:00 mở; doses_per_day = số lịch mở</t>
        </is>
      </c>
      <c r="G30" s="8" t="inlineStr">
        <is>
          <t>[201, 422]; một lịch 12:00 (5/5 lần lặp)</t>
        </is>
      </c>
      <c r="H30" s="7" t="inlineStr">
        <is>
          <t>Pass</t>
        </is>
      </c>
      <c r="I30" s="8" t="inlineStr">
        <is>
          <t>AC11 · đoán lỗi (gửi trùng) · test_two_adds_same_time_one_wins__AC11</t>
        </is>
      </c>
    </row>
    <row r="31" ht="41" customHeight="1">
      <c r="A31" s="7" t="inlineStr">
        <is>
          <t>TC-SCHED-18</t>
        </is>
      </c>
      <c r="B31" s="7" t="inlineStr">
        <is>
          <t>Hủy hai lịch còn lại đồng thời</t>
        </is>
      </c>
      <c r="C31" s="8" t="inlineStr">
        <is>
          <t>X có S1, S2</t>
        </is>
      </c>
      <c r="D31" s="8" t="inlineStr">
        <is>
          <t>1. Gửi song song DELETE S1 và DELETE S2</t>
        </is>
      </c>
      <c r="E31" s="8" t="inlineStr">
        <is>
          <t>(blank)</t>
        </is>
      </c>
      <c r="F31" s="8" t="inlineStr">
        <is>
          <t>Một 200, một 422; còn đúng một lịch mở</t>
        </is>
      </c>
      <c r="G31" s="8" t="inlineStr">
        <is>
          <t>[200, 422]; 1 lịch mở (5/5 lần lặp)</t>
        </is>
      </c>
      <c r="H31" s="7" t="inlineStr">
        <is>
          <t>Pass</t>
        </is>
      </c>
      <c r="I31" s="8" t="inlineStr">
        <is>
          <t>AC11 · test_remove_both_schedules_one_wins__AC11</t>
        </is>
      </c>
    </row>
    <row r="32" ht="57.5" customHeight="1">
      <c r="A32" s="7" t="inlineStr">
        <is>
          <t>TC-SCHED-19</t>
        </is>
      </c>
      <c r="B32" s="7" t="inlineStr">
        <is>
          <t>Sửa một lịch và đổi ngày đồng thời</t>
        </is>
      </c>
      <c r="C32" s="8" t="inlineStr">
        <is>
          <t>X có S1, S2</t>
        </is>
      </c>
      <c r="D32" s="8" t="inlineStr">
        <is>
          <t>1. Gửi song song PATCH S1 07:00 và PATCH /medications/{X} days [2,4]</t>
        </is>
      </c>
      <c r="E32" s="8" t="inlineStr">
        <is>
          <t>{"intake_time": "07:00"} ; {"days_of_week": [2,4]}</t>
        </is>
      </c>
      <c r="F32" s="8" t="inlineStr">
        <is>
          <t>Không 5xx; đổi ngày 200; sửa lịch 200 hoặc 404; mọi lịch mở có ngày [2,4], không trùng giờ</t>
        </is>
      </c>
      <c r="G32" s="8" t="inlineStr">
        <is>
          <t>Đúng như kỳ vọng (5/5 lần lặp)</t>
        </is>
      </c>
      <c r="H32" s="7" t="inlineStr">
        <is>
          <t>Pass</t>
        </is>
      </c>
      <c r="I32" s="8" t="inlineStr">
        <is>
          <t>AC11 · test_edit_schedule_and_change_days_serialized__AC11</t>
        </is>
      </c>
    </row>
    <row r="33" ht="41" customHeight="1">
      <c r="A33" s="7" t="inlineStr">
        <is>
          <t>TC-SCHED-20</t>
        </is>
      </c>
      <c r="B33" s="7" t="inlineStr">
        <is>
          <t>Lỗi giữa chừng khi tạo lịch mới thì không đổi gì</t>
        </is>
      </c>
      <c r="C33" s="8" t="inlineStr">
        <is>
          <t>Giả lập lỗi khi chèn lịch mới</t>
        </is>
      </c>
      <c r="D33" s="8" t="inlineStr">
        <is>
          <t>1. PATCH S1 07:00
2. PATCH /medications/{X} days [1]</t>
        </is>
      </c>
      <c r="E33" s="8" t="inlineStr">
        <is>
          <t>add_schedules ném lỗi</t>
        </is>
      </c>
      <c r="F33" s="8" t="inlineStr">
        <is>
          <t>500; lịch cũ vẫn mở, không có lịch mới (rollback)</t>
        </is>
      </c>
      <c r="G33" s="8" t="inlineStr">
        <is>
          <t>500; DB không đổi</t>
        </is>
      </c>
      <c r="H33" s="7" t="inlineStr">
        <is>
          <t>Pass</t>
        </is>
      </c>
      <c r="I33" s="8" t="inlineStr">
        <is>
          <t>AC17 · test_failure_after_close_rolls_back__AC17</t>
        </is>
      </c>
    </row>
    <row r="34" ht="74" customHeight="1">
      <c r="A34" s="7" t="inlineStr">
        <is>
          <t>TC-SCHED-21</t>
        </is>
      </c>
      <c r="B34" s="7" t="inlineStr">
        <is>
          <t>Sửa lịch có liều đã xác nhận sớm</t>
        </is>
      </c>
      <c r="C34" s="8" t="inlineStr">
        <is>
          <t>Liều của S1 có giờ dự kiến 10 phút sau thời điểm hiện tại đã được ghi (da_uong)</t>
        </is>
      </c>
      <c r="D34" s="8" t="inlineStr">
        <is>
          <t>1. PATCH S1 tắt nhắc (lần khác: đổi giờ 07:55)
2. Đọc lịch và liều</t>
        </is>
      </c>
      <c r="E34" s="8" t="inlineStr">
        <is>
          <t>{"reminder_enabled": false} ; {"intake_time": "07:55"}</t>
        </is>
      </c>
      <c r="F34" s="8" t="inlineStr">
        <is>
          <t>ended_at(S1) = giờ dự kiến + 1 giây; lịch mới effective_from = ended_at(S1); liều vẫn thuộc S1 và nằm trong [effective_from, ended_at) của S1</t>
        </is>
      </c>
      <c r="G34" s="8" t="inlineStr">
        <is>
          <t>Đúng như kỳ vọng</t>
        </is>
      </c>
      <c r="H34" s="7" t="inlineStr">
        <is>
          <t>Pass</t>
        </is>
      </c>
      <c r="I34" s="8" t="inlineStr">
        <is>
          <t>AC20 · QD-16 · test_early_dose_edit_shifts_boundary__AC20</t>
        </is>
      </c>
    </row>
    <row r="35" ht="57.5" customHeight="1">
      <c r="A35" s="7" t="inlineStr">
        <is>
          <t>TC-SCHED-22</t>
        </is>
      </c>
      <c r="B35" s="7" t="inlineStr">
        <is>
          <t>Đổi ngày hoặc đổi giờ cả thuốc khi có liều xác nhận sớm</t>
        </is>
      </c>
      <c r="C35" s="8" t="inlineStr">
        <is>
          <t>Như TC-SCHED-21</t>
        </is>
      </c>
      <c r="D35" s="8" t="inlineStr">
        <is>
          <t>1. PATCH /medications/{X} days [1,2] (lần khác: intake_times 09:00, 21:00)</t>
        </is>
      </c>
      <c r="E35" s="8" t="inlineStr">
        <is>
          <t>{"days_of_week": [1,2]} ; {"intake_times": ["09:00","21:00"]}</t>
        </is>
      </c>
      <c r="F35" s="8" t="inlineStr">
        <is>
          <t>S1 đóng tại giờ dự kiến + 1 giây, S2 đóng sớm hơn; mọi lịch mới bắt đầu tại ended_at(S1)</t>
        </is>
      </c>
      <c r="G35" s="8" t="inlineStr">
        <is>
          <t>Đúng như kỳ vọng</t>
        </is>
      </c>
      <c r="H35" s="7" t="inlineStr">
        <is>
          <t>Pass</t>
        </is>
      </c>
      <c r="I35" s="8" t="inlineStr">
        <is>
          <t>AC20 · test_early_dose_bulk_replace_starts_after_dose__AC20</t>
        </is>
      </c>
    </row>
    <row r="36" ht="57.5" customHeight="1">
      <c r="A36" s="7" t="inlineStr">
        <is>
          <t>TC-SCHED-23</t>
        </is>
      </c>
      <c r="B36" s="7" t="inlineStr">
        <is>
          <t>Hủy lịch có liều sớm rồi thêm lại cùng giờ</t>
        </is>
      </c>
      <c r="C36" s="8" t="inlineStr">
        <is>
          <t>Như TC-SCHED-21</t>
        </is>
      </c>
      <c r="D36" s="8" t="inlineStr">
        <is>
          <t>1. DELETE S1
2. POST 08:00</t>
        </is>
      </c>
      <c r="E36" s="8" t="inlineStr">
        <is>
          <t>(blank) ; {"intake_time": "08:00"}</t>
        </is>
      </c>
      <c r="F36" s="8" t="inlineStr">
        <is>
          <t>ended_at(S1) = giờ dự kiến + 1 giây; lịch 08:00 mới có effective_from = ended_at(S1), không chồng khoảng hiệu lực</t>
        </is>
      </c>
      <c r="G36" s="8" t="inlineStr">
        <is>
          <t>Đúng như kỳ vọng</t>
        </is>
      </c>
      <c r="H36" s="7" t="inlineStr">
        <is>
          <t>Pass</t>
        </is>
      </c>
      <c r="I36" s="8" t="inlineStr">
        <is>
          <t>AC21 · test_delete_then_add_same_time_no_overlap__AC21</t>
        </is>
      </c>
    </row>
    <row r="37" ht="107" customHeight="1">
      <c r="A37" s="7" t="inlineStr">
        <is>
          <t>TC-SCHED-24</t>
        </is>
      </c>
      <c r="B37" s="7" t="inlineStr">
        <is>
          <t>Ngừng rồi dùng lại thuốc ngay sau khi có lịch hiệu lực ở tương lai</t>
        </is>
      </c>
      <c r="C37" s="8" t="inlineStr">
        <is>
          <t>Như TC-SCHED-21, S1 vừa được thay bằng lịch tắt nhắc</t>
        </is>
      </c>
      <c r="D37" s="8" t="inlineStr">
        <is>
          <t>1. PATCH /medications/{X} stopped true
2. PATCH /medications/{X} stopped false</t>
        </is>
      </c>
      <c r="E37" s="8" t="inlineStr">
        <is>
          <t>{"stopped": true} ; {"stopped": false}</t>
        </is>
      </c>
      <c r="F37" s="8" t="inlineStr">
        <is>
          <t>Cả hai 200 (không lỗi CHECK); dùng lại mở 08:00 tắt nhắc và 20:00 bật nhắc; lịch 08:00 mới bắt đầu ngay sau giờ dự kiến của liều sớm; liều nằm trong khoảng hiệu lực của lịch nó trỏ tới; không giờ dự kiến nào thuộc hai lịch</t>
        </is>
      </c>
      <c r="G37" s="8" t="inlineStr">
        <is>
          <t>Đúng như kỳ vọng (vòng 3)</t>
        </is>
      </c>
      <c r="H37" s="7" t="inlineStr">
        <is>
          <t>Pass</t>
        </is>
      </c>
      <c r="I37" s="8" t="inlineStr">
        <is>
          <t>AC25 · M1 của review · test_stop_and_reactivate_after_future_replacement</t>
        </is>
      </c>
    </row>
    <row r="38" ht="90.5" customHeight="1">
      <c r="A38" s="7" t="inlineStr">
        <is>
          <t>TC-SCHED-25</t>
        </is>
      </c>
      <c r="B38" s="7" t="inlineStr">
        <is>
          <t>Ngừng, chuyển sang khi cần, hoặc xoá thuốc khi có liều xác nhận sớm</t>
        </is>
      </c>
      <c r="C38" s="8" t="inlineStr">
        <is>
          <t>Liều của S1 có giờ dự kiến 10 phút sau thời điểm hiện tại đã được ghi (da_uong); X có S1 08:00, S2 20:00</t>
        </is>
      </c>
      <c r="D38" s="8" t="inlineStr">
        <is>
          <t>1. PATCH /medications/{X} stopped true (lần khác: chuyển as_needed; DELETE /medications/{X})
2. Đọc lịch, liều, thuốc trong DB</t>
        </is>
      </c>
      <c r="E38" s="8" t="inlineStr">
        <is>
          <t>{"stopped": true} ; {"dosing_mode": "as_needed", "max_doses_per_day": 2} ; DELETE</t>
        </is>
      </c>
      <c r="F38" s="8" t="inlineStr">
        <is>
          <t>ended_at(S1) = giờ dự kiến của liều + 1 giây; S2 đóng tại thời điểm request; liều vẫn nằm trong khoảng hiệu lực của S1; ended_at/deleted_at của thuốc = thời điểm request</t>
        </is>
      </c>
      <c r="G38" s="8" t="inlineStr">
        <is>
          <t>Đúng như kỳ vọng cả 3 thao tác</t>
        </is>
      </c>
      <c r="H38" s="7" t="inlineStr">
        <is>
          <t>Pass</t>
        </is>
      </c>
      <c r="I38" s="8" t="inlineStr">
        <is>
          <t>AC24 · QD-16 · R1 · test_stop_switch_or_delete_after_early_dose_keeps_dose_inside__AC24</t>
        </is>
      </c>
    </row>
    <row r="39" ht="74" customHeight="1">
      <c r="A39" s="7" t="inlineStr">
        <is>
          <t>TC-SCHED-26</t>
        </is>
      </c>
      <c r="B39" s="7" t="inlineStr">
        <is>
          <t>Ngừng rồi dùng lại thuốc trước giờ của liều xác nhận sớm</t>
        </is>
      </c>
      <c r="C39" s="8" t="inlineStr">
        <is>
          <t>Liều của S1 có giờ dự kiến 10 phút sau thời điểm hiện tại đã được ghi (da_uong); X có S1 08:00, S2 20:00</t>
        </is>
      </c>
      <c r="D39" s="8" t="inlineStr">
        <is>
          <t>1. PATCH stopped true
2. PATCH stopped false
3. Đọc lịch trong DB</t>
        </is>
      </c>
      <c r="E39" s="8" t="inlineStr">
        <is>
          <t>{"stopped": true} ; {"stopped": false}</t>
        </is>
      </c>
      <c r="F39" s="8" t="inlineStr">
        <is>
          <t>200; mở lại 08:00 và 20:00; lịch 08:00 mới bắt đầu tại ended_at(S1) (sau liều); 20:00 bắt đầu tại thời điểm dùng lại; không giờ dự kiến nào thuộc hai lịch</t>
        </is>
      </c>
      <c r="G39" s="8" t="inlineStr">
        <is>
          <t>Đúng như kỳ vọng (trước khi sửa R1: lịch 08:00 mới phủ giờ của liều, evidence/review-R1-repro.log)</t>
        </is>
      </c>
      <c r="H39" s="7" t="inlineStr">
        <is>
          <t>Pass</t>
        </is>
      </c>
      <c r="I39" s="8" t="inlineStr">
        <is>
          <t>AC25 · R1 · test_reactivate_after_early_dose_no_overlap__AC25</t>
        </is>
      </c>
    </row>
    <row r="40" ht="90.5" customHeight="1">
      <c r="A40" s="7" t="inlineStr">
        <is>
          <t>TC-SCHED-27</t>
        </is>
      </c>
      <c r="B40" s="7" t="inlineStr">
        <is>
          <t>Chuyển sang khi cần rồi về theo giờ trước giờ của liều xác nhận sớm</t>
        </is>
      </c>
      <c r="C40" s="8" t="inlineStr">
        <is>
          <t>Liều của S1 có giờ dự kiến 10 phút sau thời điểm hiện tại đã được ghi (da_uong); X có S1 08:00, S2 20:00</t>
        </is>
      </c>
      <c r="D40" s="8" t="inlineStr">
        <is>
          <t>1. PATCH chuyển as_needed
2. PATCH chuyển scheduled với intake_times 08:00, 20:00</t>
        </is>
      </c>
      <c r="E40" s="8" t="inlineStr">
        <is>
          <t>{"dosing_mode": "as_needed", "max_doses_per_day": 2} ; {"dosing_mode": "scheduled", "intake_times": ["08:00","20:00"]}</t>
        </is>
      </c>
      <c r="F40" s="8" t="inlineStr">
        <is>
          <t>Lịch 08:00 mới bắt đầu tại ended_at(S1) (sau liều); 20:00 tại thời điểm request; không giờ dự kiến nào thuộc hai lịch</t>
        </is>
      </c>
      <c r="G40" s="8" t="inlineStr">
        <is>
          <t>Đúng như kỳ vọng (trước khi sửa R1: lịch 08:00 mới phủ giờ của liều)</t>
        </is>
      </c>
      <c r="H40" s="7" t="inlineStr">
        <is>
          <t>Pass</t>
        </is>
      </c>
      <c r="I40" s="8" t="inlineStr">
        <is>
          <t>AC26 · R1 · test_back_to_scheduled_after_early_dose_no_overlap__AC26</t>
        </is>
      </c>
    </row>
    <row r="41" ht="90.5" customHeight="1">
      <c r="A41" s="7" t="inlineStr">
        <is>
          <t>TC-SCHED-28</t>
        </is>
      </c>
      <c r="B41" s="7" t="inlineStr">
        <is>
          <t>Dùng lại thuốc khi cần đã chuyển từ theo giờ sau liều xác nhận sớm</t>
        </is>
      </c>
      <c r="C41" s="8" t="inlineStr">
        <is>
          <t>Liều của S1 có giờ dự kiến 10 phút sau thời điểm hiện tại đã được ghi (da_uong); X có S1 08:00, S2 20:00</t>
        </is>
      </c>
      <c r="D41" s="8" t="inlineStr">
        <is>
          <t>1. PATCH chuyển as_needed
2. PATCH stopped true
3. PATCH stopped false
4. Đọc lịch trong DB</t>
        </is>
      </c>
      <c r="E41" s="8" t="inlineStr">
        <is>
          <t>{"dosing_mode": "as_needed", "max_doses_per_day": 2} ; {"stopped": true} ; {"stopped": false}</t>
        </is>
      </c>
      <c r="F41" s="8" t="inlineStr">
        <is>
          <t>200; dosing_mode as_needed, status active, schedules []; không có lịch mở trong DB; liều vẫn nằm trong khoảng hiệu lực của S1</t>
        </is>
      </c>
      <c r="G41" s="8" t="inlineStr">
        <is>
          <t>Đúng như kỳ vọng (trước khi sửa R2: schedules có lịch 08:00 mở, evidence/review-v3-asneeded-repro.log)</t>
        </is>
      </c>
      <c r="H41" s="7" t="inlineStr">
        <is>
          <t>Pass</t>
        </is>
      </c>
      <c r="I41" s="8" t="inlineStr">
        <is>
          <t>R2 của review vòng 3 · contract 'Thuốc as_needed: không tạo lịch' · test_reactivate_as_needed_after_early_dose_opens_no_schedule__R2</t>
        </is>
      </c>
    </row>
    <row r="42" ht="90.5" customHeight="1">
      <c r="A42" s="7" t="inlineStr">
        <is>
          <t>TC-SCHED-29</t>
        </is>
      </c>
      <c r="B42" s="7" t="inlineStr">
        <is>
          <t>Dùng lại thuốc sau khi đổi cả bộ giờ uống sau liều xác nhận sớm rồi ngừng</t>
        </is>
      </c>
      <c r="C42" s="8" t="inlineStr">
        <is>
          <t>Liều của S1 có giờ dự kiến 10 phút sau thời điểm hiện tại đã được ghi (da_uong); X theo giờ có S1 08:00, S2 20:00 cả tuần, đang dùng</t>
        </is>
      </c>
      <c r="D42" s="8" t="inlineStr">
        <is>
          <t>1. PATCH /medications/X đổi intake_times
2. PATCH /medications/X stopped true
3. PATCH /medications/X stopped false
4. Đọc response và lịch trong DB</t>
        </is>
      </c>
      <c r="E42" s="8" t="inlineStr">
        <is>
          <t>{"intake_times": ["07:00", "22:00"]} ; {"stopped": true} ; {"stopped": false}</t>
        </is>
      </c>
      <c r="F42" s="8" t="inlineStr">
        <is>
          <t>200; schedules gồm đủ 07:00 và 22:00; doses_per_day = 2 = số lịch mở; liều vẫn nằm trong khoảng hiệu lực của S1; không giờ dự kiến nào thuộc hai lịch</t>
        </is>
      </c>
      <c r="G42" s="8" t="inlineStr">
        <is>
          <t>Đúng như kỳ vọng (trước khi sửa R3: chỉ mở lại 22:00, doses_per_day 2, evidence/review-final-fuzz.log seed 43)</t>
        </is>
      </c>
      <c r="H42" s="7" t="inlineStr">
        <is>
          <t>Pass</t>
        </is>
      </c>
      <c r="I42" s="8" t="inlineStr">
        <is>
          <t>AC27 · R3 của review vòng 4 · test_reactivate_after_bulk_change_after_early_dose_keeps_all__AC27[intake_times]</t>
        </is>
      </c>
    </row>
    <row r="43" ht="90.5" customHeight="1">
      <c r="A43" s="7" t="inlineStr">
        <is>
          <t>TC-SCHED-30</t>
        </is>
      </c>
      <c r="B43" s="7" t="inlineStr">
        <is>
          <t>Dùng lại thuốc sau khi đổi ngày uống sau liều xác nhận sớm rồi ngừng</t>
        </is>
      </c>
      <c r="C43" s="8" t="inlineStr">
        <is>
          <t>Liều của S1 có giờ dự kiến 10 phút sau thời điểm hiện tại đã được ghi (da_uong); X theo giờ có S1 08:00, S2 20:00 cả tuần, đang dùng</t>
        </is>
      </c>
      <c r="D43" s="8" t="inlineStr">
        <is>
          <t>1. PATCH /medications/X đổi days_of_week
2. PATCH /medications/X stopped true
3. PATCH /medications/X stopped false</t>
        </is>
      </c>
      <c r="E43" s="8" t="inlineStr">
        <is>
          <t>{"days_of_week": [1, 2]} ; {"stopped": true} ; {"stopped": false}</t>
        </is>
      </c>
      <c r="F43" s="8" t="inlineStr">
        <is>
          <t>200; schedules 08:00 và 20:00 với days_of_week [1, 2]; doses_per_day = 2; không chồng khoảng hiệu lực</t>
        </is>
      </c>
      <c r="G43" s="8" t="inlineStr">
        <is>
          <t>Đúng như kỳ vọng</t>
        </is>
      </c>
      <c r="H43" s="7" t="inlineStr">
        <is>
          <t>Pass</t>
        </is>
      </c>
      <c r="I43" s="8" t="inlineStr">
        <is>
          <t>AC27 · R3 · test_reactivate_after_bulk_change_after_early_dose_keeps_all__AC27[days_of_week]</t>
        </is>
      </c>
    </row>
    <row r="44" ht="90.5" customHeight="1">
      <c r="A44" s="7" t="inlineStr">
        <is>
          <t>TC-SCHED-31</t>
        </is>
      </c>
      <c r="B44" s="7" t="inlineStr">
        <is>
          <t>Dùng lại thuốc sau khi sửa/xóa từng lịch tạo lịch hiệu lực ở tương lai</t>
        </is>
      </c>
      <c r="C44" s="8" t="inlineStr">
        <is>
          <t>Liều của S1 có giờ dự kiến 10 phút sau thời điểm hiện tại đã được ghi (da_uong); X theo giờ có S1 08:00, S2 20:00 cả tuần, đang dùng</t>
        </is>
      </c>
      <c r="D44" s="8" t="inlineStr">
        <is>
          <t>1. Ca 1: PATCH lịch S1 đổi giờ 07:55, rồi POST thêm 12:00
2. Ca 2: DELETE lịch S1, rồi POST thêm 08:00
3. PATCH stopped true, rồi stopped false</t>
        </is>
      </c>
      <c r="E44" s="8" t="inlineStr">
        <is>
          <t>Ca 1: {"intake_time": "07:55"} ; {"intake_time": "12:00"}. Ca 2: {"intake_time": "08:00"}</t>
        </is>
      </c>
      <c r="F44" s="8" t="inlineStr">
        <is>
          <t>Ca 1: schedules 07:55, 12:00, 20:00, doses_per_day 3. Ca 2: schedules 08:00, 20:00, doses_per_day 2. Liều trong khoảng của S1; không chồng lịch</t>
        </is>
      </c>
      <c r="G44" s="8" t="inlineStr">
        <is>
          <t>Đúng như kỳ vọng ở cả 2 ca</t>
        </is>
      </c>
      <c r="H44" s="7" t="inlineStr">
        <is>
          <t>Pass</t>
        </is>
      </c>
      <c r="I44" s="8" t="inlineStr">
        <is>
          <t>AC27 · test_reactivate_after_single_schedule_writes_with_future_schedule__AC27</t>
        </is>
      </c>
    </row>
    <row r="45" ht="107" customHeight="1">
      <c r="A45" s="7" t="inlineStr">
        <is>
          <t>TC-SCHED-32</t>
        </is>
      </c>
      <c r="B45" s="7" t="inlineStr">
        <is>
          <t>Không mở lại lịch đã bị thay trước khi ngừng; chỉ lịch đóng do ngừng mang dấu</t>
        </is>
      </c>
      <c r="C45" s="8" t="inlineStr">
        <is>
          <t>X theo giờ có S1 08:00, S2 20:00, đang dùng; không có liều sớm</t>
        </is>
      </c>
      <c r="D45" s="8" t="inlineStr">
        <is>
          <t>1. PATCH lịch S1 đổi giờ 07:00
2. PATCH /medications/X stopped true
3. Đọc closed_by_stop_at của các lịch trong DB
4. PATCH /medications/X stopped false</t>
        </is>
      </c>
      <c r="E45" s="8" t="inlineStr">
        <is>
          <t>{"intake_time": "07:00"} ; {"stopped": true} ; {"stopped": false}</t>
        </is>
      </c>
      <c r="F45" s="8" t="inlineStr">
        <is>
          <t>S1 (đóng vì sửa) có closed_by_stop_at NULL; các lịch đóng lúc ngừng có closed_by_stop_at = ended_at của thuốc; dùng lại: schedules 07:00, 20:00, doses_per_day 2; response không có field closed_by_stop_at; lịch mở lại không mang dấu</t>
        </is>
      </c>
      <c r="G45" s="8" t="inlineStr">
        <is>
          <t>Đúng như kỳ vọng</t>
        </is>
      </c>
      <c r="H45" s="7" t="inlineStr">
        <is>
          <t>Pass</t>
        </is>
      </c>
      <c r="I45" s="8" t="inlineStr">
        <is>
          <t>AC28 · M3 · test_reactivate_skips_schedules_replaced_before_stop_and_marks__AC28</t>
        </is>
      </c>
    </row>
    <row r="46" ht="74" customHeight="1">
      <c r="A46" s="7" t="inlineStr">
        <is>
          <t>TC-SCHED-33</t>
        </is>
      </c>
      <c r="B46" s="7" t="inlineStr">
        <is>
          <t>Dùng lại thuốc đã ngừng trước khi chạy migration (dữ liệu chưa có dấu)</t>
        </is>
      </c>
      <c r="C46" s="8" t="inlineStr">
        <is>
          <t>X đã ngừng; dấu closed_by_stop_at của mọi lịch đặt về NULL (giả lập dữ liệu trước migration 20261009065232)</t>
        </is>
      </c>
      <c r="D46" s="8" t="inlineStr">
        <is>
          <t>1. Chạy câu UPDATE điền dữ liệu của file migration
2. Kiểm closed_by_stop_at = ended_at của thuốc
3. PATCH /medications/X stopped false</t>
        </is>
      </c>
      <c r="E46" s="8" t="inlineStr">
        <is>
          <t>{"stopped": false}</t>
        </is>
      </c>
      <c r="F46" s="8" t="inlineStr">
        <is>
          <t>Mọi lịch đóng lúc ngừng được đánh dấu lại; 200; schedules 08:00, 20:00; doses_per_day 2 (như hành vi 2.01). supabase db reset chạy hết migration không lỗi</t>
        </is>
      </c>
      <c r="G46" s="8" t="inlineStr">
        <is>
          <t>Đúng như kỳ vọng; db reset OK (evidence/implement-v4-db-reset.log)</t>
        </is>
      </c>
      <c r="H46" s="7" t="inlineStr">
        <is>
          <t>Pass</t>
        </is>
      </c>
      <c r="I46" s="8" t="inlineStr">
        <is>
          <t>AC29 · test_backfill_marks_pre_migration_stop__AC29</t>
        </is>
      </c>
    </row>
    <row r="47" ht="57.5" customHeight="1">
      <c r="A47" s="7" t="inlineStr">
        <is>
          <t>TC-SCHED-34</t>
        </is>
      </c>
      <c r="B47" s="7" t="inlineStr">
        <is>
          <t>Chặn dấu đóng do ngừng trên lịch đang mở</t>
        </is>
      </c>
      <c r="C47" s="8" t="inlineStr">
        <is>
          <t>X có lịch S1 đang mở</t>
        </is>
      </c>
      <c r="D47" s="8" t="inlineStr">
        <is>
          <t>1. UPDATE medication_schedules SET closed_by_stop_at = now() WHERE id = S1</t>
        </is>
      </c>
      <c r="E47" s="8" t="inlineStr">
        <is>
          <t>closed_by_stop_at = now(), ended_at NULL</t>
        </is>
      </c>
      <c r="F47" s="8" t="inlineStr">
        <is>
          <t>DB từ chối: vi phạm medication_schedules_closed_by_stop_chk</t>
        </is>
      </c>
      <c r="G47" s="8" t="inlineStr">
        <is>
          <t>IntegrityError medication_schedules_closed_by_stop_chk</t>
        </is>
      </c>
      <c r="H47" s="7" t="inlineStr">
        <is>
          <t>Pass</t>
        </is>
      </c>
      <c r="I47" s="8" t="inlineStr">
        <is>
          <t>AC29 · Đoán lỗi (ràng buộc DB) · test_marker_requires_closed_schedule_check</t>
        </is>
      </c>
    </row>
    <row r="48" ht="90.5" customHeight="1">
      <c r="A48" s="7" t="inlineStr">
        <is>
          <t>TC-SCHED-35</t>
        </is>
      </c>
      <c r="B48" s="7" t="inlineStr">
        <is>
          <t>Giữ bất biến lịch trên chuỗi thao tác ngẫu nhiên có seed cố định</t>
        </is>
      </c>
      <c r="C48" s="8" t="inlineStr">
        <is>
          <t>Mỗi chuỗi: một thuốc theo giờ mới tạo (08:00, 20:00)</t>
        </is>
      </c>
      <c r="D48" s="8" t="inlineStr">
        <is>
          <t>1. Chạy 10 bước ngẫu nhiên theo seed: thêm/sửa/xóa từng lịch, bật/tắt nhắc, đổi giờ, đổi ngày, ngừng, dùng lại, chuyển chế độ, ghi liều xác nhận sớm
2. Sau mỗi bước kiểm bất biến I1–I5</t>
        </is>
      </c>
      <c r="E48" s="8" t="inlineStr">
        <is>
          <t>Seed 0–49 và 96, 97, 178, 198 (gồm 5 seed đã tìm ra R3: 43, 96, 97, 178, 198)</t>
        </is>
      </c>
      <c r="F48" s="8" t="inlineStr">
        <is>
          <t>I1 không giờ dự kiến thuộc hai lịch; I2 liều trong khoảng của lịch nó trỏ tới; I3 thuốc khi cần/đã ngừng không có lịch mở; I4 doses_per_day = số lịch mở, giờ không trùng; I5 không 5xx</t>
        </is>
      </c>
      <c r="G48" s="8" t="inlineStr">
        <is>
          <t>54/54 chuỗi giữ bất biến (bản 200 seed ở implement: 200/200; trước khi sửa R3: 195/200)</t>
        </is>
      </c>
      <c r="H48" s="7" t="inlineStr">
        <is>
          <t>Pass</t>
        </is>
      </c>
      <c r="I48" s="8" t="inlineStr">
        <is>
          <t>AC30 · Chuyển trạng thái (ngẫu nhiên) · test_random_sequences_keep_invariants__AC30</t>
        </is>
      </c>
    </row>
    <row r="49"/>
    <row r="50"/>
    <row r="51">
      <c r="G51" s="12" t="inlineStr">
        <is>
          <t>Pass</t>
        </is>
      </c>
      <c r="H51" s="13">
        <f>COUNTIF(H9:H48,"Pass")</f>
        <v/>
      </c>
    </row>
    <row r="52">
      <c r="G52" s="12" t="inlineStr">
        <is>
          <t>Fail</t>
        </is>
      </c>
      <c r="H52" s="13">
        <f>COUNTIF(H9:H48,"Fail")</f>
        <v/>
      </c>
    </row>
    <row r="53">
      <c r="G53" s="12" t="inlineStr">
        <is>
          <t>Pending</t>
        </is>
      </c>
      <c r="H53" s="13">
        <f>COUNTIF(H9:H48,"Pending")</f>
        <v/>
      </c>
    </row>
    <row r="54">
      <c r="G54" s="12" t="inlineStr">
        <is>
          <t>Total</t>
        </is>
      </c>
      <c r="H54" s="13">
        <f>SUM(H51:H53)</f>
        <v/>
      </c>
    </row>
  </sheetData>
  <autoFilter ref="A8:I48"/>
  <conditionalFormatting sqref="H9:H48">
    <cfRule type="cellIs" priority="1" operator="equal" dxfId="0">
      <formula>"Fail"</formula>
    </cfRule>
  </conditionalFormatting>
  <dataValidations count="1">
    <dataValidation sqref="H9:H48" showDropDown="0" showInputMessage="0" showErrorMessage="0" allowBlank="0" type="list">
      <formula1>"Pass,Fail,Pending"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W3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 width="8" customWidth="1" min="22" max="22"/>
    <col width="8" customWidth="1" min="23" max="23"/>
  </cols>
  <sheetData>
    <row r="1">
      <c r="A1" s="1" t="inlineStr">
        <is>
          <t>Project Name</t>
        </is>
      </c>
      <c r="B1" s="2" t="inlineStr">
        <is>
          <t>DrugTime</t>
        </is>
      </c>
    </row>
    <row r="2">
      <c r="A2" s="1" t="inlineStr">
        <is>
          <t>Module Name</t>
        </is>
      </c>
      <c r="B2" s="2" t="inlineStr">
        <is>
          <t>Tải lịch uống và phân quyền dữ liệu thuốc (SCHEDSYNC)</t>
        </is>
      </c>
    </row>
    <row r="3">
      <c r="A3" s="1" t="inlineStr">
        <is>
          <t>Created By</t>
        </is>
      </c>
      <c r="B3" s="2" t="inlineStr">
        <is>
          <t>zannguyen</t>
        </is>
      </c>
    </row>
    <row r="4">
      <c r="A4" s="1" t="inlineStr">
        <is>
          <t>Creation Date</t>
        </is>
      </c>
      <c r="B4" s="21" t="n">
        <v>46304</v>
      </c>
    </row>
    <row r="5">
      <c r="A5" s="1" t="inlineStr">
        <is>
          <t>Reviewed By</t>
        </is>
      </c>
      <c r="B5" s="2" t="inlineStr"/>
    </row>
    <row r="6">
      <c r="A6" s="1" t="inlineStr">
        <is>
          <t>Reviewed Date</t>
        </is>
      </c>
      <c r="B6" s="2" t="n"/>
    </row>
    <row r="7">
      <c r="K7" s="4" t="inlineStr">
        <is>
          <t>Equivalence Partitioning</t>
        </is>
      </c>
      <c r="Q7" s="4" t="inlineStr">
        <is>
          <t>Quyền đọc GET /patients/{patient_id}/schedules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c r="V8" s="5" t="inlineStr">
        <is>
          <t>R5</t>
        </is>
      </c>
      <c r="W8" s="5" t="inlineStr">
        <is>
          <t>R6</t>
        </is>
      </c>
    </row>
    <row r="9" ht="90.5" customHeight="1">
      <c r="A9" s="7" t="inlineStr">
        <is>
          <t>TC-SCHEDSYNC-01</t>
        </is>
      </c>
      <c r="B9" s="7" t="inlineStr">
        <is>
          <t>Người bệnh tải lịch của chính mình</t>
        </is>
      </c>
      <c r="C9" s="8" t="inlineStr">
        <is>
          <t>P có X (S1, S2 mở; S0 đóng 10 ngày trước; S9 đóng 40 ngày trước), Y đã ngừng, Z đã xoá, W khi cần; người khác có thuốc</t>
        </is>
      </c>
      <c r="D9" s="8" t="inlineStr">
        <is>
          <t>1. GET /patients/{P}/schedules</t>
        </is>
      </c>
      <c r="E9" s="8" t="inlineStr">
        <is>
          <t>(không query)</t>
        </is>
      </c>
      <c r="F9" s="8" t="inlineStr">
        <is>
          <t>200; items gồm S1, S2, S0, lịch của Y, sắp theo id; không có S9, Z, W, người khác; mỗi phần tử đủ 11 field, ended_at null khi mở; next_cursor null; không ghi access_logs</t>
        </is>
      </c>
      <c r="G9" s="8" t="inlineStr">
        <is>
          <t>Đúng như kỳ vọng</t>
        </is>
      </c>
      <c r="H9" s="7" t="inlineStr">
        <is>
          <t>Pass</t>
        </is>
      </c>
      <c r="I9" s="8" t="inlineStr">
        <is>
          <t>AC12 · Decision Table (R1) · test_patient_reads_own_schedules__AC12</t>
        </is>
      </c>
      <c r="K9" s="9" t="inlineStr">
        <is>
          <t>limit</t>
        </is>
      </c>
      <c r="L9" s="10" t="inlineStr">
        <is>
          <t>1..200
Không gửi (mặc định 100)</t>
        </is>
      </c>
      <c r="M9" s="10" t="inlineStr">
        <is>
          <t>1
2</t>
        </is>
      </c>
      <c r="N9" s="10" t="inlineStr">
        <is>
          <t>0
201
Không phải số</t>
        </is>
      </c>
      <c r="O9" s="10" t="inlineStr">
        <is>
          <t>5
6
7</t>
        </is>
      </c>
      <c r="Q9" s="10" t="inlineStr">
        <is>
          <t>Người gọi là chính người bệnh?</t>
        </is>
      </c>
      <c r="R9" s="11" t="inlineStr">
        <is>
          <t>Yes</t>
        </is>
      </c>
      <c r="S9" s="11" t="inlineStr">
        <is>
          <t>Yes</t>
        </is>
      </c>
      <c r="T9" s="11" t="inlineStr">
        <is>
          <t>No</t>
        </is>
      </c>
      <c r="U9" s="11" t="inlineStr">
        <is>
          <t>No</t>
        </is>
      </c>
      <c r="V9" s="11" t="inlineStr">
        <is>
          <t>No</t>
        </is>
      </c>
      <c r="W9" s="11" t="inlineStr">
        <is>
          <t>No</t>
        </is>
      </c>
    </row>
    <row r="10" ht="74" customHeight="1">
      <c r="A10" s="7" t="inlineStr">
        <is>
          <t>TC-SCHEDSYNC-02</t>
        </is>
      </c>
      <c r="B10" s="7" t="inlineStr">
        <is>
          <t>Người bệnh chưa có lịch nào</t>
        </is>
      </c>
      <c r="C10" s="8" t="inlineStr">
        <is>
          <t>P không có thuốc</t>
        </is>
      </c>
      <c r="D10" s="8" t="inlineStr">
        <is>
          <t>1. GET /patients/{P}/schedules</t>
        </is>
      </c>
      <c r="E10" s="8" t="inlineStr">
        <is>
          <t>(blank)</t>
        </is>
      </c>
      <c r="F10" s="8" t="inlineStr">
        <is>
          <t>200 {"items": [], "next_cursor": null}</t>
        </is>
      </c>
      <c r="G10" s="8" t="inlineStr">
        <is>
          <t>Đúng như kỳ vọng</t>
        </is>
      </c>
      <c r="H10" s="7" t="inlineStr">
        <is>
          <t>Pass</t>
        </is>
      </c>
      <c r="I10" s="8" t="inlineStr">
        <is>
          <t>AC12 · test_patient_without_schedules_gets_empty_page__AC12</t>
        </is>
      </c>
      <c r="K10" s="9" t="inlineStr">
        <is>
          <t>cursor</t>
        </is>
      </c>
      <c r="L10" s="10" t="inlineStr">
        <is>
          <t>next_cursor của trang trước, cùng người bệnh</t>
        </is>
      </c>
      <c r="M10" s="10" t="inlineStr">
        <is>
          <t>3</t>
        </is>
      </c>
      <c r="N10" s="10" t="inlineStr">
        <is>
          <t>Chuỗi rác
Base64 không phải JSON hợp lệ
Con trỏ của người bệnh khác
Chuỗi rỗng</t>
        </is>
      </c>
      <c r="O10" s="10" t="inlineStr">
        <is>
          <t>8
9
10
11</t>
        </is>
      </c>
      <c r="Q10" s="10" t="inlineStr">
        <is>
          <t>Consent health_data còn hiệu lực?</t>
        </is>
      </c>
      <c r="R10" s="11" t="inlineStr">
        <is>
          <t>Yes</t>
        </is>
      </c>
      <c r="S10" s="11" t="inlineStr">
        <is>
          <t>No</t>
        </is>
      </c>
      <c r="T10" s="11" t="inlineStr">
        <is>
          <t>Yes</t>
        </is>
      </c>
      <c r="U10" s="11" t="inlineStr">
        <is>
          <t>Yes</t>
        </is>
      </c>
      <c r="V10" s="11" t="inlineStr">
        <is>
          <t>No</t>
        </is>
      </c>
      <c r="W10" s="11" t="inlineStr">
        <is>
          <t>Yes</t>
        </is>
      </c>
    </row>
    <row r="11" ht="57.5" customHeight="1">
      <c r="A11" s="7" t="inlineStr">
        <is>
          <t>TC-SCHEDSYNC-03</t>
        </is>
      </c>
      <c r="B11" s="7" t="inlineStr">
        <is>
          <t>Tải theo trang với limit 2</t>
        </is>
      </c>
      <c r="C11" s="8" t="inlineStr">
        <is>
          <t>P có 5 lịch</t>
        </is>
      </c>
      <c r="D11" s="8" t="inlineStr">
        <is>
          <t>1. GET limit=2
2. Gửi next_cursor cho tới khi null</t>
        </is>
      </c>
      <c r="E11" s="8" t="inlineStr">
        <is>
          <t>limit=2</t>
        </is>
      </c>
      <c r="F11" s="8" t="inlineStr">
        <is>
          <t>3 trang (2, 2, 1); hợp các trang bằng kết quả không phân trang</t>
        </is>
      </c>
      <c r="G11" s="8" t="inlineStr">
        <is>
          <t>3 trang, đúng thứ tự</t>
        </is>
      </c>
      <c r="H11" s="7" t="inlineStr">
        <is>
          <t>Pass</t>
        </is>
      </c>
      <c r="I11" s="8" t="inlineStr">
        <is>
          <t>AC23 · EP (limit: hợp lệ; cursor: hợp lệ) · test_pagination__AC23</t>
        </is>
      </c>
      <c r="K11" s="9" t="inlineStr">
        <is>
          <t>patient_id</t>
        </is>
      </c>
      <c r="L11" s="10" t="inlineStr">
        <is>
          <t>UUID của tài khoản tồn tại</t>
        </is>
      </c>
      <c r="M11" s="10" t="inlineStr">
        <is>
          <t>4</t>
        </is>
      </c>
      <c r="N11" s="10" t="inlineStr">
        <is>
          <t>Không phải UUID
UUID không có tài khoản</t>
        </is>
      </c>
      <c r="O11" s="10" t="inlineStr">
        <is>
          <t>12
13</t>
        </is>
      </c>
      <c r="Q11" s="10" t="inlineStr">
        <is>
          <t>Liên kết active + bật chia sẻ + consent family_sharing?</t>
        </is>
      </c>
      <c r="R11" s="11" t="inlineStr">
        <is>
          <t>-</t>
        </is>
      </c>
      <c r="S11" s="11" t="inlineStr">
        <is>
          <t>-</t>
        </is>
      </c>
      <c r="T11" s="11" t="inlineStr">
        <is>
          <t>Yes</t>
        </is>
      </c>
      <c r="U11" s="11" t="inlineStr">
        <is>
          <t>No</t>
        </is>
      </c>
      <c r="V11" s="11" t="inlineStr">
        <is>
          <t>Yes</t>
        </is>
      </c>
      <c r="W11" s="11" t="inlineStr">
        <is>
          <t>No</t>
        </is>
      </c>
    </row>
    <row r="12" ht="41" customHeight="1">
      <c r="A12" s="7" t="inlineStr">
        <is>
          <t>TC-SCHEDSYNC-BVA-01</t>
        </is>
      </c>
      <c r="B12" s="7" t="inlineStr">
        <is>
          <t>limit ở biên 1 và 200</t>
        </is>
      </c>
      <c r="C12" s="8" t="inlineStr">
        <is>
          <t>P có 2 lịch</t>
        </is>
      </c>
      <c r="D12" s="8" t="inlineStr">
        <is>
          <t>1. GET limit=1
2. GET limit=200</t>
        </is>
      </c>
      <c r="E12" s="8" t="inlineStr">
        <is>
          <t>1 ; 200</t>
        </is>
      </c>
      <c r="F12" s="8" t="inlineStr">
        <is>
          <t>200; limit 1 trả 1 lịch và có next_cursor; limit 200 trả 2 lịch, next_cursor null</t>
        </is>
      </c>
      <c r="G12" s="8" t="inlineStr">
        <is>
          <t>Đúng như kỳ vọng (evidence/testcase-bva-manual.log)</t>
        </is>
      </c>
      <c r="H12" s="7" t="inlineStr">
        <is>
          <t>Pass</t>
        </is>
      </c>
      <c r="I12" s="8" t="inlineStr">
        <is>
          <t>AC23 · BVA (min, max) · manual (scratch/bva_check.py)</t>
        </is>
      </c>
      <c r="Q12" s="10" t="inlineStr">
        <is>
          <t>Người gọi là admin?</t>
        </is>
      </c>
      <c r="R12" s="11" t="inlineStr">
        <is>
          <t>-</t>
        </is>
      </c>
      <c r="S12" s="11" t="inlineStr">
        <is>
          <t>-</t>
        </is>
      </c>
      <c r="T12" s="11" t="inlineStr">
        <is>
          <t>-</t>
        </is>
      </c>
      <c r="U12" s="11" t="inlineStr">
        <is>
          <t>No</t>
        </is>
      </c>
      <c r="V12" s="11" t="inlineStr">
        <is>
          <t>-</t>
        </is>
      </c>
      <c r="W12" s="11" t="inlineStr">
        <is>
          <t>Yes</t>
        </is>
      </c>
    </row>
    <row r="13" ht="41" customHeight="1">
      <c r="A13" s="7" t="inlineStr">
        <is>
          <t>TC-SCHEDSYNC-BVA-02</t>
        </is>
      </c>
      <c r="B13" s="7" t="inlineStr">
        <is>
          <t>limit ở biên 0 và 201</t>
        </is>
      </c>
      <c r="C13" s="8" t="inlineStr">
        <is>
          <t>P bất kỳ</t>
        </is>
      </c>
      <c r="D13" s="8" t="inlineStr">
        <is>
          <t>1. GET limit=0
2. GET limit=201</t>
        </is>
      </c>
      <c r="E13" s="8" t="inlineStr">
        <is>
          <t>0 ; 201</t>
        </is>
      </c>
      <c r="F13" s="8" t="inlineStr">
        <is>
          <t>422 mảng lỗi</t>
        </is>
      </c>
      <c r="G13" s="8" t="inlineStr">
        <is>
          <t>422 cả hai</t>
        </is>
      </c>
      <c r="H13" s="7" t="inlineStr">
        <is>
          <t>Pass</t>
        </is>
      </c>
      <c r="I13" s="8" t="inlineStr">
        <is>
          <t>AC23 · BVA (min-1, max+1) · test_limit_out_of_range_422__AC23</t>
        </is>
      </c>
      <c r="Q13" s="6" t="inlineStr">
        <is>
          <t>Action</t>
        </is>
      </c>
      <c r="R13" s="5" t="inlineStr">
        <is>
          <t>R1</t>
        </is>
      </c>
      <c r="S13" s="5" t="inlineStr">
        <is>
          <t>R2</t>
        </is>
      </c>
      <c r="T13" s="5" t="inlineStr">
        <is>
          <t>R3</t>
        </is>
      </c>
      <c r="U13" s="5" t="inlineStr">
        <is>
          <t>R4</t>
        </is>
      </c>
      <c r="V13" s="5" t="inlineStr">
        <is>
          <t>R5</t>
        </is>
      </c>
      <c r="W13" s="5" t="inlineStr">
        <is>
          <t>R6</t>
        </is>
      </c>
    </row>
    <row r="14" ht="74" customHeight="1">
      <c r="A14" s="7" t="inlineStr">
        <is>
          <t>TC-SCHEDSYNC-04</t>
        </is>
      </c>
      <c r="B14" s="7" t="inlineStr">
        <is>
          <t>Con trỏ hỏng hoặc của người bệnh khác</t>
        </is>
      </c>
      <c r="C14" s="8" t="inlineStr">
        <is>
          <t>P bất kỳ</t>
        </is>
      </c>
      <c r="D14" s="8" t="inlineStr">
        <is>
          <t>1. GET với từng cursor</t>
        </is>
      </c>
      <c r="E14" s="8" t="inlineStr">
        <is>
          <t>!!! ; abc ; eyJhIjoxfQ ; con trỏ mã hoá cho UUID khác</t>
        </is>
      </c>
      <c r="F14" s="8" t="inlineStr">
        <is>
          <t>422 {"detail": "invalid_cursor"}</t>
        </is>
      </c>
      <c r="G14" s="8" t="inlineStr">
        <is>
          <t>422 invalid_cursor cả 4</t>
        </is>
      </c>
      <c r="H14" s="7" t="inlineStr">
        <is>
          <t>Pass</t>
        </is>
      </c>
      <c r="I14" s="8" t="inlineStr">
        <is>
          <t>AC23 · EP (cursor: không hợp lệ) · test_bad_cursor_422__AC23; test_cursor_of_other_patient_422__AC23</t>
        </is>
      </c>
      <c r="Q14" s="10" t="inlineStr">
        <is>
          <t>200, không ghi log</t>
        </is>
      </c>
      <c r="R14" s="11" t="inlineStr">
        <is>
          <t>X</t>
        </is>
      </c>
      <c r="S14" s="11" t="inlineStr"/>
      <c r="T14" s="11" t="inlineStr"/>
      <c r="U14" s="11" t="inlineStr"/>
      <c r="V14" s="11" t="inlineStr"/>
      <c r="W14" s="11" t="inlineStr"/>
    </row>
    <row r="15" ht="57.5" customHeight="1">
      <c r="A15" s="7" t="inlineStr">
        <is>
          <t>TC-SCHEDSYNC-05</t>
        </is>
      </c>
      <c r="B15" s="7" t="inlineStr">
        <is>
          <t>Người thân hợp lệ tải lịch qua nhiều trang</t>
        </is>
      </c>
      <c r="C15" s="8" t="inlineStr">
        <is>
          <t>F có liên kết active, bật chia sẻ; P có consent health_data, family_sharing</t>
        </is>
      </c>
      <c r="D15" s="8" t="inlineStr">
        <is>
          <t>1. F GET limit=2 tới trang cuối</t>
        </is>
      </c>
      <c r="E15" s="8" t="inlineStr">
        <is>
          <t>limit=2</t>
        </is>
      </c>
      <c r="F15" s="8" t="inlineStr">
        <is>
          <t>200 mọi trang; mỗi trang một dòng access_logs allowed, actor_role family</t>
        </is>
      </c>
      <c r="G15" s="8" t="inlineStr">
        <is>
          <t>Đúng như kỳ vọng</t>
        </is>
      </c>
      <c r="H15" s="7" t="inlineStr">
        <is>
          <t>Pass</t>
        </is>
      </c>
      <c r="I15" s="8" t="inlineStr">
        <is>
          <t>AC13 · Decision Table (R3) · test_family_allowed_logged_each_page__AC13</t>
        </is>
      </c>
      <c r="Q15" s="10" t="inlineStr">
        <is>
          <t>403 consent_revoked</t>
        </is>
      </c>
      <c r="R15" s="11" t="inlineStr"/>
      <c r="S15" s="11" t="inlineStr">
        <is>
          <t>X</t>
        </is>
      </c>
      <c r="T15" s="11" t="inlineStr"/>
      <c r="U15" s="11" t="inlineStr"/>
      <c r="V15" s="11" t="inlineStr"/>
      <c r="W15" s="11" t="inlineStr"/>
    </row>
    <row r="16" ht="57.5" customHeight="1">
      <c r="A16" s="7" t="inlineStr">
        <is>
          <t>TC-SCHEDSYNC-06</t>
        </is>
      </c>
      <c r="B16" s="7" t="inlineStr">
        <is>
          <t>Admin tải lịch của người bệnh (QD-32)</t>
        </is>
      </c>
      <c r="C16" s="8" t="inlineStr">
        <is>
          <t>Admin không có liên kết với P</t>
        </is>
      </c>
      <c r="D16" s="8" t="inlineStr">
        <is>
          <t>1. Admin GET /patients/{P}/schedules</t>
        </is>
      </c>
      <c r="E16" s="8" t="inlineStr">
        <is>
          <t>(blank)</t>
        </is>
      </c>
      <c r="F16" s="8" t="inlineStr">
        <is>
          <t>403 {"detail": "khong_co_quyen"}; access_logs denied, actor_role admin</t>
        </is>
      </c>
      <c r="G16" s="8" t="inlineStr">
        <is>
          <t>Đúng như kỳ vọng</t>
        </is>
      </c>
      <c r="H16" s="7" t="inlineStr">
        <is>
          <t>Pass</t>
        </is>
      </c>
      <c r="I16" s="8" t="inlineStr">
        <is>
          <t>AC13 · AC22 · Decision Table (R6) · test_admin_denied_logged__AC13</t>
        </is>
      </c>
      <c r="Q16" s="10" t="inlineStr">
        <is>
          <t>200 + access_logs allowed (family)</t>
        </is>
      </c>
      <c r="R16" s="11" t="inlineStr"/>
      <c r="S16" s="11" t="inlineStr"/>
      <c r="T16" s="11" t="inlineStr">
        <is>
          <t>X</t>
        </is>
      </c>
      <c r="U16" s="11" t="inlineStr"/>
      <c r="V16" s="11" t="inlineStr"/>
      <c r="W16" s="11" t="inlineStr"/>
    </row>
    <row r="17" ht="74" customHeight="1">
      <c r="A17" s="7" t="inlineStr">
        <is>
          <t>TC-SCHEDSYNC-07</t>
        </is>
      </c>
      <c r="B17" s="7" t="inlineStr">
        <is>
          <t>Người lạ tải lịch của người bệnh</t>
        </is>
      </c>
      <c r="C17" s="8" t="inlineStr">
        <is>
          <t>Q không có liên kết với P</t>
        </is>
      </c>
      <c r="D17" s="8" t="inlineStr">
        <is>
          <t>1. Q GET /patients/{P}/schedules</t>
        </is>
      </c>
      <c r="E17" s="8" t="inlineStr">
        <is>
          <t>(blank)</t>
        </is>
      </c>
      <c r="F17" s="8" t="inlineStr">
        <is>
          <t>403 khong_co_quyen; không lộ items; access_logs denied (actor Q, patient P, scope danh_sach_thuoc)</t>
        </is>
      </c>
      <c r="G17" s="8" t="inlineStr">
        <is>
          <t>Đúng như kỳ vọng</t>
        </is>
      </c>
      <c r="H17" s="7" t="inlineStr">
        <is>
          <t>Pass</t>
        </is>
      </c>
      <c r="I17" s="8" t="inlineStr">
        <is>
          <t>AC13 · Decision Table (R4) · kịch bản 'truy cập chéo khi không có liên kết' · test_unlinked_user_denied_logged__AC13</t>
        </is>
      </c>
      <c r="Q17" s="10" t="inlineStr">
        <is>
          <t>403 khong_co_quyen + access_logs denied</t>
        </is>
      </c>
      <c r="R17" s="11" t="inlineStr"/>
      <c r="S17" s="11" t="inlineStr"/>
      <c r="T17" s="11" t="inlineStr"/>
      <c r="U17" s="11" t="inlineStr">
        <is>
          <t>X</t>
        </is>
      </c>
      <c r="V17" s="11" t="inlineStr">
        <is>
          <t>X</t>
        </is>
      </c>
      <c r="W17" s="11" t="inlineStr">
        <is>
          <t>X</t>
        </is>
      </c>
    </row>
    <row r="18" ht="57.5" customHeight="1">
      <c r="A18" s="7" t="inlineStr">
        <is>
          <t>TC-SCHEDSYNC-08</t>
        </is>
      </c>
      <c r="B18" s="7" t="inlineStr">
        <is>
          <t>Người thân thiếu consent hoặc bị tắt chia sẻ</t>
        </is>
      </c>
      <c r="C18" s="8" t="inlineStr">
        <is>
          <t>Liên kết có một trong: tắt chia sẻ, thiếu family_sharing, thiếu health_data</t>
        </is>
      </c>
      <c r="D18" s="8" t="inlineStr">
        <is>
          <t>1. F GET /patients/{P}/schedules</t>
        </is>
      </c>
      <c r="E18" s="8" t="inlineStr">
        <is>
          <t>3 trường hợp</t>
        </is>
      </c>
      <c r="F18" s="8" t="inlineStr">
        <is>
          <t>403; một dòng denied khong_co_quyen</t>
        </is>
      </c>
      <c r="G18" s="8" t="inlineStr">
        <is>
          <t>Đúng như kỳ vọng cả 3</t>
        </is>
      </c>
      <c r="H18" s="7" t="inlineStr">
        <is>
          <t>Pass</t>
        </is>
      </c>
      <c r="I18" s="8" t="inlineStr">
        <is>
          <t>AC13 · Decision Table (R4, R5) · test_family_missing_consent_or_sharing_off_denied</t>
        </is>
      </c>
    </row>
    <row r="19" ht="41" customHeight="1">
      <c r="A19" s="7" t="inlineStr">
        <is>
          <t>TC-SCHEDSYNC-09</t>
        </is>
      </c>
      <c r="B19" s="7" t="inlineStr">
        <is>
          <t>Người thân đổi patient_id sang người bệnh khác</t>
        </is>
      </c>
      <c r="C19" s="8" t="inlineStr">
        <is>
          <t>F liên kết với P, không liên kết với R</t>
        </is>
      </c>
      <c r="D19" s="8" t="inlineStr">
        <is>
          <t>1. F GET /patients/{R}/schedules</t>
        </is>
      </c>
      <c r="E19" s="8" t="inlineStr">
        <is>
          <t>patient_id = R</t>
        </is>
      </c>
      <c r="F19" s="8" t="inlineStr">
        <is>
          <t>403; dòng denied ghi cho R; không có log cho P</t>
        </is>
      </c>
      <c r="G19" s="8" t="inlineStr">
        <is>
          <t>Đúng như kỳ vọng</t>
        </is>
      </c>
      <c r="H19" s="7" t="inlineStr">
        <is>
          <t>Pass</t>
        </is>
      </c>
      <c r="I19" s="8" t="inlineStr">
        <is>
          <t>Cross-patient · test_family_swaps_patient_id_denied</t>
        </is>
      </c>
    </row>
    <row r="20" ht="74" customHeight="1">
      <c r="A20" s="7" t="inlineStr">
        <is>
          <t>TC-SCHEDSYNC-10</t>
        </is>
      </c>
      <c r="B20" s="7" t="inlineStr">
        <is>
          <t>Rút quyền giữa hai trang</t>
        </is>
      </c>
      <c r="C20" s="8" t="inlineStr">
        <is>
          <t>F đã tải trang 1</t>
        </is>
      </c>
      <c r="D20" s="8" t="inlineStr">
        <is>
          <t>1. Rút health_data / family_sharing / tắt chia sẻ / hủy liên kết
2. F gửi trang 2 với next_cursor</t>
        </is>
      </c>
      <c r="E20" s="8" t="inlineStr">
        <is>
          <t>4 trường hợp</t>
        </is>
      </c>
      <c r="F20" s="8" t="inlineStr">
        <is>
          <t>Trang 2 trả 403; nhật ký: allowed rồi denied</t>
        </is>
      </c>
      <c r="G20" s="8" t="inlineStr">
        <is>
          <t>Đúng như kỳ vọng cả 4</t>
        </is>
      </c>
      <c r="H20" s="7" t="inlineStr">
        <is>
          <t>Pass</t>
        </is>
      </c>
      <c r="I20" s="8" t="inlineStr">
        <is>
          <t>AC14 · kịch bản 'rút consent hoặc hủy liên kết → 403 ngay' · test_revoke_between_pages_403__AC14</t>
        </is>
      </c>
    </row>
    <row r="21" ht="41" customHeight="1">
      <c r="A21" s="7" t="inlineStr">
        <is>
          <t>TC-SCHEDSYNC-11</t>
        </is>
      </c>
      <c r="B21" s="7" t="inlineStr">
        <is>
          <t>Ghi access log thất bại khi người thân đọc</t>
        </is>
      </c>
      <c r="C21" s="8" t="inlineStr">
        <is>
          <t>Giả lập lỗi ghi access_logs allowed</t>
        </is>
      </c>
      <c r="D21" s="8" t="inlineStr">
        <is>
          <t>1. F GET /patients/{P}/schedules</t>
        </is>
      </c>
      <c r="E21" s="8" t="inlineStr">
        <is>
          <t>append_allowed ném lỗi</t>
        </is>
      </c>
      <c r="F21" s="8" t="inlineStr">
        <is>
          <t>500; response không chứa dữ liệu lịch</t>
        </is>
      </c>
      <c r="G21" s="8" t="inlineStr">
        <is>
          <t>500, không có dữ liệu</t>
        </is>
      </c>
      <c r="H21" s="7" t="inlineStr">
        <is>
          <t>Pass</t>
        </is>
      </c>
      <c r="I21" s="8" t="inlineStr">
        <is>
          <t>Fail-closed · test_allowed_log_failure_fails_request</t>
        </is>
      </c>
    </row>
    <row r="22" ht="74" customHeight="1">
      <c r="A22" s="7" t="inlineStr">
        <is>
          <t>TC-SCHEDSYNC-12</t>
        </is>
      </c>
      <c r="B22" s="7" t="inlineStr">
        <is>
          <t>Người thân, admin, người lạ gọi endpoint ghi lịch</t>
        </is>
      </c>
      <c r="C22" s="8" t="inlineStr">
        <is>
          <t>X của P</t>
        </is>
      </c>
      <c r="D22" s="8" t="inlineStr">
        <is>
          <t>1. POST schedules
2. PATCH schedule
3. DELETE schedule
4. PATCH /medications/{X} days_of_week</t>
        </is>
      </c>
      <c r="E22" s="8" t="inlineStr">
        <is>
          <t>3 vai × 4 endpoint</t>
        </is>
      </c>
      <c r="F22" s="8" t="inlineStr">
        <is>
          <t>403 khong_co_quyen cả 4; 4 dòng denied với vai thực tế; X không đổi</t>
        </is>
      </c>
      <c r="G22" s="8" t="inlineStr">
        <is>
          <t>Đúng như kỳ vọng</t>
        </is>
      </c>
      <c r="H22" s="7" t="inlineStr">
        <is>
          <t>Pass</t>
        </is>
      </c>
      <c r="I22" s="8" t="inlineStr">
        <is>
          <t>AC15 · test_write_endpoints_denied_for_family_admin_stranger__AC15</t>
        </is>
      </c>
    </row>
    <row r="23" ht="57.5" customHeight="1">
      <c r="A23" s="7" t="inlineStr">
        <is>
          <t>TC-SCHEDSYNC-13</t>
        </is>
      </c>
      <c r="B23" s="7" t="inlineStr">
        <is>
          <t>Người bệnh đã rút consent health_data ghi hoặc đọc lịch</t>
        </is>
      </c>
      <c r="C23" s="8" t="inlineStr">
        <is>
          <t>P rút health_data</t>
        </is>
      </c>
      <c r="D23" s="8" t="inlineStr">
        <is>
          <t>1. Gọi 4 endpoint ghi
2. GET /patients/{P}/schedules</t>
        </is>
      </c>
      <c r="E23" s="8" t="inlineStr">
        <is>
          <t>(blank)</t>
        </is>
      </c>
      <c r="F23" s="8" t="inlineStr">
        <is>
          <t>403 {"detail": "consent_revoked"}; không ghi gì</t>
        </is>
      </c>
      <c r="G23" s="8" t="inlineStr">
        <is>
          <t>Đúng như kỳ vọng</t>
        </is>
      </c>
      <c r="H23" s="7" t="inlineStr">
        <is>
          <t>Pass</t>
        </is>
      </c>
      <c r="I23" s="8" t="inlineStr">
        <is>
          <t>AC15 · Decision Table (R2) · test_self_revoked_consent_cannot_write__AC15</t>
        </is>
      </c>
    </row>
    <row r="24" ht="57.5" customHeight="1">
      <c r="A24" s="7" t="inlineStr">
        <is>
          <t>TC-SCHEDSYNC-14</t>
        </is>
      </c>
      <c r="B24" s="7" t="inlineStr">
        <is>
          <t>patient_id không ứng với tài khoản nào</t>
        </is>
      </c>
      <c r="C24" s="8" t="inlineStr">
        <is>
          <t>Người dùng thường hoặc admin</t>
        </is>
      </c>
      <c r="D24" s="8" t="inlineStr">
        <is>
          <t>1. GET /patients/{UUID ngẫu nhiên}/schedules</t>
        </is>
      </c>
      <c r="E24" s="8" t="inlineStr">
        <is>
          <t>uuid4 chưa có</t>
        </is>
      </c>
      <c r="F24" s="8" t="inlineStr">
        <is>
          <t>403 khong_co_quyen; không có dòng access_logs; không 5xx</t>
        </is>
      </c>
      <c r="G24" s="8" t="inlineStr">
        <is>
          <t>Đúng như kỳ vọng cả hai vai</t>
        </is>
      </c>
      <c r="H24" s="7" t="inlineStr">
        <is>
          <t>Pass</t>
        </is>
      </c>
      <c r="I24" s="8" t="inlineStr">
        <is>
          <t>AC16 · EP (patient_id: UUID không có tài khoản) · test_unknown_patient_403_without_log__AC16</t>
        </is>
      </c>
    </row>
    <row r="25" ht="57.5" customHeight="1">
      <c r="A25" s="7" t="inlineStr">
        <is>
          <t>TC-SCHEDSYNC-15</t>
        </is>
      </c>
      <c r="B25" s="7" t="inlineStr">
        <is>
          <t>Gọi không có token hoặc token sai; thuốc đã xoá</t>
        </is>
      </c>
      <c r="C25" s="8" t="inlineStr">
        <is>
          <t>X của P</t>
        </is>
      </c>
      <c r="D25" s="8" t="inlineStr">
        <is>
          <t>1. Gọi 4 endpoint không có header và với 'Bearer x'
2. Xoá X rồi gọi 3 endpoint ghi lịch</t>
        </is>
      </c>
      <c r="E25" s="8" t="inlineStr">
        <is>
          <t>(blank) ; Bearer x</t>
        </is>
      </c>
      <c r="F25" s="8" t="inlineStr">
        <is>
          <t>401 khi thiếu hoặc sai token; 404 user_medication_not_found khi thuốc đã xoá</t>
        </is>
      </c>
      <c r="G25" s="8" t="inlineStr">
        <is>
          <t>Đúng như kỳ vọng</t>
        </is>
      </c>
      <c r="H25" s="7" t="inlineStr">
        <is>
          <t>Pass</t>
        </is>
      </c>
      <c r="I25" s="8" t="inlineStr">
        <is>
          <t>AC16 · test_unauthenticated_401_and_unknown_medication_404__AC16</t>
        </is>
      </c>
    </row>
    <row r="26" ht="57.5" customHeight="1">
      <c r="A26" s="7" t="inlineStr">
        <is>
          <t>TC-SCHEDSYNC-16</t>
        </is>
      </c>
      <c r="B26" s="7" t="inlineStr">
        <is>
          <t>patient_id sai định dạng</t>
        </is>
      </c>
      <c r="C26" s="8" t="inlineStr">
        <is>
          <t>Đã đăng nhập</t>
        </is>
      </c>
      <c r="D26" s="8" t="inlineStr">
        <is>
          <t>1. GET /patients/abc/schedules</t>
        </is>
      </c>
      <c r="E26" s="8" t="inlineStr">
        <is>
          <t>abc</t>
        </is>
      </c>
      <c r="F26" s="8" t="inlineStr">
        <is>
          <t>422 mảng lỗi</t>
        </is>
      </c>
      <c r="G26" s="8" t="inlineStr">
        <is>
          <t>422 mảng lỗi</t>
        </is>
      </c>
      <c r="H26" s="7" t="inlineStr">
        <is>
          <t>Pass</t>
        </is>
      </c>
      <c r="I26" s="8" t="inlineStr">
        <is>
          <t>AC16 · EP (patient_id: không phải UUID) · tests/unit test_patient_id_must_be_uuid</t>
        </is>
      </c>
    </row>
    <row r="27" ht="57.5" customHeight="1">
      <c r="A27" s="7" t="inlineStr">
        <is>
          <t>TC-SCHEDSYNC-17</t>
        </is>
      </c>
      <c r="B27" s="7" t="inlineStr">
        <is>
          <t>Admin xem một thuốc của người bệnh (QD-32)</t>
        </is>
      </c>
      <c r="C27" s="8" t="inlineStr">
        <is>
          <t>X của P; admin không có liên kết</t>
        </is>
      </c>
      <c r="D27" s="8" t="inlineStr">
        <is>
          <t>1. Admin GET /medications/{X}
2. Admin PATCH /medications/{X}</t>
        </is>
      </c>
      <c r="E27" s="8" t="inlineStr">
        <is>
          <t>{"quantity_per_dose": 3}</t>
        </is>
      </c>
      <c r="F27" s="8" t="inlineStr">
        <is>
          <t>403 cả hai; 2 dòng denied actor_role admin</t>
        </is>
      </c>
      <c r="G27" s="8" t="inlineStr">
        <is>
          <t>Đúng như kỳ vọng</t>
        </is>
      </c>
      <c r="H27" s="7" t="inlineStr">
        <is>
          <t>Pass</t>
        </is>
      </c>
      <c r="I27" s="8" t="inlineStr">
        <is>
          <t>AC22 · test_admin_get_medication_403_denied__AC22; test_admin_cannot_read_or_write__AC15_QD32</t>
        </is>
      </c>
    </row>
    <row r="28" ht="57.5" customHeight="1">
      <c r="A28" s="7" t="inlineStr">
        <is>
          <t>TC-SCHEDSYNC-18</t>
        </is>
      </c>
      <c r="B28" s="7" t="inlineStr">
        <is>
          <t>Admin xác nhận liều hộ (QD-32)</t>
        </is>
      </c>
      <c r="C28" s="8" t="inlineStr">
        <is>
          <t>Lịch S1 của P; admin không có liên kết</t>
        </is>
      </c>
      <c r="D28" s="8" t="inlineStr">
        <is>
          <t>1. Admin POST /doses/batch với một liều của S1</t>
        </is>
      </c>
      <c r="E28" s="8" t="inlineStr">
        <is>
          <t>schedule_id = S1, scheduled_at = 5 phút trước</t>
        </is>
      </c>
      <c r="F28" s="8" t="inlineStr">
        <is>
          <t>200; item result failed, http_status 403; không có dose_logs; access_logs denied admin, scope lich_su_tuan_thu</t>
        </is>
      </c>
      <c r="G28" s="8" t="inlineStr">
        <is>
          <t>Đúng như kỳ vọng</t>
        </is>
      </c>
      <c r="H28" s="7" t="inlineStr">
        <is>
          <t>Pass</t>
        </is>
      </c>
      <c r="I28" s="8" t="inlineStr">
        <is>
          <t>AC22 · test_admin_dose_batch_rejected__AC22</t>
        </is>
      </c>
    </row>
    <row r="29" ht="57.5" customHeight="1">
      <c r="A29" s="7" t="inlineStr">
        <is>
          <t>TC-SCHEDSYNC-19</t>
        </is>
      </c>
      <c r="B29" s="7" t="inlineStr">
        <is>
          <t>App người thân không lưu lịch xuống máy (QD-29)</t>
        </is>
      </c>
      <c r="C29" s="8" t="inlineStr">
        <is>
          <t>App mobile của người thân đã nối GET /patients/{id}/schedules</t>
        </is>
      </c>
      <c r="D29" s="8" t="inlineStr">
        <is>
          <t>1. Người thân mở lịch của người bệnh
2. Tắt mạng, đóng và mở lại app
3. Kiểm tra CSDL cục bộ</t>
        </is>
      </c>
      <c r="E29" s="8" t="inlineStr">
        <is>
          <t>(blank)</t>
        </is>
      </c>
      <c r="F29" s="8" t="inlineStr">
        <is>
          <t>Không có lịch của người bệnh trong CSDL cục bộ; chỉ giữ trong phiên</t>
        </is>
      </c>
      <c r="G29" s="8" t="inlineStr"/>
      <c r="H29" s="7" t="inlineStr">
        <is>
          <t>Pending</t>
        </is>
      </c>
      <c r="I29" s="8" t="inlineStr">
        <is>
          <t>QD-29 · manual · cần app mobile (chưa có task nối API)</t>
        </is>
      </c>
    </row>
    <row r="30"/>
    <row r="31"/>
    <row r="32">
      <c r="G32" s="12" t="inlineStr">
        <is>
          <t>Pass</t>
        </is>
      </c>
      <c r="H32" s="13">
        <f>COUNTIF(H9:H29,"Pass")</f>
        <v/>
      </c>
    </row>
    <row r="33">
      <c r="G33" s="12" t="inlineStr">
        <is>
          <t>Fail</t>
        </is>
      </c>
      <c r="H33" s="13">
        <f>COUNTIF(H9:H29,"Fail")</f>
        <v/>
      </c>
    </row>
    <row r="34">
      <c r="G34" s="12" t="inlineStr">
        <is>
          <t>Pending</t>
        </is>
      </c>
      <c r="H34" s="13">
        <f>COUNTIF(H9:H29,"Pending")</f>
        <v/>
      </c>
    </row>
    <row r="35">
      <c r="G35" s="12" t="inlineStr">
        <is>
          <t>Total</t>
        </is>
      </c>
      <c r="H35" s="13">
        <f>SUM(H32:H34)</f>
        <v/>
      </c>
    </row>
  </sheetData>
  <autoFilter ref="A8:I29"/>
  <conditionalFormatting sqref="H9:H29">
    <cfRule type="cellIs" priority="1" operator="equal" dxfId="0">
      <formula>"Fail"</formula>
    </cfRule>
  </conditionalFormatting>
  <dataValidations count="1">
    <dataValidation sqref="H9:H29" showDropDown="0" showInputMessage="0" showErrorMessage="0" allowBlank="0" type="list">
      <formula1>"Pass,Fail,Pending"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5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Danh mục tương tác thuốc-thuốc (admin) (DDIRULE)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c r="Q7" s="4" t="inlineStr">
        <is>
          <t>Quyền gọi endpoint /admin/drug-interactions</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row>
    <row r="9" ht="107" customHeight="1">
      <c r="A9" s="7" t="inlineStr">
        <is>
          <t>TC-DDIRULE-01</t>
        </is>
      </c>
      <c r="B9" s="7" t="inlineStr">
        <is>
          <t>Tạo quy tắc chống chỉ định giữa hai hoạt chất trong danh mục</t>
        </is>
      </c>
      <c r="C9" s="8" t="inlineStr">
        <is>
          <t>Đăng nhập admin (phiên admin_web); hoạt chất X, Y có trong danh mục</t>
        </is>
      </c>
      <c r="D9" s="8" t="inlineStr">
        <is>
          <t>1. POST /admin/drug-interactions với A = X, B = Y, chong_chi_dinh, mức 4, tranh_phoi_hop, mô tả, nguồn
2. Kiểm dòng DB của phiên bản vừa tạo</t>
        </is>
      </c>
      <c r="E9" s="8" t="inlineStr">
        <is>
          <t>{ingredient_a_id: X, ingredient_b_id: Y, interaction_type: chong_chi_dinh, severity_level: 4, handling_type: tranh_phoi_hop}</t>
        </is>
      </c>
      <c r="F9" s="8" t="inlineStr">
        <is>
          <t>201; version = 1, state = current; ingredient_a/ingredient_b có id và standard_name; verification_status = da_xac_minh; updated_by.id = admin. DB: ingredient_b_in_table_a = co, deleted_at rỗng, created_by = admin</t>
        </is>
      </c>
      <c r="G9" s="8" t="inlineStr">
        <is>
          <t>201 và các giá trị đúng như mong đợi</t>
        </is>
      </c>
      <c r="H9" s="7" t="inlineStr">
        <is>
          <t>Pass</t>
        </is>
      </c>
      <c r="I9" s="8" t="inlineStr">
        <is>
          <t>AC1 · EP (1) · test_create_with_catalog_ingredient_b__AC1</t>
        </is>
      </c>
      <c r="K9" s="9" t="inlineStr">
        <is>
          <t>Hoạt chất B</t>
        </is>
      </c>
      <c r="L9" s="10" t="inlineStr">
        <is>
          <t>ingredient_b_id có trong danh mục, khác A
ingredient_b_external_name (chất ngoài danh mục)</t>
        </is>
      </c>
      <c r="M9" s="10" t="inlineStr">
        <is>
          <t>1
2</t>
        </is>
      </c>
      <c r="N9" s="10" t="inlineStr">
        <is>
          <t>gửi cả hai
không gửi cả hai
id không tồn tại
B trùng A</t>
        </is>
      </c>
      <c r="O9" s="10" t="inlineStr">
        <is>
          <t>9
10
11
12</t>
        </is>
      </c>
      <c r="Q9" s="10" t="inlineStr">
        <is>
          <t>Có token hợp lệ?</t>
        </is>
      </c>
      <c r="R9" s="11" t="inlineStr">
        <is>
          <t>No</t>
        </is>
      </c>
      <c r="S9" s="11" t="inlineStr">
        <is>
          <t>Yes</t>
        </is>
      </c>
      <c r="T9" s="11" t="inlineStr">
        <is>
          <t>Yes</t>
        </is>
      </c>
    </row>
    <row r="10" ht="57.5" customHeight="1">
      <c r="A10" s="7" t="inlineStr">
        <is>
          <t>TC-DDIRULE-02</t>
        </is>
      </c>
      <c r="B10" s="7" t="inlineStr">
        <is>
          <t>Tạo quy tắc với hoạt chất B là chất ngoài danh mục</t>
        </is>
      </c>
      <c r="C10" s="8" t="inlineStr">
        <is>
          <t>Admin; hoạt chất X có trong danh mục</t>
        </is>
      </c>
      <c r="D10" s="8" t="inlineStr">
        <is>
          <t>1. POST /admin/drug-interactions với ingredient_b_external_name = "Rượu", không gửi ingredient_b_id</t>
        </is>
      </c>
      <c r="E10" s="8" t="inlineStr">
        <is>
          <t>ingredient_b_external_name: Rượu</t>
        </is>
      </c>
      <c r="F10" s="8" t="inlineStr">
        <is>
          <t>201; ingredient_b = null, ingredient_b_external_name = Rượu; DB: ingredient_b_id rỗng, ingredient_b_in_table_a = khong</t>
        </is>
      </c>
      <c r="G10" s="8" t="inlineStr">
        <is>
          <t>201, DB đúng như mong đợi</t>
        </is>
      </c>
      <c r="H10" s="7" t="inlineStr">
        <is>
          <t>Pass</t>
        </is>
      </c>
      <c r="I10" s="8" t="inlineStr">
        <is>
          <t>AC2 · EP (2) · test_create_with_external_ingredient_b__AC2</t>
        </is>
      </c>
      <c r="K10" s="9" t="inlineStr">
        <is>
          <t>severity_level</t>
        </is>
      </c>
      <c r="L10" s="10" t="inlineStr">
        <is>
          <t>1–4</t>
        </is>
      </c>
      <c r="M10" s="10" t="inlineStr">
        <is>
          <t>3</t>
        </is>
      </c>
      <c r="N10" s="10" t="inlineStr">
        <is>
          <t>&lt; 1
&gt; 4
chong_chi_dinh mà khác 4</t>
        </is>
      </c>
      <c r="O10" s="10" t="inlineStr">
        <is>
          <t>13
14
15</t>
        </is>
      </c>
      <c r="Q10" s="10" t="inlineStr">
        <is>
          <t>system_role = admin?</t>
        </is>
      </c>
      <c r="R10" s="11" t="inlineStr">
        <is>
          <t>-</t>
        </is>
      </c>
      <c r="S10" s="11" t="inlineStr">
        <is>
          <t>No</t>
        </is>
      </c>
      <c r="T10" s="11" t="inlineStr">
        <is>
          <t>Yes</t>
        </is>
      </c>
    </row>
    <row r="11" ht="107" customHeight="1">
      <c r="A11" s="7" t="inlineStr">
        <is>
          <t>TC-DDIRULE-03</t>
        </is>
      </c>
      <c r="B11" s="7" t="inlineStr">
        <is>
          <t>Tạo, thay và giữ ngưỡng liều của quy tắc phụ thuộc liều</t>
        </is>
      </c>
      <c r="C11" s="8" t="inlineStr">
        <is>
          <t>Admin; hoạt chất X, Y</t>
        </is>
      </c>
      <c r="D11" s="8" t="inlineStr">
        <is>
          <t>1. POST với 2 ngưỡng (A 0–100 mg/ngày mức 2; B ≥300 mg/ngày mức 4)
2. GET /admin/drug-interactions/{id}
3. PATCH gửi dose_thresholds 1 ngưỡng (A 50–60)
4. PATCH chỉ đổi description</t>
        </is>
      </c>
      <c r="E11" s="8" t="inlineStr">
        <is>
          <t>dose_thresholds như bước</t>
        </is>
      </c>
      <c r="F11" s="8" t="inlineStr">
        <is>
          <t>GET trả đủ 2 ngưỡng; sau PATCH thứ nhất chỉ còn ngưỡng 50–60; sau PATCH thứ hai ngưỡng giữ nguyên</t>
        </is>
      </c>
      <c r="G11" s="8" t="inlineStr">
        <is>
          <t>Đúng như mong đợi</t>
        </is>
      </c>
      <c r="H11" s="7" t="inlineStr">
        <is>
          <t>Pass</t>
        </is>
      </c>
      <c r="I11" s="8" t="inlineStr">
        <is>
          <t>AC3 · test_dose_thresholds_create_replace_keep__AC3</t>
        </is>
      </c>
      <c r="K11" s="9" t="inlineStr">
        <is>
          <t>min_interval_hours</t>
        </is>
      </c>
      <c r="L11" s="10" t="inlineStr">
        <is>
          <t>null
0 &lt; số giờ ≤ 168 với cach_gio</t>
        </is>
      </c>
      <c r="M11" s="10" t="inlineStr">
        <is>
          <t>4
5</t>
        </is>
      </c>
      <c r="N11" s="10" t="inlineStr">
        <is>
          <t>≤ 0
&gt; 168
có giá trị mà handling_type khác cach_gio</t>
        </is>
      </c>
      <c r="O11" s="10" t="inlineStr">
        <is>
          <t>16
17
18</t>
        </is>
      </c>
      <c r="Q11" s="6" t="inlineStr">
        <is>
          <t>Action</t>
        </is>
      </c>
      <c r="R11" s="5" t="inlineStr">
        <is>
          <t>R1</t>
        </is>
      </c>
      <c r="S11" s="5" t="inlineStr">
        <is>
          <t>R2</t>
        </is>
      </c>
      <c r="T11" s="5" t="inlineStr">
        <is>
          <t>R3</t>
        </is>
      </c>
    </row>
    <row r="12" ht="123.5" customHeight="1">
      <c r="A12" s="7" t="inlineStr">
        <is>
          <t>TC-DDIRULE-04</t>
        </is>
      </c>
      <c r="B12" s="7" t="inlineStr">
        <is>
          <t>Từ chối tạo quy tắc có A trùng B</t>
        </is>
      </c>
      <c r="C12" s="8" t="inlineStr">
        <is>
          <t>Admin; hoạt chất X</t>
        </is>
      </c>
      <c r="D12" s="8" t="inlineStr">
        <is>
          <t>1. POST với ingredient_a_id = ingredient_b_id = X
2. Đếm quy tắc và ngưỡng chạm X</t>
        </is>
      </c>
      <c r="E12" s="8" t="inlineStr">
        <is>
          <t>A = B = X</t>
        </is>
      </c>
      <c r="F12" s="8" t="inlineStr">
        <is>
          <t>422 {"detail": "same_ingredient"}; không có dòng mới</t>
        </is>
      </c>
      <c r="G12" s="8" t="inlineStr">
        <is>
          <t>422 same_ingredient; số dòng không đổi</t>
        </is>
      </c>
      <c r="H12" s="7" t="inlineStr">
        <is>
          <t>Pass</t>
        </is>
      </c>
      <c r="I12" s="8" t="inlineStr">
        <is>
          <t>AC4 · EP (12) · test_validation_errors_write_nothing__AC4</t>
        </is>
      </c>
      <c r="K12" s="9" t="inlineStr">
        <is>
          <t>dose_thresholds</t>
        </is>
      </c>
      <c r="L12" s="10" t="inlineStr">
        <is>
          <t>0–20 ngưỡng hợp lệ với phu_thuoc_lieu</t>
        </is>
      </c>
      <c r="M12" s="10" t="inlineStr">
        <is>
          <t>6</t>
        </is>
      </c>
      <c r="N12" s="10" t="inlineStr">
        <is>
          <t>&gt; 20 ngưỡng
min_dose &gt; max_dose
thiếu cả min và max
liều âm
ingredient_ref = B khi B ngoài danh mục
có ngưỡng với chong_chi_dinh</t>
        </is>
      </c>
      <c r="O12" s="10" t="inlineStr">
        <is>
          <t>19
20
21
22
23
24</t>
        </is>
      </c>
      <c r="Q12" s="10" t="inlineStr">
        <is>
          <t>401</t>
        </is>
      </c>
      <c r="R12" s="11" t="inlineStr">
        <is>
          <t>X</t>
        </is>
      </c>
      <c r="S12" s="11" t="inlineStr"/>
      <c r="T12" s="11" t="inlineStr"/>
    </row>
    <row r="13" ht="41" customHeight="1">
      <c r="A13" s="7" t="inlineStr">
        <is>
          <t>TC-DDIRULE-05</t>
        </is>
      </c>
      <c r="B13" s="7" t="inlineStr">
        <is>
          <t>Từ chối tạo quy tắc với id hoạt chất không tồn tại</t>
        </is>
      </c>
      <c r="C13" s="8" t="inlineStr">
        <is>
          <t>Admin</t>
        </is>
      </c>
      <c r="D13" s="8" t="inlineStr">
        <is>
          <t>1. POST với ingredient_b_id = 2000000000</t>
        </is>
      </c>
      <c r="E13" s="8" t="inlineStr">
        <is>
          <t>ingredient_b_id: 2000000000</t>
        </is>
      </c>
      <c r="F13" s="8" t="inlineStr">
        <is>
          <t>422 {"detail": "active_ingredient_not_found"}; không có dòng mới</t>
        </is>
      </c>
      <c r="G13" s="8" t="inlineStr">
        <is>
          <t>422 active_ingredient_not_found</t>
        </is>
      </c>
      <c r="H13" s="7" t="inlineStr">
        <is>
          <t>Pass</t>
        </is>
      </c>
      <c r="I13" s="8" t="inlineStr">
        <is>
          <t>AC4 · EP (11) · test_validation_errors_write_nothing__AC4</t>
        </is>
      </c>
      <c r="K13" s="9" t="inlineStr">
        <is>
          <t>verification_status (request)</t>
        </is>
      </c>
      <c r="L13" s="10" t="inlineStr">
        <is>
          <t>không gửi</t>
        </is>
      </c>
      <c r="M13" s="10" t="inlineStr">
        <is>
          <t>7</t>
        </is>
      </c>
      <c r="N13" s="10" t="inlineStr">
        <is>
          <t>gửi bất kỳ giá trị</t>
        </is>
      </c>
      <c r="O13" s="10" t="inlineStr">
        <is>
          <t>25</t>
        </is>
      </c>
      <c r="Q13" s="10" t="inlineStr">
        <is>
          <t>403 admin_only, không ghi gì</t>
        </is>
      </c>
      <c r="R13" s="11" t="inlineStr"/>
      <c r="S13" s="11" t="inlineStr">
        <is>
          <t>X</t>
        </is>
      </c>
      <c r="T13" s="11" t="inlineStr"/>
    </row>
    <row r="14" ht="41" customHeight="1">
      <c r="A14" s="7" t="inlineStr">
        <is>
          <t>TC-DDIRULE-06</t>
        </is>
      </c>
      <c r="B14" s="7" t="inlineStr">
        <is>
          <t>Từ chối gửi cả ingredient_b_id và ingredient_b_external_name</t>
        </is>
      </c>
      <c r="C14" s="8" t="inlineStr">
        <is>
          <t>Admin; X, Y</t>
        </is>
      </c>
      <c r="D14" s="8" t="inlineStr">
        <is>
          <t>1. POST với cả ingredient_b_id = Y và ingredient_b_external_name = Rượu</t>
        </is>
      </c>
      <c r="E14" s="8" t="inlineStr">
        <is>
          <t>cả hai field B</t>
        </is>
      </c>
      <c r="F14" s="8" t="inlineStr">
        <is>
          <t>422 ValidationError (detail là mảng lỗi theo field); không có dòng mới</t>
        </is>
      </c>
      <c r="G14" s="8" t="inlineStr">
        <is>
          <t>422 ValidationError</t>
        </is>
      </c>
      <c r="H14" s="7" t="inlineStr">
        <is>
          <t>Pass</t>
        </is>
      </c>
      <c r="I14" s="8" t="inlineStr">
        <is>
          <t>AC4 · EP (9) · test_validation_errors_write_nothing__AC4</t>
        </is>
      </c>
      <c r="K14" s="9" t="inlineStr">
        <is>
          <t>expected_version (PATCH/DELETE)</t>
        </is>
      </c>
      <c r="L14" s="10" t="inlineStr">
        <is>
          <t>bằng phiên bản hiện hành</t>
        </is>
      </c>
      <c r="M14" s="10" t="inlineStr">
        <is>
          <t>8</t>
        </is>
      </c>
      <c r="N14" s="10" t="inlineStr">
        <is>
          <t>phiên bản cũ
thiếu</t>
        </is>
      </c>
      <c r="O14" s="10" t="inlineStr">
        <is>
          <t>26
27</t>
        </is>
      </c>
      <c r="Q14" s="10" t="inlineStr">
        <is>
          <t>Xử lý theo nghiệp vụ</t>
        </is>
      </c>
      <c r="R14" s="11" t="inlineStr"/>
      <c r="S14" s="11" t="inlineStr"/>
      <c r="T14" s="11" t="inlineStr">
        <is>
          <t>X</t>
        </is>
      </c>
    </row>
    <row r="15" ht="41" customHeight="1">
      <c r="A15" s="7" t="inlineStr">
        <is>
          <t>TC-DDIRULE-07</t>
        </is>
      </c>
      <c r="B15" s="7" t="inlineStr">
        <is>
          <t>Từ chối không gửi hoạt chất B</t>
        </is>
      </c>
      <c r="C15" s="8" t="inlineStr">
        <is>
          <t>Admin; X</t>
        </is>
      </c>
      <c r="D15" s="8" t="inlineStr">
        <is>
          <t>1. POST không có ingredient_b_id lẫn ingredient_b_external_name</t>
        </is>
      </c>
      <c r="E15" s="8" t="inlineStr">
        <is>
          <t>thiếu B</t>
        </is>
      </c>
      <c r="F15" s="8" t="inlineStr">
        <is>
          <t>422 ValidationError</t>
        </is>
      </c>
      <c r="G15" s="8" t="inlineStr">
        <is>
          <t>422 ValidationError</t>
        </is>
      </c>
      <c r="H15" s="7" t="inlineStr">
        <is>
          <t>Pass</t>
        </is>
      </c>
      <c r="I15" s="8" t="inlineStr">
        <is>
          <t>AC4 · EP (10) · test_create_without_b_422 (unit)</t>
        </is>
      </c>
    </row>
    <row r="16" ht="41" customHeight="1">
      <c r="A16" s="7" t="inlineStr">
        <is>
          <t>TC-DDIRULE-08</t>
        </is>
      </c>
      <c r="B16" s="7" t="inlineStr">
        <is>
          <t>Từ chối chống chỉ định với mức độ khác 4</t>
        </is>
      </c>
      <c r="C16" s="8" t="inlineStr">
        <is>
          <t>Admin; X, Y</t>
        </is>
      </c>
      <c r="D16" s="8" t="inlineStr">
        <is>
          <t>1. POST interaction_type = chong_chi_dinh, severity_level = 2</t>
        </is>
      </c>
      <c r="E16" s="8" t="inlineStr">
        <is>
          <t>chong_chi_dinh, mức 2</t>
        </is>
      </c>
      <c r="F16" s="8" t="inlineStr">
        <is>
          <t>422 {"detail": "contraindication_severity_mismatch"}</t>
        </is>
      </c>
      <c r="G16" s="8" t="inlineStr">
        <is>
          <t>422 contraindication_severity_mismatch</t>
        </is>
      </c>
      <c r="H16" s="7" t="inlineStr">
        <is>
          <t>Pass</t>
        </is>
      </c>
      <c r="I16" s="8" t="inlineStr">
        <is>
          <t>AC4 · EP (15) · test_validation_errors_write_nothing__AC4</t>
        </is>
      </c>
    </row>
    <row r="17" ht="41" customHeight="1">
      <c r="A17" s="7" t="inlineStr">
        <is>
          <t>TC-DDIRULE-09</t>
        </is>
      </c>
      <c r="B17" s="7" t="inlineStr">
        <is>
          <t>Từ chối chống chỉ định kèm ngưỡng liều</t>
        </is>
      </c>
      <c r="C17" s="8" t="inlineStr">
        <is>
          <t>Admin; X, Y</t>
        </is>
      </c>
      <c r="D17" s="8" t="inlineStr">
        <is>
          <t>1. POST chong_chi_dinh, mức 4, có 1 ngưỡng</t>
        </is>
      </c>
      <c r="E17" s="8" t="inlineStr">
        <is>
          <t>chong_chi_dinh + dose_thresholds[1]</t>
        </is>
      </c>
      <c r="F17" s="8" t="inlineStr">
        <is>
          <t>422 {"detail": "threshold_not_allowed"}</t>
        </is>
      </c>
      <c r="G17" s="8" t="inlineStr">
        <is>
          <t>422 threshold_not_allowed</t>
        </is>
      </c>
      <c r="H17" s="7" t="inlineStr">
        <is>
          <t>Pass</t>
        </is>
      </c>
      <c r="I17" s="8" t="inlineStr">
        <is>
          <t>AC4 · EP (24) · test_validation_errors_write_nothing__AC4</t>
        </is>
      </c>
      <c r="Q17" s="4" t="inlineStr">
        <is>
          <t>Kết quả PATCH theo phiên bản và nội dung</t>
        </is>
      </c>
    </row>
    <row r="18" ht="41" customHeight="1">
      <c r="A18" s="7" t="inlineStr">
        <is>
          <t>TC-DDIRULE-10</t>
        </is>
      </c>
      <c r="B18" s="7" t="inlineStr">
        <is>
          <t>Từ chối ngưỡng có min_dose lớn hơn max_dose</t>
        </is>
      </c>
      <c r="C18" s="8" t="inlineStr">
        <is>
          <t>Admin; X, Y</t>
        </is>
      </c>
      <c r="D18" s="8" t="inlineStr">
        <is>
          <t>1. POST với ngưỡng min_dose = 100, max_dose = 50</t>
        </is>
      </c>
      <c r="E18" s="8" t="inlineStr">
        <is>
          <t>min 100, max 50</t>
        </is>
      </c>
      <c r="F18" s="8" t="inlineStr">
        <is>
          <t>422 {"detail": "threshold_range_invalid"}</t>
        </is>
      </c>
      <c r="G18" s="8" t="inlineStr">
        <is>
          <t>422 threshold_range_invalid</t>
        </is>
      </c>
      <c r="H18" s="7" t="inlineStr">
        <is>
          <t>Pass</t>
        </is>
      </c>
      <c r="I18" s="8" t="inlineStr">
        <is>
          <t>AC4 · EP (20) · test_validation_errors_write_nothing__AC4</t>
        </is>
      </c>
      <c r="Q18" s="6" t="inlineStr">
        <is>
          <t>Rule</t>
        </is>
      </c>
      <c r="R18" s="5" t="inlineStr">
        <is>
          <t>R1</t>
        </is>
      </c>
      <c r="S18" s="5" t="inlineStr">
        <is>
          <t>R2</t>
        </is>
      </c>
      <c r="T18" s="5" t="inlineStr">
        <is>
          <t>R3</t>
        </is>
      </c>
      <c r="U18" s="5" t="inlineStr">
        <is>
          <t>R4</t>
        </is>
      </c>
    </row>
    <row r="19" ht="41" customHeight="1">
      <c r="A19" s="7" t="inlineStr">
        <is>
          <t>TC-DDIRULE-11</t>
        </is>
      </c>
      <c r="B19" s="7" t="inlineStr">
        <is>
          <t>Từ chối ngưỡng thiếu cả min_dose và max_dose</t>
        </is>
      </c>
      <c r="C19" s="8" t="inlineStr">
        <is>
          <t>Admin; X, Y</t>
        </is>
      </c>
      <c r="D19" s="8" t="inlineStr">
        <is>
          <t>1. POST với ngưỡng không có min_dose, max_dose</t>
        </is>
      </c>
      <c r="E19" s="8" t="inlineStr">
        <is>
          <t>ngưỡng không có khoảng liều</t>
        </is>
      </c>
      <c r="F19" s="8" t="inlineStr">
        <is>
          <t>422 ValidationError</t>
        </is>
      </c>
      <c r="G19" s="8" t="inlineStr">
        <is>
          <t>422 ValidationError</t>
        </is>
      </c>
      <c r="H19" s="7" t="inlineStr">
        <is>
          <t>Pass</t>
        </is>
      </c>
      <c r="I19" s="8" t="inlineStr">
        <is>
          <t>AC4 · EP (21) · test_validation_errors_write_nothing__AC4</t>
        </is>
      </c>
      <c r="Q19" s="10" t="inlineStr">
        <is>
          <t>Quy tắc tồn tại, chưa xóa?</t>
        </is>
      </c>
      <c r="R19" s="11" t="inlineStr">
        <is>
          <t>No</t>
        </is>
      </c>
      <c r="S19" s="11" t="inlineStr">
        <is>
          <t>Yes</t>
        </is>
      </c>
      <c r="T19" s="11" t="inlineStr">
        <is>
          <t>Yes</t>
        </is>
      </c>
      <c r="U19" s="11" t="inlineStr">
        <is>
          <t>Yes</t>
        </is>
      </c>
    </row>
    <row r="20" ht="41" customHeight="1">
      <c r="A20" s="7" t="inlineStr">
        <is>
          <t>TC-DDIRULE-12</t>
        </is>
      </c>
      <c r="B20" s="7" t="inlineStr">
        <is>
          <t>Từ chối ngưỡng có liều âm</t>
        </is>
      </c>
      <c r="C20" s="8" t="inlineStr">
        <is>
          <t>Admin; X, Y</t>
        </is>
      </c>
      <c r="D20" s="8" t="inlineStr">
        <is>
          <t>1. POST với ngưỡng min_dose = -1</t>
        </is>
      </c>
      <c r="E20" s="8" t="inlineStr">
        <is>
          <t>min_dose: -1</t>
        </is>
      </c>
      <c r="F20" s="8" t="inlineStr">
        <is>
          <t>422 ValidationError</t>
        </is>
      </c>
      <c r="G20" s="8" t="inlineStr">
        <is>
          <t>422 ValidationError</t>
        </is>
      </c>
      <c r="H20" s="7" t="inlineStr">
        <is>
          <t>Pass</t>
        </is>
      </c>
      <c r="I20" s="8" t="inlineStr">
        <is>
          <t>AC4 · EP (22) · test_create_structure_errors_422 (unit)</t>
        </is>
      </c>
      <c r="Q20" s="10" t="inlineStr">
        <is>
          <t>expected_version = hiện hành?</t>
        </is>
      </c>
      <c r="R20" s="11" t="inlineStr">
        <is>
          <t>-</t>
        </is>
      </c>
      <c r="S20" s="11" t="inlineStr">
        <is>
          <t>No</t>
        </is>
      </c>
      <c r="T20" s="11" t="inlineStr">
        <is>
          <t>Yes</t>
        </is>
      </c>
      <c r="U20" s="11" t="inlineStr">
        <is>
          <t>Yes</t>
        </is>
      </c>
    </row>
    <row r="21" ht="57.5" customHeight="1">
      <c r="A21" s="7" t="inlineStr">
        <is>
          <t>TC-DDIRULE-13</t>
        </is>
      </c>
      <c r="B21" s="7" t="inlineStr">
        <is>
          <t>Từ chối ngưỡng cho hoạt chất B khi B là chất ngoài danh mục</t>
        </is>
      </c>
      <c r="C21" s="8" t="inlineStr">
        <is>
          <t>Admin; X</t>
        </is>
      </c>
      <c r="D21" s="8" t="inlineStr">
        <is>
          <t>1. POST B = Rượu (tên ngoài), ngưỡng ingredient_ref = B
2. Đếm dòng chạm X</t>
        </is>
      </c>
      <c r="E21" s="8" t="inlineStr">
        <is>
          <t>ingredient_ref: B</t>
        </is>
      </c>
      <c r="F21" s="8" t="inlineStr">
        <is>
          <t>422 {"detail": "threshold_ref_invalid"}; không có dòng mới</t>
        </is>
      </c>
      <c r="G21" s="8" t="inlineStr">
        <is>
          <t>422 threshold_ref_invalid; 0 dòng</t>
        </is>
      </c>
      <c r="H21" s="7" t="inlineStr">
        <is>
          <t>Pass</t>
        </is>
      </c>
      <c r="I21" s="8" t="inlineStr">
        <is>
          <t>AC4 · EP (23) · test_threshold_for_external_b_rejected__AC4</t>
        </is>
      </c>
      <c r="Q21" s="10" t="inlineStr">
        <is>
          <t>Nội dung khác hiện hành?</t>
        </is>
      </c>
      <c r="R21" s="11" t="inlineStr">
        <is>
          <t>-</t>
        </is>
      </c>
      <c r="S21" s="11" t="inlineStr">
        <is>
          <t>-</t>
        </is>
      </c>
      <c r="T21" s="11" t="inlineStr">
        <is>
          <t>No</t>
        </is>
      </c>
      <c r="U21" s="11" t="inlineStr">
        <is>
          <t>Yes</t>
        </is>
      </c>
    </row>
    <row r="22" ht="74" customHeight="1">
      <c r="A22" s="7" t="inlineStr">
        <is>
          <t>TC-DDIRULE-14</t>
        </is>
      </c>
      <c r="B22" s="7" t="inlineStr">
        <is>
          <t>Từ chối gửi verification_status khi tạo và khi sửa</t>
        </is>
      </c>
      <c r="C22" s="8" t="inlineStr">
        <is>
          <t>Admin; X, Y</t>
        </is>
      </c>
      <c r="D22" s="8" t="inlineStr">
        <is>
          <t>1. POST có verification_status = cho_duyet
2. Tạo quy tắc hợp lệ rồi PATCH có verification_status
3. Đọc verification_status trong DB</t>
        </is>
      </c>
      <c r="E22" s="8" t="inlineStr">
        <is>
          <t>verification_status: cho_duyet / x</t>
        </is>
      </c>
      <c r="F22" s="8" t="inlineStr">
        <is>
          <t>Cả hai 422 ValidationError; DB chỉ có da_xac_minh</t>
        </is>
      </c>
      <c r="G22" s="8" t="inlineStr">
        <is>
          <t>422 cả hai; DB = [da_xac_minh]</t>
        </is>
      </c>
      <c r="H22" s="7" t="inlineStr">
        <is>
          <t>Pass</t>
        </is>
      </c>
      <c r="I22" s="8" t="inlineStr">
        <is>
          <t>AC15, AC16 · EP (25) · test_verification_status_not_writable__AC15_AC16</t>
        </is>
      </c>
      <c r="Q22" s="6" t="inlineStr">
        <is>
          <t>Action</t>
        </is>
      </c>
      <c r="R22" s="5" t="inlineStr">
        <is>
          <t>R1</t>
        </is>
      </c>
      <c r="S22" s="5" t="inlineStr">
        <is>
          <t>R2</t>
        </is>
      </c>
      <c r="T22" s="5" t="inlineStr">
        <is>
          <t>R3</t>
        </is>
      </c>
      <c r="U22" s="5" t="inlineStr">
        <is>
          <t>R4</t>
        </is>
      </c>
    </row>
    <row r="23" ht="41" customHeight="1">
      <c r="A23" s="7" t="inlineStr">
        <is>
          <t>TC-DDIRULE-15</t>
        </is>
      </c>
      <c r="B23" s="7" t="inlineStr">
        <is>
          <t>Báo trùng khi tạo cặp hoạt chất đảo thứ tự hoặc tên ngoài khác hoa thường</t>
        </is>
      </c>
      <c r="C23" s="8" t="inlineStr">
        <is>
          <t>Admin; đã có quy tắc (X, Y) và (X, "Rượu")</t>
        </is>
      </c>
      <c r="D23" s="8" t="inlineStr">
        <is>
          <t>1. POST (Y, X)
2. POST (X, "rượu")</t>
        </is>
      </c>
      <c r="E23" s="8" t="inlineStr">
        <is>
          <t>cặp đảo chiều; tên ngoài viết thường</t>
        </is>
      </c>
      <c r="F23" s="8" t="inlineStr">
        <is>
          <t>409 {"detail": "interaction_rule_exists"} cho cả hai; không có dòng mới</t>
        </is>
      </c>
      <c r="G23" s="8" t="inlineStr">
        <is>
          <t>409 interaction_rule_exists; vẫn 2 quy tắc</t>
        </is>
      </c>
      <c r="H23" s="7" t="inlineStr">
        <is>
          <t>Pass</t>
        </is>
      </c>
      <c r="I23" s="8" t="inlineStr">
        <is>
          <t>AC5 · Đoán lỗi · test_duplicate_pair_conflict__AC5</t>
        </is>
      </c>
      <c r="Q23" s="10" t="inlineStr">
        <is>
          <t>404 interaction_rule_not_found</t>
        </is>
      </c>
      <c r="R23" s="11" t="inlineStr">
        <is>
          <t>X</t>
        </is>
      </c>
      <c r="S23" s="11" t="inlineStr"/>
      <c r="T23" s="11" t="inlineStr"/>
      <c r="U23" s="11" t="inlineStr"/>
    </row>
    <row r="24" ht="74" customHeight="1">
      <c r="A24" s="7" t="inlineStr">
        <is>
          <t>TC-DDIRULE-16</t>
        </is>
      </c>
      <c r="B24" s="7" t="inlineStr">
        <is>
          <t>Hai request tạo cùng cặp chạy đồng thời chỉ một thành công</t>
        </is>
      </c>
      <c r="C24" s="8" t="inlineStr">
        <is>
          <t>Admin; X, Y chưa có quy tắc; một giao dịch khác đang giữ cặp (X, Y) chưa commit</t>
        </is>
      </c>
      <c r="D24" s="8" t="inlineStr">
        <is>
          <t>1. Gửi đồng thời POST (X, Y) và POST (Y, X)
2. Chờ tới khi cả hai đang chờ khóa DB
3. Rollback giao dịch đang giữ
4. Đếm quy tắc mở của cặp</t>
        </is>
      </c>
      <c r="E24" s="8" t="inlineStr">
        <is>
          <t>2 request song song</t>
        </is>
      </c>
      <c r="F24" s="8" t="inlineStr">
        <is>
          <t>Một 201, một 409; đúng 1 quy tắc mở cho cặp</t>
        </is>
      </c>
      <c r="G24" s="8" t="inlineStr">
        <is>
          <t>[201, 409]; 1 quy tắc</t>
        </is>
      </c>
      <c r="H24" s="7" t="inlineStr">
        <is>
          <t>Pass</t>
        </is>
      </c>
      <c r="I24" s="8" t="inlineStr">
        <is>
          <t>AC6 · Chạy đua · test_concurrent_create_one_wins__AC6</t>
        </is>
      </c>
      <c r="Q24" s="10" t="inlineStr">
        <is>
          <t>409 version_conflict</t>
        </is>
      </c>
      <c r="R24" s="11" t="inlineStr"/>
      <c r="S24" s="11" t="inlineStr">
        <is>
          <t>X</t>
        </is>
      </c>
      <c r="T24" s="11" t="inlineStr"/>
      <c r="U24" s="11" t="inlineStr"/>
    </row>
    <row r="25" ht="107" customHeight="1">
      <c r="A25" s="7" t="inlineStr">
        <is>
          <t>TC-DDIRULE-17</t>
        </is>
      </c>
      <c r="B25" s="7" t="inlineStr">
        <is>
          <t>Xóa mềm quy tắc: ẩn khỏi danh sách, giữ dòng và ngưỡng, tạo lại được</t>
        </is>
      </c>
      <c r="C25" s="8" t="inlineStr">
        <is>
          <t>Admin; quy tắc Q (phiên bản 1, 1 ngưỡng)</t>
        </is>
      </c>
      <c r="D25" s="8" t="inlineStr">
        <is>
          <t>1. DELETE /admin/drug-interactions/{id}?expected_version=1
2. Kiểm DB
3. GET, PATCH, DELETE lại Q
4. GET danh sách lọc theo X
5. POST lại cùng cặp</t>
        </is>
      </c>
      <c r="E25" s="8" t="inlineStr">
        <is>
          <t>expected_version: 1</t>
        </is>
      </c>
      <c r="F25" s="8" t="inlineStr">
        <is>
          <t>204 rỗng; DB còn dòng, deleted_at và deleted_by = admin, ngưỡng còn; GET/PATCH/DELETE 404 interaction_rule_not_found; danh sách rỗng; tạo lại 201 với mã mới</t>
        </is>
      </c>
      <c r="G25" s="8" t="inlineStr">
        <is>
          <t>Đúng như mong đợi</t>
        </is>
      </c>
      <c r="H25" s="7" t="inlineStr">
        <is>
          <t>Pass</t>
        </is>
      </c>
      <c r="I25" s="8" t="inlineStr">
        <is>
          <t>AC7, AC24 · Chuyển trạng thái (current → deleted) · test_soft_delete_hides_keeps_rows_and_allows_recreate__AC7</t>
        </is>
      </c>
      <c r="Q25" s="10" t="inlineStr">
        <is>
          <t>200, giữ phiên bản</t>
        </is>
      </c>
      <c r="R25" s="11" t="inlineStr"/>
      <c r="S25" s="11" t="inlineStr"/>
      <c r="T25" s="11" t="inlineStr">
        <is>
          <t>X</t>
        </is>
      </c>
      <c r="U25" s="11" t="inlineStr"/>
    </row>
    <row r="26" ht="123.5" customHeight="1">
      <c r="A26" s="7" t="inlineStr">
        <is>
          <t>TC-DDIRULE-18</t>
        </is>
      </c>
      <c r="B26" s="7" t="inlineStr">
        <is>
          <t>Lọc, phân trang và sắp xếp danh sách quy tắc</t>
        </is>
      </c>
      <c r="C26" s="8" t="inlineStr">
        <is>
          <t>Admin; 3 quy tắc chạm hoạt chất Alpha (một ở vị trí B), 1 quy tắc tên ngoài; thuốc phối hợp chứa hai hoạt chất</t>
        </is>
      </c>
      <c r="D26" s="8" t="inlineStr">
        <is>
          <t>1. GET ?ingredient_id=Alpha
2. Thêm severity_level, interaction_type
3. limit=2, skip=2
4. q viết hoa khác tên
5. q theo tên ngoài
6. medication_id của thuốc phối hợp và của thuốc chưa có hoạt chất</t>
        </is>
      </c>
      <c r="E26" s="8" t="inlineStr">
        <is>
          <t>các bộ lọc như bước</t>
        </is>
      </c>
      <c r="F26" s="8" t="inlineStr">
        <is>
          <t>Chỉ các quy tắc mở khớp lọc; mới sửa trước; total không tính phân trang; q không phân biệt hoa thường; medication_id khớp bất kỳ hoạt chất của thuốc; thuốc chưa có hoạt chất → rỗng</t>
        </is>
      </c>
      <c r="G26" s="8" t="inlineStr">
        <is>
          <t>Đúng như mong đợi</t>
        </is>
      </c>
      <c r="H26" s="7" t="inlineStr">
        <is>
          <t>Pass</t>
        </is>
      </c>
      <c r="I26" s="8" t="inlineStr">
        <is>
          <t>AC8, AC26 · test_list_filters_paging_total_order__AC8_AC26</t>
        </is>
      </c>
      <c r="Q26" s="10" t="inlineStr">
        <is>
          <t>200, phiên bản mới, bản cũ superseded</t>
        </is>
      </c>
      <c r="R26" s="11" t="inlineStr"/>
      <c r="S26" s="11" t="inlineStr"/>
      <c r="T26" s="11" t="inlineStr"/>
      <c r="U26" s="11" t="inlineStr">
        <is>
          <t>X</t>
        </is>
      </c>
    </row>
    <row r="27" ht="123.5" customHeight="1">
      <c r="A27" s="7" t="inlineStr">
        <is>
          <t>TC-DDIRULE-19</t>
        </is>
      </c>
      <c r="B27" s="7" t="inlineStr">
        <is>
          <t>Sửa nội dung giữ field khác; không đổi được cặp hoạt chất</t>
        </is>
      </c>
      <c r="C27" s="8" t="inlineStr">
        <is>
          <t>Admin; quy tắc phụ thuộc liều có 1 ngưỡng</t>
        </is>
      </c>
      <c r="D27" s="8" t="inlineStr">
        <is>
          <t>1. PATCH expected_version=1, severity_level=3, description
2. PATCH gửi ingredient_a_id / ingredient_b_id / ingredient_b_external_name
3. PATCH đổi sang chong_chi_dinh mức 4 khi còn ngưỡng
4. PATCH như trên kèm dose_thresholds: []</t>
        </is>
      </c>
      <c r="E27" s="8" t="inlineStr">
        <is>
          <t>như bước</t>
        </is>
      </c>
      <c r="F27" s="8" t="inlineStr">
        <is>
          <t>200 với 2 field đổi, field khác giữ; đổi cặp 422 ValidationError; còn ngưỡng 422 threshold_not_allowed; kèm [] thì 200 và không còn ngưỡng</t>
        </is>
      </c>
      <c r="G27" s="8" t="inlineStr">
        <is>
          <t>Đúng như mong đợi</t>
        </is>
      </c>
      <c r="H27" s="7" t="inlineStr">
        <is>
          <t>Pass</t>
        </is>
      </c>
      <c r="I27" s="8" t="inlineStr">
        <is>
          <t>AC9 · test_patch_content_and_reject_pair_change__AC9</t>
        </is>
      </c>
    </row>
    <row r="28" ht="90.5" customHeight="1">
      <c r="A28" s="7" t="inlineStr">
        <is>
          <t>TC-DDIRULE-20</t>
        </is>
      </c>
      <c r="B28" s="7" t="inlineStr">
        <is>
          <t>Chặn người chưa đăng nhập và tài khoản không phải admin</t>
        </is>
      </c>
      <c r="C28" s="8" t="inlineStr">
        <is>
          <t>User thường; không token</t>
        </is>
      </c>
      <c r="D28" s="8" t="inlineStr">
        <is>
          <t>1. Gọi lần lượt mọi endpoint /admin/drug-interactions..., /admin/drug-food-interactions, /admin/active-ingredients không token
2. Gọi lại bằng phiên của user thường
3. Đếm access_logs trước/sau</t>
        </is>
      </c>
      <c r="E28" s="8" t="inlineStr">
        <is>
          <t>9 route</t>
        </is>
      </c>
      <c r="F28" s="8" t="inlineStr">
        <is>
          <t>401 khi không token; 403 {"detail": "admin_only"} với user thường; access_logs không đổi; POST của user thường không ghi dòng nào</t>
        </is>
      </c>
      <c r="G28" s="8" t="inlineStr">
        <is>
          <t>Đúng như mong đợi</t>
        </is>
      </c>
      <c r="H28" s="7" t="inlineStr">
        <is>
          <t>Pass</t>
        </is>
      </c>
      <c r="I28" s="8" t="inlineStr">
        <is>
          <t>AC11 · Decision Table (R1, R2) · test_auth_401_and_non_admin_403__AC11, test_non_admin_write_changes_nothing__AC11</t>
        </is>
      </c>
    </row>
    <row r="29" ht="123.5" customHeight="1">
      <c r="A29" s="7" t="inlineStr">
        <is>
          <t>TC-DDIRULE-21</t>
        </is>
      </c>
      <c r="B29" s="7" t="inlineStr">
        <is>
          <t>Uống cách giờ: số giờ không bắt buộc, chỉ đi với cach_gio</t>
        </is>
      </c>
      <c r="C29" s="8" t="inlineStr">
        <is>
          <t>Admin; các hoạt chất mới</t>
        </is>
      </c>
      <c r="D29" s="8" t="inlineStr">
        <is>
          <t>1. POST cach_gio + 2 giờ
2. POST cach_gio không số giờ
3. POST tranh_phoi_hop / can_theo_doi / giam_lieu kèm 2 giờ
4. PATCH đổi cach_gio → can_theo_doi khi còn số giờ
5. PATCH như trên kèm min_interval_hours: null</t>
        </is>
      </c>
      <c r="E29" s="8" t="inlineStr">
        <is>
          <t>như bước</t>
        </is>
      </c>
      <c r="F29" s="8" t="inlineStr">
        <is>
          <t>201 với 2; 201 với null; 422 min_interval_not_allowed và không ghi; PATCH 422 min_interval_not_allowed; kèm null thì 200</t>
        </is>
      </c>
      <c r="G29" s="8" t="inlineStr">
        <is>
          <t>Đúng như mong đợi</t>
        </is>
      </c>
      <c r="H29" s="7" t="inlineStr">
        <is>
          <t>Pass</t>
        </is>
      </c>
      <c r="I29" s="8" t="inlineStr">
        <is>
          <t>AC27 · EP (4, 5, 18) · test_min_interval_rules__AC27</t>
        </is>
      </c>
    </row>
    <row r="30" ht="41" customHeight="1">
      <c r="A30" s="7" t="inlineStr">
        <is>
          <t>TC-DDIRULE-BVA-01</t>
        </is>
      </c>
      <c r="B30" s="7" t="inlineStr">
        <is>
          <t>Biên severity_level</t>
        </is>
      </c>
      <c r="C30" s="8" t="inlineStr">
        <is>
          <t>Admin</t>
        </is>
      </c>
      <c r="D30" s="8" t="inlineStr">
        <is>
          <t>1. POST với severity_level = 0, 1, 4 (chong_chi_dinh), 5</t>
        </is>
      </c>
      <c r="E30" s="8" t="inlineStr">
        <is>
          <t>0 / 1 / 4 / 5</t>
        </is>
      </c>
      <c r="F30" s="8" t="inlineStr">
        <is>
          <t>0 → 422; 1 → 201; 4 → 201; 5 → 422</t>
        </is>
      </c>
      <c r="G30" s="8" t="inlineStr">
        <is>
          <t>Đúng như mong đợi</t>
        </is>
      </c>
      <c r="H30" s="7" t="inlineStr">
        <is>
          <t>Pass</t>
        </is>
      </c>
      <c r="I30" s="8" t="inlineStr">
        <is>
          <t>AC4 · BVA (min-1, min, max, max+1) · test_create_boundaries</t>
        </is>
      </c>
    </row>
    <row r="31" ht="41" customHeight="1">
      <c r="A31" s="7" t="inlineStr">
        <is>
          <t>TC-DDIRULE-BVA-02</t>
        </is>
      </c>
      <c r="B31" s="7" t="inlineStr">
        <is>
          <t>Biên min_interval_hours</t>
        </is>
      </c>
      <c r="C31" s="8" t="inlineStr">
        <is>
          <t>Admin; handling_type = cach_gio</t>
        </is>
      </c>
      <c r="D31" s="8" t="inlineStr">
        <is>
          <t>1. POST với min_interval_hours = 0, 0.5, 168, 169</t>
        </is>
      </c>
      <c r="E31" s="8" t="inlineStr">
        <is>
          <t>0 / 0.5 / 168 / 169</t>
        </is>
      </c>
      <c r="F31" s="8" t="inlineStr">
        <is>
          <t>0 → 422; 0.5 → 201; 168 → 201; 169 → 422</t>
        </is>
      </c>
      <c r="G31" s="8" t="inlineStr">
        <is>
          <t>Đúng như mong đợi</t>
        </is>
      </c>
      <c r="H31" s="7" t="inlineStr">
        <is>
          <t>Pass</t>
        </is>
      </c>
      <c r="I31" s="8" t="inlineStr">
        <is>
          <t>AC27 · BVA (min-1, min, max, max+1) · test_create_boundaries</t>
        </is>
      </c>
    </row>
    <row r="32" ht="41" customHeight="1">
      <c r="A32" s="7" t="inlineStr">
        <is>
          <t>TC-DDIRULE-BVA-03</t>
        </is>
      </c>
      <c r="B32" s="7" t="inlineStr">
        <is>
          <t>Biên độ dài description và source</t>
        </is>
      </c>
      <c r="C32" s="8" t="inlineStr">
        <is>
          <t>Admin</t>
        </is>
      </c>
      <c r="D32" s="8" t="inlineStr">
        <is>
          <t>1. POST description dài 4000 và 4001
2. POST source dài 500 và 501</t>
        </is>
      </c>
      <c r="E32" s="8" t="inlineStr">
        <is>
          <t>a*4000 / a*4001 / s*500 / s*501</t>
        </is>
      </c>
      <c r="F32" s="8" t="inlineStr">
        <is>
          <t>4000 → 201, 4001 → 422; 500 → 201, 501 → 422</t>
        </is>
      </c>
      <c r="G32" s="8" t="inlineStr">
        <is>
          <t>Đúng như mong đợi</t>
        </is>
      </c>
      <c r="H32" s="7" t="inlineStr">
        <is>
          <t>Pass</t>
        </is>
      </c>
      <c r="I32" s="8" t="inlineStr">
        <is>
          <t>BVA (max, max+1) · test_create_boundaries</t>
        </is>
      </c>
    </row>
    <row r="33" ht="41" customHeight="1">
      <c r="A33" s="7" t="inlineStr">
        <is>
          <t>TC-DDIRULE-BVA-04</t>
        </is>
      </c>
      <c r="B33" s="7" t="inlineStr">
        <is>
          <t>Biên số ngưỡng liều</t>
        </is>
      </c>
      <c r="C33" s="8" t="inlineStr">
        <is>
          <t>Admin</t>
        </is>
      </c>
      <c r="D33" s="8" t="inlineStr">
        <is>
          <t>1. POST với 20 ngưỡng
2. POST với 21 ngưỡng</t>
        </is>
      </c>
      <c r="E33" s="8" t="inlineStr">
        <is>
          <t>20 / 21 ngưỡng</t>
        </is>
      </c>
      <c r="F33" s="8" t="inlineStr">
        <is>
          <t>20 → 201 và trả đủ 20; 21 → 422</t>
        </is>
      </c>
      <c r="G33" s="8" t="inlineStr">
        <is>
          <t>Đúng như mong đợi</t>
        </is>
      </c>
      <c r="H33" s="7" t="inlineStr">
        <is>
          <t>Pass</t>
        </is>
      </c>
      <c r="I33" s="8" t="inlineStr">
        <is>
          <t>BVA (max, max+1) · test_create_boundaries</t>
        </is>
      </c>
    </row>
    <row r="34" ht="57.5" customHeight="1">
      <c r="A34" s="7" t="inlineStr">
        <is>
          <t>TC-DDIRULE-BVA-05</t>
        </is>
      </c>
      <c r="B34" s="7" t="inlineStr">
        <is>
          <t>Biên limit của danh sách</t>
        </is>
      </c>
      <c r="C34" s="8" t="inlineStr">
        <is>
          <t>Admin</t>
        </is>
      </c>
      <c r="D34" s="8" t="inlineStr">
        <is>
          <t>1. GET /admin/drug-interactions?limit=0, 1, 100, 101</t>
        </is>
      </c>
      <c r="E34" s="8" t="inlineStr">
        <is>
          <t>0 / 1 / 100 / 101</t>
        </is>
      </c>
      <c r="F34" s="8" t="inlineStr">
        <is>
          <t>0 → 422; 1 → 200; 100 → 200; 101 → 422</t>
        </is>
      </c>
      <c r="G34" s="8" t="inlineStr">
        <is>
          <t>Đúng như mong đợi</t>
        </is>
      </c>
      <c r="H34" s="7" t="inlineStr">
        <is>
          <t>Pass</t>
        </is>
      </c>
      <c r="I34" s="8" t="inlineStr">
        <is>
          <t>AC8 · BVA (min-1, min, max, max+1) · test_list_limit_boundaries</t>
        </is>
      </c>
    </row>
    <row r="35" ht="90.5" customHeight="1">
      <c r="A35" s="7" t="inlineStr">
        <is>
          <t>TC-DDIRULE-22</t>
        </is>
      </c>
      <c r="B35" s="7" t="inlineStr">
        <is>
          <t>Sửa tạo phiên bản mới, phiên bản cũ giữ nguyên nội dung</t>
        </is>
      </c>
      <c r="C35" s="8" t="inlineStr">
        <is>
          <t>Admin; quy tắc R phiên bản 1</t>
        </is>
      </c>
      <c r="D35" s="8" t="inlineStr">
        <is>
          <t>1. PATCH expected_version=1, severity_level=3
2. So dòng DB phiên bản 1 trước và sau</t>
        </is>
      </c>
      <c r="E35" s="8" t="inlineStr">
        <is>
          <t>severity_level: 3</t>
        </is>
      </c>
      <c r="F35" s="8" t="inlineStr">
        <is>
          <t>200: cùng id, version = 2, version_id mới, updated_by = admin; DB có 2 dòng, phiên bản 1 nội dung không đổi và superseded_at có giá trị</t>
        </is>
      </c>
      <c r="G35" s="8" t="inlineStr">
        <is>
          <t>Đúng như mong đợi</t>
        </is>
      </c>
      <c r="H35" s="7" t="inlineStr">
        <is>
          <t>Pass</t>
        </is>
      </c>
      <c r="I35" s="8" t="inlineStr">
        <is>
          <t>AC18 · Decision Table bảng 2 (R4) · Chuyển trạng thái (current → superseded) · test_patch_creates_new_version_old_unchanged__AC18</t>
        </is>
      </c>
    </row>
    <row r="36" ht="57.5" customHeight="1">
      <c r="A36" s="7" t="inlineStr">
        <is>
          <t>TC-DDIRULE-23</t>
        </is>
      </c>
      <c r="B36" s="7" t="inlineStr">
        <is>
          <t>Ngưỡng liều thuộc từng phiên bản</t>
        </is>
      </c>
      <c r="C36" s="8" t="inlineStr">
        <is>
          <t>Admin; quy tắc có 2 ngưỡng</t>
        </is>
      </c>
      <c r="D36" s="8" t="inlineStr">
        <is>
          <t>1. PATCH chỉ đổi description
2. PATCH gửi 1 ngưỡng mới
3. Đọc ngưỡng của từng phiên bản trong DB</t>
        </is>
      </c>
      <c r="E36" s="8" t="inlineStr">
        <is>
          <t>như bước</t>
        </is>
      </c>
      <c r="F36" s="8" t="inlineStr">
        <is>
          <t>Phiên bản 2 có 2 ngưỡng id mới; phiên bản 3 có 1 ngưỡng; ngưỡng của phiên bản 1 không đổi</t>
        </is>
      </c>
      <c r="G36" s="8" t="inlineStr">
        <is>
          <t>Đúng như mong đợi</t>
        </is>
      </c>
      <c r="H36" s="7" t="inlineStr">
        <is>
          <t>Pass</t>
        </is>
      </c>
      <c r="I36" s="8" t="inlineStr">
        <is>
          <t>AC19 · test_thresholds_belong_to_each_version__AC19</t>
        </is>
      </c>
    </row>
    <row r="37" ht="57.5" customHeight="1">
      <c r="A37" s="7" t="inlineStr">
        <is>
          <t>TC-DDIRULE-24</t>
        </is>
      </c>
      <c r="B37" s="7" t="inlineStr">
        <is>
          <t>Từ chối sửa/xóa với expected_version cũ</t>
        </is>
      </c>
      <c r="C37" s="8" t="inlineStr">
        <is>
          <t>Admin; quy tắc đã lên phiên bản 2</t>
        </is>
      </c>
      <c r="D37" s="8" t="inlineStr">
        <is>
          <t>1. PATCH expected_version=1
2. DELETE ?expected_version=1</t>
        </is>
      </c>
      <c r="E37" s="8" t="inlineStr">
        <is>
          <t>expected_version: 1</t>
        </is>
      </c>
      <c r="F37" s="8" t="inlineStr">
        <is>
          <t>409 {"detail": "version_conflict"} cho cả hai; DB không đổi</t>
        </is>
      </c>
      <c r="G37" s="8" t="inlineStr">
        <is>
          <t>409 version_conflict; vẫn 2 phiên bản, chưa xóa</t>
        </is>
      </c>
      <c r="H37" s="7" t="inlineStr">
        <is>
          <t>Pass</t>
        </is>
      </c>
      <c r="I37" s="8" t="inlineStr">
        <is>
          <t>AC20 · EP (26) · Decision Table bảng 2 (R2) · test_stale_expected_version_conflict__AC20</t>
        </is>
      </c>
    </row>
    <row r="38" ht="90.5" customHeight="1">
      <c r="A38" s="7" t="inlineStr">
        <is>
          <t>TC-DDIRULE-25</t>
        </is>
      </c>
      <c r="B38" s="7" t="inlineStr">
        <is>
          <t>Hai admin sửa cùng phiên bản đồng thời chỉ một thành công</t>
        </is>
      </c>
      <c r="C38" s="8" t="inlineStr">
        <is>
          <t>Admin; quy tắc phiên bản 1; một giao dịch khác giữ khóa quy tắc</t>
        </is>
      </c>
      <c r="D38" s="8" t="inlineStr">
        <is>
          <t>1. Gửi đồng thời hai PATCH expected_version=1 với mô tả khác nhau
2. Chờ tới khi cả hai đang chờ khóa DB
3. Thả khóa
4. Đếm phiên bản</t>
        </is>
      </c>
      <c r="E38" s="8" t="inlineStr">
        <is>
          <t>2 request song song</t>
        </is>
      </c>
      <c r="F38" s="8" t="inlineStr">
        <is>
          <t>Một 200, một 409; đúng 2 phiên bản, 1 phiên bản mở</t>
        </is>
      </c>
      <c r="G38" s="8" t="inlineStr">
        <is>
          <t>[200, 409]; phiên bản [1, 2]</t>
        </is>
      </c>
      <c r="H38" s="7" t="inlineStr">
        <is>
          <t>Pass</t>
        </is>
      </c>
      <c r="I38" s="8" t="inlineStr">
        <is>
          <t>AC20 · Chạy đua · test_concurrent_patch_same_version_one_wins__AC20</t>
        </is>
      </c>
    </row>
    <row r="39" ht="57.5" customHeight="1">
      <c r="A39" s="7" t="inlineStr">
        <is>
          <t>TC-DDIRULE-26</t>
        </is>
      </c>
      <c r="B39" s="7" t="inlineStr">
        <is>
          <t>Sửa với giá trị giống hệt không tạo phiên bản</t>
        </is>
      </c>
      <c r="C39" s="8" t="inlineStr">
        <is>
          <t>Admin; quy tắc phiên bản 1 có 2 ngưỡng</t>
        </is>
      </c>
      <c r="D39" s="8" t="inlineStr">
        <is>
          <t>1. PATCH expected_version=1 với severity_level, description và dose_thresholds giống hệt (đảo thứ tự ngưỡng)</t>
        </is>
      </c>
      <c r="E39" s="8" t="inlineStr">
        <is>
          <t>giá trị hiện tại</t>
        </is>
      </c>
      <c r="F39" s="8" t="inlineStr">
        <is>
          <t>200; version = 1, version_id không đổi; DB vẫn 1 dòng</t>
        </is>
      </c>
      <c r="G39" s="8" t="inlineStr">
        <is>
          <t>Đúng như mong đợi</t>
        </is>
      </c>
      <c r="H39" s="7" t="inlineStr">
        <is>
          <t>Pass</t>
        </is>
      </c>
      <c r="I39" s="8" t="inlineStr">
        <is>
          <t>AC21 · Decision Table bảng 2 (R3) · test_noop_patch_keeps_version__AC21</t>
        </is>
      </c>
    </row>
    <row r="40" ht="107" customHeight="1">
      <c r="A40" s="7" t="inlineStr">
        <is>
          <t>TC-DDIRULE-27</t>
        </is>
      </c>
      <c r="B40" s="7" t="inlineStr">
        <is>
          <t>Xem lịch sử và một phiên bản sau khi quy tắc bị xóa</t>
        </is>
      </c>
      <c r="C40" s="8" t="inlineStr">
        <is>
          <t>Admin; quy tắc qua 3 phiên bản rồi bị xóa mềm</t>
        </is>
      </c>
      <c r="D40" s="8" t="inlineStr">
        <is>
          <t>1. GET /admin/drug-interactions/{id}/versions
2. GET /admin/drug-interaction-versions/{version_id của phiên bản 1}
3. GET với mã/id không tồn tại</t>
        </is>
      </c>
      <c r="E40" s="8" t="inlineStr">
        <is>
          <t>như bước</t>
        </is>
      </c>
      <c r="F40" s="8" t="inlineStr">
        <is>
          <t>3 phiên bản mới nhất trước: deleted/superseded/superseded, mỗi phiên bản đủ ngưỡng, phiên bản cuối có deleted_by; phiên bản 1 đúng nội dung cũ; 404 interaction_version_not_found / interaction_rule_not_found</t>
        </is>
      </c>
      <c r="G40" s="8" t="inlineStr">
        <is>
          <t>Đúng như mong đợi</t>
        </is>
      </c>
      <c r="H40" s="7" t="inlineStr">
        <is>
          <t>Pass</t>
        </is>
      </c>
      <c r="I40" s="8" t="inlineStr">
        <is>
          <t>AC23 · test_history_and_version_lookup_after_delete__AC23</t>
        </is>
      </c>
    </row>
    <row r="41" ht="57.5" customHeight="1">
      <c r="A41" s="7" t="inlineStr">
        <is>
          <t>TC-DDIRULE-28</t>
        </is>
      </c>
      <c r="B41" s="7" t="inlineStr">
        <is>
          <t>created_at giữ thời điểm tạo phiên bản 1; updated_at theo phiên bản hiện hành</t>
        </is>
      </c>
      <c r="C41" s="8" t="inlineStr">
        <is>
          <t>Admin; quy tắc phiên bản 1</t>
        </is>
      </c>
      <c r="D41" s="8" t="inlineStr">
        <is>
          <t>1. PATCH đổi source
2. GET chi tiết</t>
        </is>
      </c>
      <c r="E41" s="8" t="inlineStr">
        <is>
          <t>source: Dược thư</t>
        </is>
      </c>
      <c r="F41" s="8" t="inlineStr">
        <is>
          <t>created_at không đổi; updated_at ≥ trước; chi tiết trả version 2 với source mới</t>
        </is>
      </c>
      <c r="G41" s="8" t="inlineStr">
        <is>
          <t>Đúng như mong đợi</t>
        </is>
      </c>
      <c r="H41" s="7" t="inlineStr">
        <is>
          <t>Pass</t>
        </is>
      </c>
      <c r="I41" s="8" t="inlineStr">
        <is>
          <t>AC26 · test_created_at_and_updated_at__AC26</t>
        </is>
      </c>
    </row>
    <row r="42" ht="74" customHeight="1">
      <c r="A42" s="7" t="inlineStr">
        <is>
          <t>TC-DDIRULE-29</t>
        </is>
      </c>
      <c r="B42" s="7" t="inlineStr">
        <is>
          <t>DB chặn sửa nội dung phiên bản với mọi role</t>
        </is>
      </c>
      <c r="C42" s="8" t="inlineStr">
        <is>
          <t>Quy tắc phiên bản 1 có 1 ngưỡng (chèn trực tiếp DB)</t>
        </is>
      </c>
      <c r="D42" s="8" t="inlineStr">
        <is>
          <t>1. UPDATE severity_level bằng api_role
2. Bằng worker_role
3. Bằng postgres
4. Đọc lại severity_level</t>
        </is>
      </c>
      <c r="E42" s="8" t="inlineStr">
        <is>
          <t>SET severity_level = 4</t>
        </is>
      </c>
      <c r="F42" s="8" t="inlineStr">
        <is>
          <t>api_role, worker_role: permission denied; postgres: "version content is immutable"; giá trị không đổi</t>
        </is>
      </c>
      <c r="G42" s="8" t="inlineStr">
        <is>
          <t>Đúng như mong đợi</t>
        </is>
      </c>
      <c r="H42" s="7" t="inlineStr">
        <is>
          <t>Pass</t>
        </is>
      </c>
      <c r="I42" s="8" t="inlineStr">
        <is>
          <t>AC22 · test_content_update_rejected_for_every_role__AC22</t>
        </is>
      </c>
    </row>
    <row r="43" ht="90.5" customHeight="1">
      <c r="A43" s="7" t="inlineStr">
        <is>
          <t>TC-DDIRULE-30</t>
        </is>
      </c>
      <c r="B43" s="7" t="inlineStr">
        <is>
          <t>DB chỉ cho đóng phiên bản một lần, không cho vừa thay vừa xóa</t>
        </is>
      </c>
      <c r="C43" s="8" t="inlineStr">
        <is>
          <t>Quy tắc phiên bản 1</t>
        </is>
      </c>
      <c r="D43" s="8" t="inlineStr">
        <is>
          <t>1. api_role: SET superseded_at
2. postgres: SET deleted_at, rồi SET superseded_at lần nữa
3. postgres: SET superseded_at và deleted_at cùng lúc trên quy tắc khác</t>
        </is>
      </c>
      <c r="E43" s="8" t="inlineStr">
        <is>
          <t>như bước</t>
        </is>
      </c>
      <c r="F43" s="8" t="inlineStr">
        <is>
          <t>Lần đầu thành công; sau đó "closed and immutable"; cùng lúc: vi phạm CHECK state_chk</t>
        </is>
      </c>
      <c r="G43" s="8" t="inlineStr">
        <is>
          <t>Đúng như mong đợi</t>
        </is>
      </c>
      <c r="H43" s="7" t="inlineStr">
        <is>
          <t>Pass</t>
        </is>
      </c>
      <c r="I43" s="8" t="inlineStr">
        <is>
          <t>AC22 · Chuyển trạng thái (superseded → * bị cấm) · test_close_once_then_immutable__AC22, test_superseded_and_deleted_together_rejected</t>
        </is>
      </c>
    </row>
    <row r="44" ht="74" customHeight="1">
      <c r="A44" s="7" t="inlineStr">
        <is>
          <t>TC-DDIRULE-31</t>
        </is>
      </c>
      <c r="B44" s="7" t="inlineStr">
        <is>
          <t>DB chặn DELETE và TRUNCATE quy tắc và ngưỡng</t>
        </is>
      </c>
      <c r="C44" s="8" t="inlineStr">
        <is>
          <t>Quy tắc có ngưỡng</t>
        </is>
      </c>
      <c r="D44" s="8" t="inlineStr">
        <is>
          <t>1. postgres: DELETE quy tắc / ngưỡng
2. api_role: DELETE
3. postgres: TRUNCATE (trong giao dịch, rollback)</t>
        </is>
      </c>
      <c r="E44" s="8" t="inlineStr">
        <is>
          <t>như bước</t>
        </is>
      </c>
      <c r="F44" s="8" t="inlineStr">
        <is>
          <t>postgres: "... is not allowed on the versioned interaction catalog"; api_role: permission denied</t>
        </is>
      </c>
      <c r="G44" s="8" t="inlineStr">
        <is>
          <t>Đúng như mong đợi</t>
        </is>
      </c>
      <c r="H44" s="7" t="inlineStr">
        <is>
          <t>Pass</t>
        </is>
      </c>
      <c r="I44" s="8" t="inlineStr">
        <is>
          <t>AC22 · test_delete_and_truncate_rejected__AC22</t>
        </is>
      </c>
    </row>
    <row r="45" ht="74" customHeight="1">
      <c r="A45" s="7" t="inlineStr">
        <is>
          <t>TC-DDIRULE-32</t>
        </is>
      </c>
      <c r="B45" s="7" t="inlineStr">
        <is>
          <t>DB chặn sửa ngưỡng và thêm ngưỡng vào phiên bản đã có</t>
        </is>
      </c>
      <c r="C45" s="8" t="inlineStr">
        <is>
          <t>Quy tắc có 1 ngưỡng</t>
        </is>
      </c>
      <c r="D45" s="8" t="inlineStr">
        <is>
          <t>1. postgres: UPDATE ngưỡng
2. api_role: INSERT ngưỡng cho phiên bản đã có (giao dịch khác)
3. Đếm ngưỡng</t>
        </is>
      </c>
      <c r="E45" s="8" t="inlineStr">
        <is>
          <t>như bước</t>
        </is>
      </c>
      <c r="F45" s="8" t="inlineStr">
        <is>
          <t>UPDATE: not allowed; INSERT: "... created in the same transaction"; vẫn 1 ngưỡng</t>
        </is>
      </c>
      <c r="G45" s="8" t="inlineStr">
        <is>
          <t>Đúng như mong đợi</t>
        </is>
      </c>
      <c r="H45" s="7" t="inlineStr">
        <is>
          <t>Pass</t>
        </is>
      </c>
      <c r="I45" s="8" t="inlineStr">
        <is>
          <t>AC22, AC19 · test_thresholds_immutable_and_only_added_with_new_version__AC22_AC19</t>
        </is>
      </c>
    </row>
    <row r="46" ht="57.5" customHeight="1">
      <c r="A46" s="7" t="inlineStr">
        <is>
          <t>TC-DDIRULE-33</t>
        </is>
      </c>
      <c r="B46" s="7" t="inlineStr">
        <is>
          <t>Quyền tối thiểu: worker_role chỉ đọc; anon/authenticated không đọc được</t>
        </is>
      </c>
      <c r="C46" s="8" t="inlineStr">
        <is>
          <t>Quy tắc có sẵn</t>
        </is>
      </c>
      <c r="D46" s="8" t="inlineStr">
        <is>
          <t>1. worker_role: SELECT, INSERT, UPDATE superseded_at
2. SET ROLE anon / authenticated rồi SELECT</t>
        </is>
      </c>
      <c r="E46" s="8" t="inlineStr">
        <is>
          <t>như bước</t>
        </is>
      </c>
      <c r="F46" s="8" t="inlineStr">
        <is>
          <t>worker_role đọc được, ghi bị permission denied; anon/authenticated permission denied</t>
        </is>
      </c>
      <c r="G46" s="8" t="inlineStr">
        <is>
          <t>Đúng như mong đợi</t>
        </is>
      </c>
      <c r="H46" s="7" t="inlineStr">
        <is>
          <t>Pass</t>
        </is>
      </c>
      <c r="I46" s="8" t="inlineStr">
        <is>
          <t>AC22 · test_worker_role_read_only, test_client_roles_cannot_read</t>
        </is>
      </c>
    </row>
    <row r="47" ht="90.5" customHeight="1">
      <c r="A47" s="7" t="inlineStr">
        <is>
          <t>TC-DDIRULE-34</t>
        </is>
      </c>
      <c r="B47" s="7" t="inlineStr">
        <is>
          <t>Dòng chèn kiểu cũ thành phiên bản 1 hợp lệ; chặn chèn phiên bản đóng hoặc thiếu rule_id</t>
        </is>
      </c>
      <c r="C47" s="8" t="inlineStr">
        <is>
          <t>DB sau migration</t>
        </is>
      </c>
      <c r="D47" s="8" t="inlineStr">
        <is>
          <t>1. INSERT kiểu cũ (không cột mới)
2. INSERT có deleted_at
3. INSERT version = 2 không rule_id</t>
        </is>
      </c>
      <c r="E47" s="8" t="inlineStr">
        <is>
          <t>như bước</t>
        </is>
      </c>
      <c r="F47" s="8" t="inlineStr">
        <is>
          <t>rule_id = id, version 1, mở; "must be inserted open"; "needs an existing rule_id"</t>
        </is>
      </c>
      <c r="G47" s="8" t="inlineStr">
        <is>
          <t>Đúng như mong đợi. Backfill dữ liệu có trước migration kiểm ở implement (33/33)</t>
        </is>
      </c>
      <c r="H47" s="7" t="inlineStr">
        <is>
          <t>Pass</t>
        </is>
      </c>
      <c r="I47" s="8" t="inlineStr">
        <is>
          <t>AC25 · test_old_style_insert_becomes_open_version_1__AC25, test_insert_closed_or_versionless_rejected; evidence/impl-check-migration.log</t>
        </is>
      </c>
    </row>
    <row r="48" ht="57.5" customHeight="1">
      <c r="A48" s="7" t="inlineStr">
        <is>
          <t>TC-DDIRULE-35</t>
        </is>
      </c>
      <c r="B48" s="7" t="inlineStr">
        <is>
          <t>Unique cặp chỉ tính phiên bản mở</t>
        </is>
      </c>
      <c r="C48" s="8" t="inlineStr">
        <is>
          <t>Quy tắc (A, B) mở</t>
        </is>
      </c>
      <c r="D48" s="8" t="inlineStr">
        <is>
          <t>1. INSERT (B, A)
2. Xóa mềm (A, B)
3. INSERT (B, A) lần nữa</t>
        </is>
      </c>
      <c r="E48" s="8" t="inlineStr">
        <is>
          <t>như bước</t>
        </is>
      </c>
      <c r="F48" s="8" t="inlineStr">
        <is>
          <t>Lần đầu vi phạm active_ingredient_interactions_pair_uq; sau xóa mềm chèn được</t>
        </is>
      </c>
      <c r="G48" s="8" t="inlineStr">
        <is>
          <t>Đúng như mong đợi</t>
        </is>
      </c>
      <c r="H48" s="7" t="inlineStr">
        <is>
          <t>Pass</t>
        </is>
      </c>
      <c r="I48" s="8" t="inlineStr">
        <is>
          <t>AC24 · test_pair_unique_only_among_open_versions__AC24</t>
        </is>
      </c>
    </row>
    <row r="49" ht="57.5" customHeight="1">
      <c r="A49" s="7" t="inlineStr">
        <is>
          <t>TC-DDIRULE-36</t>
        </is>
      </c>
      <c r="B49" s="7" t="inlineStr">
        <is>
          <t>Response khớp contract (operationId, mã trạng thái, field)</t>
        </is>
      </c>
      <c r="C49" s="8" t="inlineStr">
        <is>
          <t>api_contract/openapi.json (đã duyệt)</t>
        </is>
      </c>
      <c r="D49" s="8" t="inlineStr">
        <is>
          <t>1. So OpenAPI sinh từ app với contract cho 15 operation</t>
        </is>
      </c>
      <c r="E49" s="8" t="inlineStr">
        <is>
          <t>15 operation</t>
        </is>
      </c>
      <c r="F49" s="8" t="inlineStr">
        <is>
          <t>operationId, mã trạng thái, shape request/response, tham số query khớp; bảng mức độ 1–4 có trong contract</t>
        </is>
      </c>
      <c r="G49" s="8" t="inlineStr">
        <is>
          <t>28 test pass</t>
        </is>
      </c>
      <c r="H49" s="7" t="inlineStr">
        <is>
          <t>Pass</t>
        </is>
      </c>
      <c r="I49" s="8" t="inlineStr">
        <is>
          <t>AC14, AC17 · test_contract_interaction.py (unit)</t>
        </is>
      </c>
    </row>
    <row r="50"/>
    <row r="51"/>
    <row r="52">
      <c r="G52" s="12" t="inlineStr">
        <is>
          <t>Pass</t>
        </is>
      </c>
      <c r="H52" s="13">
        <f>COUNTIF(H9:H49,"Pass")</f>
        <v/>
      </c>
    </row>
    <row r="53">
      <c r="G53" s="12" t="inlineStr">
        <is>
          <t>Fail</t>
        </is>
      </c>
      <c r="H53" s="13">
        <f>COUNTIF(H9:H49,"Fail")</f>
        <v/>
      </c>
    </row>
    <row r="54">
      <c r="G54" s="12" t="inlineStr">
        <is>
          <t>Pending</t>
        </is>
      </c>
      <c r="H54" s="13">
        <f>COUNTIF(H9:H49,"Pending")</f>
        <v/>
      </c>
    </row>
    <row r="55">
      <c r="G55" s="12" t="inlineStr">
        <is>
          <t>Total</t>
        </is>
      </c>
      <c r="H55" s="13">
        <f>SUM(H52:H54)</f>
        <v/>
      </c>
    </row>
  </sheetData>
  <autoFilter ref="A8:I49"/>
  <conditionalFormatting sqref="H9:H49">
    <cfRule type="cellIs" priority="1" operator="equal" dxfId="0">
      <formula>"Fail"</formula>
    </cfRule>
  </conditionalFormatting>
  <dataValidations count="1">
    <dataValidation sqref="H9:H49" showDropDown="0" showInputMessage="0" showErrorMessage="0" allowBlank="0" type="list">
      <formula1>"Pass,Fail,Pending"</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Danh mục tương tác thuốc-thực phẩm (admin) (DFIRULE)</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123.5" customHeight="1">
      <c r="A9" s="7" t="inlineStr">
        <is>
          <t>TC-DFIRULE-01</t>
        </is>
      </c>
      <c r="B9" s="7" t="inlineStr">
        <is>
          <t>Tạo, xem, sửa, xóa mềm, xem lịch sử, tạo lại quy tắc thực phẩm</t>
        </is>
      </c>
      <c r="C9" s="8" t="inlineStr">
        <is>
          <t>Admin; hoạt chất có trong danh mục</t>
        </is>
      </c>
      <c r="D9" s="8" t="inlineStr">
        <is>
          <t>1. POST /admin/drug-food-interactions
2. GET chi tiết
3. PATCH expected_version=1 đổi food_to_avoid, reason, severity_level
4. DELETE ?expected_version=2
5. GET chi tiết, GET lịch sử, GET phiên bản 1
6. POST lại cùng thực phẩm</t>
        </is>
      </c>
      <c r="E9" s="8" t="inlineStr">
        <is>
          <t>food_to_avoid: Nước bưởi chùm → Rượu</t>
        </is>
      </c>
      <c r="F9" s="8" t="inlineStr">
        <is>
          <t>201 version 1; GET bằng response tạo; 200 version 2; DB có 2 phiên bản, bản 1 superseded; 204; 404; lịch sử deleted/superseded; phiên bản 1 giữ Nước bưởi chùm; tạo lại 201</t>
        </is>
      </c>
      <c r="G9" s="8" t="inlineStr">
        <is>
          <t>Đúng như mong đợi</t>
        </is>
      </c>
      <c r="H9" s="7" t="inlineStr">
        <is>
          <t>Pass</t>
        </is>
      </c>
      <c r="I9" s="8" t="inlineStr">
        <is>
          <t>AC10, AC7, AC18 · Chuyển trạng thái · test_crud_flow__AC10</t>
        </is>
      </c>
      <c r="K9" s="9" t="inlineStr">
        <is>
          <t>ingredient_id</t>
        </is>
      </c>
      <c r="L9" s="10" t="inlineStr">
        <is>
          <t>có trong danh mục</t>
        </is>
      </c>
      <c r="M9" s="10" t="inlineStr">
        <is>
          <t>1</t>
        </is>
      </c>
      <c r="N9" s="10" t="inlineStr">
        <is>
          <t>không tồn tại
gửi khi sửa</t>
        </is>
      </c>
      <c r="O9" s="10" t="inlineStr">
        <is>
          <t>3
4</t>
        </is>
      </c>
    </row>
    <row r="10" ht="90.5" customHeight="1">
      <c r="A10" s="7" t="inlineStr">
        <is>
          <t>TC-DFIRULE-02</t>
        </is>
      </c>
      <c r="B10" s="7" t="inlineStr">
        <is>
          <t>Từ chối dữ liệu sai và không ghi gì</t>
        </is>
      </c>
      <c r="C10" s="8" t="inlineStr">
        <is>
          <t>Admin</t>
        </is>
      </c>
      <c r="D10" s="8" t="inlineStr">
        <is>
          <t>1. POST với hoạt chất không tồn tại
2. food_to_avoid chỉ khoảng trắng
3. severity_level = 5
4. có verification_status
5. thiếu source</t>
        </is>
      </c>
      <c r="E10" s="8" t="inlineStr">
        <is>
          <t>như bước</t>
        </is>
      </c>
      <c r="F10" s="8" t="inlineStr">
        <is>
          <t>422 (hoạt chất không tồn tại: {"detail": "active_ingredient_not_found"}); không có dòng mới</t>
        </is>
      </c>
      <c r="G10" s="8" t="inlineStr">
        <is>
          <t>Đúng như mong đợi</t>
        </is>
      </c>
      <c r="H10" s="7" t="inlineStr">
        <is>
          <t>Pass</t>
        </is>
      </c>
      <c r="I10" s="8" t="inlineStr">
        <is>
          <t>AC10, AC4, AC15 · EP (3, 5) · test_validation_errors_write_nothing__AC10_AC4</t>
        </is>
      </c>
      <c r="K10" s="9" t="inlineStr">
        <is>
          <t>food_to_avoid</t>
        </is>
      </c>
      <c r="L10" s="10" t="inlineStr">
        <is>
          <t>1–200 ký tự, có ký tự không phải khoảng trắng</t>
        </is>
      </c>
      <c r="M10" s="10" t="inlineStr">
        <is>
          <t>2</t>
        </is>
      </c>
      <c r="N10" s="10" t="inlineStr">
        <is>
          <t>chỉ khoảng trắng
trùng (không phân biệt hoa thường) với quy tắc mở của cùng hoạt chất</t>
        </is>
      </c>
      <c r="O10" s="10" t="inlineStr">
        <is>
          <t>5
6</t>
        </is>
      </c>
    </row>
    <row r="11" ht="57.5" customHeight="1">
      <c r="A11" s="7" t="inlineStr">
        <is>
          <t>TC-DFIRULE-03</t>
        </is>
      </c>
      <c r="B11" s="7" t="inlineStr">
        <is>
          <t>Báo trùng thực phẩm không phân biệt hoa thường</t>
        </is>
      </c>
      <c r="C11" s="8" t="inlineStr">
        <is>
          <t>Admin; đã có (hoạt chất H, "Bưởi")</t>
        </is>
      </c>
      <c r="D11" s="8" t="inlineStr">
        <is>
          <t>1. POST (H, "BƯỞI")
2. POST (hoạt chất khác, "Bưởi")</t>
        </is>
      </c>
      <c r="E11" s="8" t="inlineStr">
        <is>
          <t>BƯỞI</t>
        </is>
      </c>
      <c r="F11" s="8" t="inlineStr">
        <is>
          <t>409 interaction_rule_exists; hoạt chất khác thì 201</t>
        </is>
      </c>
      <c r="G11" s="8" t="inlineStr">
        <is>
          <t>Đúng như mong đợi</t>
        </is>
      </c>
      <c r="H11" s="7" t="inlineStr">
        <is>
          <t>Pass</t>
        </is>
      </c>
      <c r="I11" s="8" t="inlineStr">
        <is>
          <t>AC10, AC5 · EP (6) · test_duplicate_food_case_insensitive__AC10_AC5</t>
        </is>
      </c>
    </row>
    <row r="12" ht="57.5" customHeight="1">
      <c r="A12" s="7" t="inlineStr">
        <is>
          <t>TC-DFIRULE-04</t>
        </is>
      </c>
      <c r="B12" s="7" t="inlineStr">
        <is>
          <t>Sửa thực phẩm thành trùng với quy tắc khác bị từ chối và không ghi gì</t>
        </is>
      </c>
      <c r="C12" s="8" t="inlineStr">
        <is>
          <t>Admin; hoạt chất H có "Sữa" và "Rượu"</t>
        </is>
      </c>
      <c r="D12" s="8" t="inlineStr">
        <is>
          <t>1. PATCH quy tắc "Rượu" đổi food_to_avoid = "sữa"
2. Đọc phiên bản trong DB</t>
        </is>
      </c>
      <c r="E12" s="8" t="inlineStr">
        <is>
          <t>food_to_avoid: sữa</t>
        </is>
      </c>
      <c r="F12" s="8" t="inlineStr">
        <is>
          <t>409 interaction_rule_exists; vẫn 1 phiên bản, phiên bản 1 vẫn mở (giao dịch rollback)</t>
        </is>
      </c>
      <c r="G12" s="8" t="inlineStr">
        <is>
          <t>Đúng như mong đợi</t>
        </is>
      </c>
      <c r="H12" s="7" t="inlineStr">
        <is>
          <t>Pass</t>
        </is>
      </c>
      <c r="I12" s="8" t="inlineStr">
        <is>
          <t>AC10, AC5 · EP (6) · Đoán lỗi · test_patch_food_to_duplicate_conflict_writes_nothing</t>
        </is>
      </c>
    </row>
    <row r="13" ht="57.5" customHeight="1">
      <c r="A13" s="7" t="inlineStr">
        <is>
          <t>TC-DFIRULE-05</t>
        </is>
      </c>
      <c r="B13" s="7" t="inlineStr">
        <is>
          <t>Không đổi được hoạt chất; phiên bản cũ bị từ chối</t>
        </is>
      </c>
      <c r="C13" s="8" t="inlineStr">
        <is>
          <t>Admin; quy tắc phiên bản 1</t>
        </is>
      </c>
      <c r="D13" s="8" t="inlineStr">
        <is>
          <t>1. PATCH gửi ingredient_id
2. PATCH hợp lệ lên phiên bản 2
3. PATCH expected_version=1</t>
        </is>
      </c>
      <c r="E13" s="8" t="inlineStr">
        <is>
          <t>như bước</t>
        </is>
      </c>
      <c r="F13" s="8" t="inlineStr">
        <is>
          <t>422 ValidationError; 200; 409 version_conflict</t>
        </is>
      </c>
      <c r="G13" s="8" t="inlineStr">
        <is>
          <t>Đúng như mong đợi</t>
        </is>
      </c>
      <c r="H13" s="7" t="inlineStr">
        <is>
          <t>Pass</t>
        </is>
      </c>
      <c r="I13" s="8" t="inlineStr">
        <is>
          <t>AC10, AC9, AC20 · EP (4) · test_patch_rejects_ingredient_change_and_stale_version</t>
        </is>
      </c>
    </row>
    <row r="14" ht="107" customHeight="1">
      <c r="A14" s="7" t="inlineStr">
        <is>
          <t>TC-DFIRULE-06</t>
        </is>
      </c>
      <c r="B14" s="7" t="inlineStr">
        <is>
          <t>Lọc và phân trang quy tắc thực phẩm</t>
        </is>
      </c>
      <c r="C14" s="8" t="inlineStr">
        <is>
          <t>Admin; 2 quy tắc của hoạt chất Simva, 1 của hoạt chất khác</t>
        </is>
      </c>
      <c r="D14" s="8" t="inlineStr">
        <is>
          <t>1. GET ?ingredient_id
2. thêm severity_level
3. q viết hoa theo tên hoạt chất
4. q theo food_to_avoid
5. medication_id
6. limit=1&amp;skip=1</t>
        </is>
      </c>
      <c r="E14" s="8" t="inlineStr">
        <is>
          <t>như bước</t>
        </is>
      </c>
      <c r="F14" s="8" t="inlineStr">
        <is>
          <t>Đúng tập kết quả, mới sửa trước, total đúng</t>
        </is>
      </c>
      <c r="G14" s="8" t="inlineStr">
        <is>
          <t>Đúng như mong đợi</t>
        </is>
      </c>
      <c r="H14" s="7" t="inlineStr">
        <is>
          <t>Pass</t>
        </is>
      </c>
      <c r="I14" s="8" t="inlineStr">
        <is>
          <t>AC10, AC8 · test_filters__AC10_AC8</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20"/>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s>
  <sheetData>
    <row r="1">
      <c r="A1" s="1" t="inlineStr">
        <is>
          <t>Project Name</t>
        </is>
      </c>
      <c r="B1" s="2" t="inlineStr">
        <is>
          <t>DrugTime</t>
        </is>
      </c>
    </row>
    <row r="2">
      <c r="A2" s="1" t="inlineStr">
        <is>
          <t>Module Name</t>
        </is>
      </c>
      <c r="B2" s="2" t="inlineStr">
        <is>
          <t>Tra cứu hoạt chất (admin) (INGRED)</t>
        </is>
      </c>
    </row>
    <row r="3">
      <c r="A3" s="1" t="inlineStr">
        <is>
          <t>Created By</t>
        </is>
      </c>
      <c r="B3" s="2" t="inlineStr">
        <is>
          <t>zannguyen</t>
        </is>
      </c>
    </row>
    <row r="4">
      <c r="A4" s="1" t="inlineStr">
        <is>
          <t>Creation Date</t>
        </is>
      </c>
      <c r="B4" s="21" t="n">
        <v>46307</v>
      </c>
    </row>
    <row r="5">
      <c r="A5" s="1" t="inlineStr">
        <is>
          <t>Reviewed By</t>
        </is>
      </c>
      <c r="B5" s="2" t="inlineStr"/>
    </row>
    <row r="6">
      <c r="A6" s="1" t="inlineStr">
        <is>
          <t>Reviewed Date</t>
        </is>
      </c>
      <c r="B6" s="2" t="n"/>
    </row>
    <row r="7">
      <c r="K7" s="4" t="inlineStr">
        <is>
          <t>Equivalence Partitioning</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row>
    <row r="9" ht="74" customHeight="1">
      <c r="A9" s="7" t="inlineStr">
        <is>
          <t>TC-INGRED-01</t>
        </is>
      </c>
      <c r="B9" s="7" t="inlineStr">
        <is>
          <t>Tìm hoạt chất theo tên chuẩn và theo tên gọi khác</t>
        </is>
      </c>
      <c r="C9" s="8" t="inlineStr">
        <is>
          <t>Admin; hoạt chất Warfarin-&lt;tag&gt; có alias Coumadin-&lt;tag&gt;; Other-&lt;tag&gt;</t>
        </is>
      </c>
      <c r="D9" s="8" t="inlineStr">
        <is>
          <t>1. GET /admin/active-ingredients?q=WARFARIN-&lt;tag&gt; (viết hoa)
2. q=coumadin-&lt;tag&gt;
3. q=&lt;tag&gt;</t>
        </is>
      </c>
      <c r="E9" s="8" t="inlineStr">
        <is>
          <t>như bước</t>
        </is>
      </c>
      <c r="F9" s="8" t="inlineStr">
        <is>
          <t>Trả đúng Warfarin kèm aliases; theo alias trả Warfarin; theo tag trả cả hai, sắp theo tên</t>
        </is>
      </c>
      <c r="G9" s="8" t="inlineStr">
        <is>
          <t>Đúng như mong đợi</t>
        </is>
      </c>
      <c r="H9" s="7" t="inlineStr">
        <is>
          <t>Pass</t>
        </is>
      </c>
      <c r="I9" s="8" t="inlineStr">
        <is>
          <t>AC12 · EP (1, 2) · test_search_by_name_and_alias__AC12</t>
        </is>
      </c>
      <c r="K9" s="9" t="inlineStr">
        <is>
          <t>q</t>
        </is>
      </c>
      <c r="L9" s="10" t="inlineStr">
        <is>
          <t>khớp một phần tên chuẩn
khớp một phần alias</t>
        </is>
      </c>
      <c r="M9" s="10" t="inlineStr">
        <is>
          <t>1
2</t>
        </is>
      </c>
      <c r="N9" s="10" t="inlineStr">
        <is>
          <t>chuỗi rỗng
ký tự wildcard % _ (phải khớp nguyên văn)</t>
        </is>
      </c>
      <c r="O9" s="10" t="inlineStr">
        <is>
          <t>4
5</t>
        </is>
      </c>
    </row>
    <row r="10" ht="41" customHeight="1">
      <c r="A10" s="7" t="inlineStr">
        <is>
          <t>TC-INGRED-02</t>
        </is>
      </c>
      <c r="B10" s="7" t="inlineStr">
        <is>
          <t>Ký tự wildcard trong từ khóa được khớp nguyên văn</t>
        </is>
      </c>
      <c r="C10" s="8" t="inlineStr">
        <is>
          <t>Admin; hoạt chất plain-&lt;tag&gt;</t>
        </is>
      </c>
      <c r="D10" s="8" t="inlineStr">
        <is>
          <t>1. GET q=%&lt;tag&gt;
2. GET q=_lain-&lt;tag&gt;</t>
        </is>
      </c>
      <c r="E10" s="8" t="inlineStr">
        <is>
          <t>% và _</t>
        </is>
      </c>
      <c r="F10" s="8" t="inlineStr">
        <is>
          <t>total = 0 cho cả hai</t>
        </is>
      </c>
      <c r="G10" s="8" t="inlineStr">
        <is>
          <t>Đúng như mong đợi</t>
        </is>
      </c>
      <c r="H10" s="7" t="inlineStr">
        <is>
          <t>Pass</t>
        </is>
      </c>
      <c r="I10" s="8" t="inlineStr">
        <is>
          <t>AC12 · EP (5) · Đoán lỗi · test_wildcards_are_literal</t>
        </is>
      </c>
      <c r="K10" s="9" t="inlineStr">
        <is>
          <t>medication_id</t>
        </is>
      </c>
      <c r="L10" s="10" t="inlineStr">
        <is>
          <t>thuốc có hoạt chất</t>
        </is>
      </c>
      <c r="M10" s="10" t="inlineStr">
        <is>
          <t>3</t>
        </is>
      </c>
      <c r="N10" s="10" t="inlineStr">
        <is>
          <t>thuốc không tồn tại
thuốc chưa ánh xạ hoạt chất</t>
        </is>
      </c>
      <c r="O10" s="10" t="inlineStr">
        <is>
          <t>6
7</t>
        </is>
      </c>
    </row>
    <row r="11" ht="41" customHeight="1">
      <c r="A11" s="7" t="inlineStr">
        <is>
          <t>TC-INGRED-03</t>
        </is>
      </c>
      <c r="B11" s="7" t="inlineStr">
        <is>
          <t>Xem hoạt chất của một thuốc phối hợp</t>
        </is>
      </c>
      <c r="C11" s="8" t="inlineStr">
        <is>
          <t>Admin; thuốc chứa hai hoạt chất</t>
        </is>
      </c>
      <c r="D11" s="8" t="inlineStr">
        <is>
          <t>1. GET ?medication_id
2. GET ?medication_id&amp;limit=1</t>
        </is>
      </c>
      <c r="E11" s="8" t="inlineStr">
        <is>
          <t>thuốc 2 hoạt chất</t>
        </is>
      </c>
      <c r="F11" s="8" t="inlineStr">
        <is>
          <t>Trả đúng 2 hoạt chất, total 2; limit 1 trả 1 với total 2</t>
        </is>
      </c>
      <c r="G11" s="8" t="inlineStr">
        <is>
          <t>Đúng như mong đợi</t>
        </is>
      </c>
      <c r="H11" s="7" t="inlineStr">
        <is>
          <t>Pass</t>
        </is>
      </c>
      <c r="I11" s="8" t="inlineStr">
        <is>
          <t>AC12, Q7 · EP (3) · test_by_medication__AC12</t>
        </is>
      </c>
    </row>
    <row r="12" ht="57.5" customHeight="1">
      <c r="A12" s="7" t="inlineStr">
        <is>
          <t>TC-INGRED-04</t>
        </is>
      </c>
      <c r="B12" s="7" t="inlineStr">
        <is>
          <t>Thuốc không tồn tại hoặc chưa ánh xạ hoạt chất trả danh sách rỗng</t>
        </is>
      </c>
      <c r="C12" s="8" t="inlineStr">
        <is>
          <t>Admin</t>
        </is>
      </c>
      <c r="D12" s="8" t="inlineStr">
        <is>
          <t>1. GET ?medication_id=2000000000
2. GET ?medication_id=&lt;thuốc chưa có hoạt chất&gt;</t>
        </is>
      </c>
      <c r="E12" s="8" t="inlineStr">
        <is>
          <t>như bước</t>
        </is>
      </c>
      <c r="F12" s="8" t="inlineStr">
        <is>
          <t>200 {"items": [], "total": 0}</t>
        </is>
      </c>
      <c r="G12" s="8" t="inlineStr">
        <is>
          <t>Đúng như mong đợi</t>
        </is>
      </c>
      <c r="H12" s="7" t="inlineStr">
        <is>
          <t>Pass</t>
        </is>
      </c>
      <c r="I12" s="8" t="inlineStr">
        <is>
          <t>AC12 · EP (6, 7) · test_unknown_or_unmapped_medication_empty__AC12</t>
        </is>
      </c>
    </row>
    <row r="13" ht="41" customHeight="1">
      <c r="A13" s="7" t="inlineStr">
        <is>
          <t>TC-INGRED-05</t>
        </is>
      </c>
      <c r="B13" s="7" t="inlineStr">
        <is>
          <t>Từ chối tham số query sai</t>
        </is>
      </c>
      <c r="C13" s="8" t="inlineStr">
        <is>
          <t>Admin</t>
        </is>
      </c>
      <c r="D13" s="8" t="inlineStr">
        <is>
          <t>1. GET ?limit=0, ?limit=101, ?skip=-1, ?q=</t>
        </is>
      </c>
      <c r="E13" s="8" t="inlineStr">
        <is>
          <t>như bước</t>
        </is>
      </c>
      <c r="F13" s="8" t="inlineStr">
        <is>
          <t>422 cho từng trường hợp</t>
        </is>
      </c>
      <c r="G13" s="8" t="inlineStr">
        <is>
          <t>422</t>
        </is>
      </c>
      <c r="H13" s="7" t="inlineStr">
        <is>
          <t>Pass</t>
        </is>
      </c>
      <c r="I13" s="8" t="inlineStr">
        <is>
          <t>AC12 · EP (4) · BVA · test_bad_query_422 (unit)</t>
        </is>
      </c>
    </row>
    <row r="14" ht="41" customHeight="1">
      <c r="A14" s="7" t="inlineStr">
        <is>
          <t>TC-INGRED-06</t>
        </is>
      </c>
      <c r="B14" s="7" t="inlineStr">
        <is>
          <t>Chặn không token và tài khoản không phải admin</t>
        </is>
      </c>
      <c r="C14" s="8" t="inlineStr">
        <is>
          <t>Không token; user thường</t>
        </is>
      </c>
      <c r="D14" s="8" t="inlineStr">
        <is>
          <t>1. GET /admin/active-ingredients không token
2. GET bằng phiên user thường</t>
        </is>
      </c>
      <c r="E14" s="8" t="inlineStr">
        <is>
          <t>-</t>
        </is>
      </c>
      <c r="F14" s="8" t="inlineStr">
        <is>
          <t>401; 403 {"detail": "admin_only"}</t>
        </is>
      </c>
      <c r="G14" s="8" t="inlineStr">
        <is>
          <t>Đúng như mong đợi</t>
        </is>
      </c>
      <c r="H14" s="7" t="inlineStr">
        <is>
          <t>Pass</t>
        </is>
      </c>
      <c r="I14" s="8" t="inlineStr">
        <is>
          <t>AC11 · test_auth_401_and_non_admin_403__AC11</t>
        </is>
      </c>
    </row>
    <row r="15"/>
    <row r="16"/>
    <row r="17">
      <c r="G17" s="12" t="inlineStr">
        <is>
          <t>Pass</t>
        </is>
      </c>
      <c r="H17" s="13">
        <f>COUNTIF(H9:H14,"Pass")</f>
        <v/>
      </c>
    </row>
    <row r="18">
      <c r="G18" s="12" t="inlineStr">
        <is>
          <t>Fail</t>
        </is>
      </c>
      <c r="H18" s="13">
        <f>COUNTIF(H9:H14,"Fail")</f>
        <v/>
      </c>
    </row>
    <row r="19">
      <c r="G19" s="12" t="inlineStr">
        <is>
          <t>Pending</t>
        </is>
      </c>
      <c r="H19" s="13">
        <f>COUNTIF(H9:H14,"Pending")</f>
        <v/>
      </c>
    </row>
    <row r="20">
      <c r="G20" s="12" t="inlineStr">
        <is>
          <t>Total</t>
        </is>
      </c>
      <c r="H20" s="13">
        <f>SUM(H17:H19)</f>
        <v/>
      </c>
    </row>
  </sheetData>
  <autoFilter ref="A8:I14"/>
  <conditionalFormatting sqref="H9:H14">
    <cfRule type="cellIs" priority="1" operator="equal" dxfId="0">
      <formula>"Fail"</formula>
    </cfRule>
  </conditionalFormatting>
  <dataValidations count="1">
    <dataValidation sqref="H9:H14" showDropDown="0" showInputMessage="0" showErrorMessage="0" allowBlank="0" type="list">
      <formula1>"Pass,Fail,Pending"</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7"/>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Mã liên kết người thân (LINKCODE)</t>
        </is>
      </c>
    </row>
    <row r="3">
      <c r="A3" s="1" t="inlineStr">
        <is>
          <t>Created By</t>
        </is>
      </c>
      <c r="B3" s="2" t="inlineStr">
        <is>
          <t>zannguyen</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GET /family/link-code</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TC-LINKCODE-01</t>
        </is>
      </c>
      <c r="B9" s="7" t="inlineStr">
        <is>
          <t>Lấy mã liên kết lần đầu khi user chưa có mã</t>
        </is>
      </c>
      <c r="C9" s="8" t="inlineStr">
        <is>
          <t>User thường đã đăng nhập (phiên mobile), chưa có dòng link_codes</t>
        </is>
      </c>
      <c r="D9" s="8" t="inlineStr">
        <is>
          <t>1. GET /family/link-code với header Authorization của user
2. Kiểm bảng link_codes theo patient_user_id</t>
        </is>
      </c>
      <c r="E9" s="8" t="inlineStr">
        <is>
          <t>Authorization: Bearer &lt;phiên mobile của U&gt;</t>
        </is>
      </c>
      <c r="F9" s="8" t="inlineStr">
        <is>
          <t>200; body chỉ có code (10 ký tự khớp ^[A-HJKMNP-Z2-9]{10}$) và qr_payload; DB có đúng 1 dòng link_codes của U với code trùng response</t>
        </is>
      </c>
      <c r="G9" s="8" t="inlineStr">
        <is>
          <t>200, body {code, qr_payload} đúng định dạng; đúng 1 dòng link_codes của U</t>
        </is>
      </c>
      <c r="H9" s="7" t="inlineStr">
        <is>
          <t>Pass</t>
        </is>
      </c>
      <c r="I9" s="8" t="inlineStr">
        <is>
          <t>AC1 · EP (1) · Decision Table (R4) · test_first_call_creates_one_row__AC1</t>
        </is>
      </c>
      <c r="K9" s="9" t="inlineStr">
        <is>
          <t>Phiên gọi (header Authorization)</t>
        </is>
      </c>
      <c r="L9" s="10" t="inlineStr">
        <is>
          <t>Phiên mobile hợp lệ của tài khoản cá nhân</t>
        </is>
      </c>
      <c r="M9" s="10" t="inlineStr">
        <is>
          <t>1</t>
        </is>
      </c>
      <c r="N9" s="10" t="inlineStr">
        <is>
          <t>Không có header
Token sai
Token của tài khoản đã xóa dữ liệu
Token của user không tồn tại
Phiên của tài khoản admin</t>
        </is>
      </c>
      <c r="O9" s="10" t="inlineStr">
        <is>
          <t>3
4
5
6
7</t>
        </is>
      </c>
      <c r="Q9" s="10" t="inlineStr">
        <is>
          <t>Phiên hợp lệ, tài khoản còn?</t>
        </is>
      </c>
      <c r="R9" s="11" t="inlineStr">
        <is>
          <t>No</t>
        </is>
      </c>
      <c r="S9" s="11" t="inlineStr">
        <is>
          <t>Yes</t>
        </is>
      </c>
      <c r="T9" s="11" t="inlineStr">
        <is>
          <t>Yes</t>
        </is>
      </c>
      <c r="U9" s="11" t="inlineStr">
        <is>
          <t>Yes</t>
        </is>
      </c>
    </row>
    <row r="10" ht="57.5" customHeight="1">
      <c r="A10" s="7" t="inlineStr">
        <is>
          <t>TC-LINKCODE-02</t>
        </is>
      </c>
      <c r="B10" s="7" t="inlineStr">
        <is>
          <t>Gọi lại nhiều lần trả đúng mã cũ</t>
        </is>
      </c>
      <c r="C10" s="8" t="inlineStr">
        <is>
          <t>User U đã có mã C (đã gọi endpoint một lần)</t>
        </is>
      </c>
      <c r="D10" s="8" t="inlineStr">
        <is>
          <t>1. GET /family/link-code 3 lần với phiên của U
2. Kiểm bảng link_codes của U</t>
        </is>
      </c>
      <c r="E10" s="8" t="inlineStr">
        <is>
          <t>3 lần gọi liên tiếp</t>
        </is>
      </c>
      <c r="F10" s="8" t="inlineStr">
        <is>
          <t>Cả 3 lần 200 với cùng body; vẫn 1 dòng, code và created_at không đổi</t>
        </is>
      </c>
      <c r="G10" s="8" t="inlineStr">
        <is>
          <t>3 lần 200, body giống hệt lần đầu; 1 dòng, created_at không đổi</t>
        </is>
      </c>
      <c r="H10" s="7" t="inlineStr">
        <is>
          <t>Pass</t>
        </is>
      </c>
      <c r="I10" s="8" t="inlineStr">
        <is>
          <t>AC2 · Decision Table (R3) · test_repeated_calls_return_same_code__AC2</t>
        </is>
      </c>
      <c r="K10" s="9" t="inlineStr">
        <is>
          <t>Mã liên kết (code)</t>
        </is>
      </c>
      <c r="L10" s="10" t="inlineStr">
        <is>
          <t>10 ký tự thuộc A–Z, 2–9, bỏ 0 O 1 I L</t>
        </is>
      </c>
      <c r="M10" s="10" t="inlineStr">
        <is>
          <t>2</t>
        </is>
      </c>
      <c r="N10" s="10" t="inlineStr">
        <is>
          <t>Có ký tự dễ nhầm 0, O, 1, I, L
Chữ thường
Độ dài khác 10</t>
        </is>
      </c>
      <c r="O10" s="10" t="inlineStr">
        <is>
          <t>8
9
10</t>
        </is>
      </c>
      <c r="Q10" s="10" t="inlineStr">
        <is>
          <t>Tài khoản admin?</t>
        </is>
      </c>
      <c r="R10" s="11" t="inlineStr">
        <is>
          <t>-</t>
        </is>
      </c>
      <c r="S10" s="11" t="inlineStr">
        <is>
          <t>Yes</t>
        </is>
      </c>
      <c r="T10" s="11" t="inlineStr">
        <is>
          <t>No</t>
        </is>
      </c>
      <c r="U10" s="11" t="inlineStr">
        <is>
          <t>No</t>
        </is>
      </c>
    </row>
    <row r="11" ht="107" customHeight="1">
      <c r="A11" s="7" t="inlineStr">
        <is>
          <t>TC-LINKCODE-03</t>
        </is>
      </c>
      <c r="B11" s="7" t="inlineStr">
        <is>
          <t>Chờ request khác đang tạo mã cho cùng user rồi trả đúng mã đó</t>
        </is>
      </c>
      <c r="C11" s="8" t="inlineStr">
        <is>
          <t>User U chưa có mã; một kết nối khác đã INSERT mã M cho U trong transaction chưa commit</t>
        </is>
      </c>
      <c r="D11" s="8" t="inlineStr">
        <is>
          <t>1. Gửi GET /family/link-code của U trong thread riêng
2. Xác nhận request đang chờ khóa (pg_stat_activity)
3. Commit transaction của kết nối kia
4. Đợi request trả về</t>
        </is>
      </c>
      <c r="E11" s="8" t="inlineStr">
        <is>
          <t>M = mã ngẫu nhiên hợp lệ</t>
        </is>
      </c>
      <c r="F11" s="8" t="inlineStr">
        <is>
          <t>200 với code = M; DB chỉ có 1 dòng của U; không 5xx</t>
        </is>
      </c>
      <c r="G11" s="8" t="inlineStr">
        <is>
          <t>Request chờ khóa, sau commit trả 200 với code = M; 1 dòng. Chạy lặp 5 lần đều pass</t>
        </is>
      </c>
      <c r="H11" s="7" t="inlineStr">
        <is>
          <t>Pass</t>
        </is>
      </c>
      <c r="I11" s="8" t="inlineStr">
        <is>
          <t>AC3 · Đoán lỗi (chạy đua) · test_waits_for_concurrent_insert_and_returns_its_code__AC3</t>
        </is>
      </c>
      <c r="Q11" s="10" t="inlineStr">
        <is>
          <t>User đã có mã?</t>
        </is>
      </c>
      <c r="R11" s="11" t="inlineStr">
        <is>
          <t>-</t>
        </is>
      </c>
      <c r="S11" s="11" t="inlineStr">
        <is>
          <t>-</t>
        </is>
      </c>
      <c r="T11" s="11" t="inlineStr">
        <is>
          <t>Yes</t>
        </is>
      </c>
      <c r="U11" s="11" t="inlineStr">
        <is>
          <t>No</t>
        </is>
      </c>
    </row>
    <row r="12" ht="57.5" customHeight="1">
      <c r="A12" s="7" t="inlineStr">
        <is>
          <t>TC-LINKCODE-04</t>
        </is>
      </c>
      <c r="B12" s="7" t="inlineStr">
        <is>
          <t>Hai request đầu tiên gửi đồng thời nhận cùng một mã</t>
        </is>
      </c>
      <c r="C12" s="8" t="inlineStr">
        <is>
          <t>User U chưa có mã</t>
        </is>
      </c>
      <c r="D12" s="8" t="inlineStr">
        <is>
          <t>1. Gửi đồng thời 2 request GET /family/link-code của U (Barrier)
2. Kiểm bảng link_codes của U</t>
        </is>
      </c>
      <c r="E12" s="8" t="inlineStr">
        <is>
          <t>2 thread cùng phiên của U</t>
        </is>
      </c>
      <c r="F12" s="8" t="inlineStr">
        <is>
          <t>Cả hai 200, cùng body; đúng 1 dòng của U</t>
        </is>
      </c>
      <c r="G12" s="8" t="inlineStr">
        <is>
          <t>Cả hai 200, cùng code; 1 dòng. Chạy lặp 5 lần đều pass</t>
        </is>
      </c>
      <c r="H12" s="7" t="inlineStr">
        <is>
          <t>Pass</t>
        </is>
      </c>
      <c r="I12" s="8" t="inlineStr">
        <is>
          <t>AC3 · Đoán lỗi (gửi trùng) · test_parallel_first_calls_same_code__AC3</t>
        </is>
      </c>
      <c r="Q12" s="6" t="inlineStr">
        <is>
          <t>Action</t>
        </is>
      </c>
      <c r="R12" s="5" t="inlineStr">
        <is>
          <t>R1</t>
        </is>
      </c>
      <c r="S12" s="5" t="inlineStr">
        <is>
          <t>R2</t>
        </is>
      </c>
      <c r="T12" s="5" t="inlineStr">
        <is>
          <t>R3</t>
        </is>
      </c>
      <c r="U12" s="5" t="inlineStr">
        <is>
          <t>R4</t>
        </is>
      </c>
    </row>
    <row r="13" ht="41" customHeight="1">
      <c r="A13" s="7" t="inlineStr">
        <is>
          <t>TC-LINKCODE-05</t>
        </is>
      </c>
      <c r="B13" s="7" t="inlineStr">
        <is>
          <t>Sinh 10.000 mã đều đúng độ dài và bảng ký tự</t>
        </is>
      </c>
      <c r="C13" s="8" t="inlineStr">
        <is>
          <t>Không cần DB</t>
        </is>
      </c>
      <c r="D13" s="8" t="inlineStr">
        <is>
          <t>1. Gọi generate_code() 10.000 lần
2. Kiểm độ dài và ký tự của từng mã</t>
        </is>
      </c>
      <c r="E13" s="8" t="inlineStr">
        <is>
          <t>10.000 mã</t>
        </is>
      </c>
      <c r="F13" s="8" t="inlineStr">
        <is>
          <t>Mọi mã dài 10, chỉ gồm ký tự trong ALPHABET; không trùng nhau</t>
        </is>
      </c>
      <c r="G13" s="8" t="inlineStr">
        <is>
          <t>10.000 mã dài 10, đúng bảng ký tự, không trùng</t>
        </is>
      </c>
      <c r="H13" s="7" t="inlineStr">
        <is>
          <t>Pass</t>
        </is>
      </c>
      <c r="I13" s="8" t="inlineStr">
        <is>
          <t>AC4 · EP (1) · test_generate_code_length_and_alphabet__AC4</t>
        </is>
      </c>
      <c r="Q13" s="10" t="inlineStr">
        <is>
          <t>401, không ghi gì</t>
        </is>
      </c>
      <c r="R13" s="11" t="inlineStr">
        <is>
          <t>X</t>
        </is>
      </c>
      <c r="S13" s="11" t="inlineStr"/>
      <c r="T13" s="11" t="inlineStr"/>
      <c r="U13" s="11" t="inlineStr"/>
    </row>
    <row r="14" ht="57.5" customHeight="1">
      <c r="A14" s="7" t="inlineStr">
        <is>
          <t>TC-LINKCODE-06</t>
        </is>
      </c>
      <c r="B14" s="7" t="inlineStr">
        <is>
          <t>Bảng ký tự không chứa ký tự dễ nhầm</t>
        </is>
      </c>
      <c r="C14" s="8" t="inlineStr">
        <is>
          <t>Không cần DB</t>
        </is>
      </c>
      <c r="D14" s="8" t="inlineStr">
        <is>
          <t>1. Đọc ALPHABET
2. So với tập 0 O 1 I L</t>
        </is>
      </c>
      <c r="E14" s="8" t="inlineStr">
        <is>
          <t>ALPHABET = ABCDEFGHJKMNPQRSTUVWXYZ23456789</t>
        </is>
      </c>
      <c r="F14" s="8" t="inlineStr">
        <is>
          <t>31 ký tự phân biệt; không có 0, O, 1, I, L</t>
        </is>
      </c>
      <c r="G14" s="8" t="inlineStr">
        <is>
          <t>31 ký tự, không có ký tự dễ nhầm</t>
        </is>
      </c>
      <c r="H14" s="7" t="inlineStr">
        <is>
          <t>Pass</t>
        </is>
      </c>
      <c r="I14" s="8" t="inlineStr">
        <is>
          <t>AC4 · EP (2) · test_alphabet_excludes_confusable_characters__AC4</t>
        </is>
      </c>
      <c r="Q14" s="10" t="inlineStr">
        <is>
          <t>403 khong_co_quyen, không ghi gì</t>
        </is>
      </c>
      <c r="R14" s="11" t="inlineStr"/>
      <c r="S14" s="11" t="inlineStr">
        <is>
          <t>X</t>
        </is>
      </c>
      <c r="T14" s="11" t="inlineStr"/>
      <c r="U14" s="11" t="inlineStr"/>
    </row>
    <row r="15" ht="90.5" customHeight="1">
      <c r="A15" s="7" t="inlineStr">
        <is>
          <t>TC-LINKCODE-07</t>
        </is>
      </c>
      <c r="B15" s="7" t="inlineStr">
        <is>
          <t>Mã được sinh bằng nguồn ngẫu nhiên an toàn</t>
        </is>
      </c>
      <c r="C15" s="8" t="inlineStr">
        <is>
          <t>Không cần DB</t>
        </is>
      </c>
      <c r="D15" s="8" t="inlineStr">
        <is>
          <t>1. Kiểm giá trị mặc định của generate_code
2. Quét mã nguồn module family tìm import random</t>
        </is>
      </c>
      <c r="E15" s="8" t="inlineStr">
        <is>
          <t>src/drugtime/modules/family/**</t>
        </is>
      </c>
      <c r="F15" s="8" t="inlineStr">
        <is>
          <t>Mặc định dùng secrets.choice; không file nào import random</t>
        </is>
      </c>
      <c r="G15" s="8" t="inlineStr">
        <is>
          <t>Mặc định secrets.choice; không có import random</t>
        </is>
      </c>
      <c r="H15" s="7" t="inlineStr">
        <is>
          <t>Pass</t>
        </is>
      </c>
      <c r="I15" s="8" t="inlineStr">
        <is>
          <t>AC4 · Đoán lỗi (bảo mật) · test_generate_code_defaults_to_secrets_choice__AC4, test_family_module_does_not_import_random__AC4</t>
        </is>
      </c>
      <c r="Q15" s="10" t="inlineStr">
        <is>
          <t>200, trả mã cũ, không ghi gì</t>
        </is>
      </c>
      <c r="R15" s="11" t="inlineStr"/>
      <c r="S15" s="11" t="inlineStr"/>
      <c r="T15" s="11" t="inlineStr">
        <is>
          <t>X</t>
        </is>
      </c>
      <c r="U15" s="11" t="inlineStr"/>
    </row>
    <row r="16" ht="57.5" customHeight="1">
      <c r="A16" s="7" t="inlineStr">
        <is>
          <t>TC-LINKCODE-08</t>
        </is>
      </c>
      <c r="B16" s="7" t="inlineStr">
        <is>
          <t>Tách mã từ qr_payload được đúng code</t>
        </is>
      </c>
      <c r="C16" s="8" t="inlineStr">
        <is>
          <t>User thường đã đăng nhập</t>
        </is>
      </c>
      <c r="D16" s="8" t="inlineStr">
        <is>
          <t>1. GET /family/link-code
2. Phân tích qr_payload như URL, lấy tham số code</t>
        </is>
      </c>
      <c r="E16" s="8" t="inlineStr">
        <is>
          <t>qr_payload trong response</t>
        </is>
      </c>
      <c r="F16" s="8" t="inlineStr">
        <is>
          <t>qr_payload = drugtime://link?code=&lt;code&gt;; scheme drugtime, host link, tham số code = code</t>
        </is>
      </c>
      <c r="G16" s="8" t="inlineStr">
        <is>
          <t>Đúng định dạng; tham số code bằng code của response</t>
        </is>
      </c>
      <c r="H16" s="7" t="inlineStr">
        <is>
          <t>Pass</t>
        </is>
      </c>
      <c r="I16" s="8" t="inlineStr">
        <is>
          <t>AC5 · test_qr_payload_contains_code__AC5, test_qr_payload_roundtrip__AC5</t>
        </is>
      </c>
      <c r="Q16" s="10" t="inlineStr">
        <is>
          <t>200, sinh và lưu một mã mới</t>
        </is>
      </c>
      <c r="R16" s="11" t="inlineStr"/>
      <c r="S16" s="11" t="inlineStr"/>
      <c r="T16" s="11" t="inlineStr"/>
      <c r="U16" s="11" t="inlineStr">
        <is>
          <t>X</t>
        </is>
      </c>
    </row>
    <row r="17" ht="90.5" customHeight="1">
      <c r="A17" s="7" t="inlineStr">
        <is>
          <t>TC-LINKCODE-09</t>
        </is>
      </c>
      <c r="B17" s="7" t="inlineStr">
        <is>
          <t>Không lấy được hoặc tạo mã cho user khác bằng tham số query</t>
        </is>
      </c>
      <c r="C17" s="8" t="inlineStr">
        <is>
          <t>Hai user thường U, V; V chưa có mã</t>
        </is>
      </c>
      <c r="D17" s="8" t="inlineStr">
        <is>
          <t>1. U gọi GET /family/link-code
2. U gọi GET /family/link-code?patient_user_id=&lt;V&gt;&amp;user_id=&lt;V&gt;
3. Kiểm link_codes của V
4. V gọi GET /family/link-code</t>
        </is>
      </c>
      <c r="E17" s="8" t="inlineStr">
        <is>
          <t>patient_user_id = id của V</t>
        </is>
      </c>
      <c r="F17" s="8" t="inlineStr">
        <is>
          <t>Lần 2 vẫn trả mã của U; V không có dòng nào cho tới khi V tự gọi; mã của V khác mã của U</t>
        </is>
      </c>
      <c r="G17" s="8" t="inlineStr">
        <is>
          <t>Trả mã của U; V không có dòng; sau đó V nhận mã riêng, khác mã của U</t>
        </is>
      </c>
      <c r="H17" s="7" t="inlineStr">
        <is>
          <t>Pass</t>
        </is>
      </c>
      <c r="I17" s="8" t="inlineStr">
        <is>
          <t>AC6 · Đoán lỗi (truy cập dữ liệu người khác) · test_codes_are_per_user_and_query_ignored__AC6</t>
        </is>
      </c>
    </row>
    <row r="18" ht="57.5" customHeight="1">
      <c r="A18" s="7" t="inlineStr">
        <is>
          <t>TC-LINKCODE-10</t>
        </is>
      </c>
      <c r="B18" s="7" t="inlineStr">
        <is>
          <t>Sinh lại khi mã trùng với mã của user khác</t>
        </is>
      </c>
      <c r="C18" s="8" t="inlineStr">
        <is>
          <t>Mã đầu tiên sinh ra đã thuộc user khác (fake repository)</t>
        </is>
      </c>
      <c r="D18" s="8" t="inlineStr">
        <is>
          <t>1. Gọi use case get_link_code với generate trả lần lượt mã đã có rồi mã mới</t>
        </is>
      </c>
      <c r="E18" s="8" t="inlineStr">
        <is>
          <t>TAKEN23456 (đã có), FRESH23456</t>
        </is>
      </c>
      <c r="F18" s="8" t="inlineStr">
        <is>
          <t>Trả FRESH23456; insert được gọi 2 lần</t>
        </is>
      </c>
      <c r="G18" s="8" t="inlineStr">
        <is>
          <t>Trả FRESH23456 sau 2 lần insert</t>
        </is>
      </c>
      <c r="H18" s="7" t="inlineStr">
        <is>
          <t>Pass</t>
        </is>
      </c>
      <c r="I18" s="8" t="inlineStr">
        <is>
          <t>AC7 · Đoán lỗi (trùng mã) · test_retries_on_code_collision__AC7</t>
        </is>
      </c>
    </row>
    <row r="19" ht="74" customHeight="1">
      <c r="A19" s="7" t="inlineStr">
        <is>
          <t>TC-LINKCODE-11</t>
        </is>
      </c>
      <c r="B19" s="7" t="inlineStr">
        <is>
          <t>Trả 503 link_code_unavailable khi trùng mã ở cả 5 lần thử</t>
        </is>
      </c>
      <c r="C19" s="8" t="inlineStr">
        <is>
          <t>Mọi mã sinh ra đều đã thuộc user khác (fake repository)</t>
        </is>
      </c>
      <c r="D19" s="8" t="inlineStr">
        <is>
          <t>1. Gọi use case get_link_code với generate luôn trả mã đã có</t>
        </is>
      </c>
      <c r="E19" s="8" t="inlineStr">
        <is>
          <t>TAKEN23456 × 5</t>
        </is>
      </c>
      <c r="F19" s="8" t="inlineStr">
        <is>
          <t>ServiceUnavailable("link_code_unavailable") (HTTP 503) sau đúng 5 lần insert; không lưu gì; message không chứa mã</t>
        </is>
      </c>
      <c r="G19" s="8" t="inlineStr">
        <is>
          <t>ServiceUnavailable link_code_unavailable sau 5 lần; không lưu; message không có mã</t>
        </is>
      </c>
      <c r="H19" s="7" t="inlineStr">
        <is>
          <t>Pass</t>
        </is>
      </c>
      <c r="I19" s="8" t="inlineStr">
        <is>
          <t>AC7 · AC10 · BVA (max = 5 lần thử) · test_gives_up_after_max_attempts_503__AC7, test_errors_do_not_contain_code__AC10</t>
        </is>
      </c>
    </row>
    <row r="20" ht="57.5" customHeight="1">
      <c r="A20" s="7" t="inlineStr">
        <is>
          <t>TC-LINKCODE-12</t>
        </is>
      </c>
      <c r="B20" s="7" t="inlineStr">
        <is>
          <t>Gọi không có header Authorization</t>
        </is>
      </c>
      <c r="C20" s="8" t="inlineStr">
        <is>
          <t>Không đăng nhập</t>
        </is>
      </c>
      <c r="D20" s="8" t="inlineStr">
        <is>
          <t>1. GET /family/link-code không có header Authorization
2. Đếm dòng link_codes trước và sau</t>
        </is>
      </c>
      <c r="E20" s="8" t="inlineStr">
        <is>
          <t>(blank)</t>
        </is>
      </c>
      <c r="F20" s="8" t="inlineStr">
        <is>
          <t>401; số dòng link_codes không đổi</t>
        </is>
      </c>
      <c r="G20" s="8" t="inlineStr">
        <is>
          <t>401; không có dòng mới</t>
        </is>
      </c>
      <c r="H20" s="7" t="inlineStr">
        <is>
          <t>Pass</t>
        </is>
      </c>
      <c r="I20" s="8" t="inlineStr">
        <is>
          <t>AC8 · EP (2) · Decision Table (R1) · test_unauthenticated_401_no_row__AC8[no_header]</t>
        </is>
      </c>
    </row>
    <row r="21" ht="57.5" customHeight="1">
      <c r="A21" s="7" t="inlineStr">
        <is>
          <t>TC-LINKCODE-13</t>
        </is>
      </c>
      <c r="B21" s="7" t="inlineStr">
        <is>
          <t>Gọi với token sai</t>
        </is>
      </c>
      <c r="C21" s="8" t="inlineStr">
        <is>
          <t>Không có phiên hợp lệ</t>
        </is>
      </c>
      <c r="D21" s="8" t="inlineStr">
        <is>
          <t>1. GET /family/link-code với Authorization: Bearer not-a-valid-token</t>
        </is>
      </c>
      <c r="E21" s="8" t="inlineStr">
        <is>
          <t>Bearer not-a-valid-token</t>
        </is>
      </c>
      <c r="F21" s="8" t="inlineStr">
        <is>
          <t>401; không có dòng mới</t>
        </is>
      </c>
      <c r="G21" s="8" t="inlineStr">
        <is>
          <t>401; không có dòng mới</t>
        </is>
      </c>
      <c r="H21" s="7" t="inlineStr">
        <is>
          <t>Pass</t>
        </is>
      </c>
      <c r="I21" s="8" t="inlineStr">
        <is>
          <t>AC8 · EP (3) · Decision Table (R1) · test_unauthenticated_401_no_row__AC8[bad_token]</t>
        </is>
      </c>
    </row>
    <row r="22" ht="57.5" customHeight="1">
      <c r="A22" s="7" t="inlineStr">
        <is>
          <t>TC-LINKCODE-14</t>
        </is>
      </c>
      <c r="B22" s="7" t="inlineStr">
        <is>
          <t>Gọi bằng token của tài khoản đã xóa dữ liệu</t>
        </is>
      </c>
      <c r="C22" s="8" t="inlineStr">
        <is>
          <t>User U có phiên mobile hợp lệ, sau đó users.erased_at được đặt</t>
        </is>
      </c>
      <c r="D22" s="8" t="inlineStr">
        <is>
          <t>1. GET /family/link-code với token của U</t>
        </is>
      </c>
      <c r="E22" s="8" t="inlineStr">
        <is>
          <t>Token đúng chữ ký, tài khoản đã xóa</t>
        </is>
      </c>
      <c r="F22" s="8" t="inlineStr">
        <is>
          <t>401; U không có dòng link_codes</t>
        </is>
      </c>
      <c r="G22" s="8" t="inlineStr">
        <is>
          <t>401; không có dòng</t>
        </is>
      </c>
      <c r="H22" s="7" t="inlineStr">
        <is>
          <t>Pass</t>
        </is>
      </c>
      <c r="I22" s="8" t="inlineStr">
        <is>
          <t>AC8 · EP (4) · Decision Table (R1) · test_unauthenticated_401_no_row__AC8[erased_account]</t>
        </is>
      </c>
    </row>
    <row r="23" ht="57.5" customHeight="1">
      <c r="A23" s="7" t="inlineStr">
        <is>
          <t>TC-LINKCODE-15</t>
        </is>
      </c>
      <c r="B23" s="7" t="inlineStr">
        <is>
          <t>Gọi bằng token của user không tồn tại</t>
        </is>
      </c>
      <c r="C23" s="8" t="inlineStr">
        <is>
          <t>Token đúng chữ ký với sub là UUID ngẫu nhiên không có trong users</t>
        </is>
      </c>
      <c r="D23" s="8" t="inlineStr">
        <is>
          <t>1. GET /family/link-code với token đó</t>
        </is>
      </c>
      <c r="E23" s="8" t="inlineStr">
        <is>
          <t>sub = uuid4() ngẫu nhiên</t>
        </is>
      </c>
      <c r="F23" s="8" t="inlineStr">
        <is>
          <t>401</t>
        </is>
      </c>
      <c r="G23" s="8" t="inlineStr">
        <is>
          <t>401</t>
        </is>
      </c>
      <c r="H23" s="7" t="inlineStr">
        <is>
          <t>Pass</t>
        </is>
      </c>
      <c r="I23" s="8" t="inlineStr">
        <is>
          <t>AC8 · EP (5) · test_unknown_user_token_401</t>
        </is>
      </c>
    </row>
    <row r="24" ht="74" customHeight="1">
      <c r="A24" s="7" t="inlineStr">
        <is>
          <t>TC-LINKCODE-16</t>
        </is>
      </c>
      <c r="B24" s="7" t="inlineStr">
        <is>
          <t>Tài khoản admin bị từ chối lấy mã</t>
        </is>
      </c>
      <c r="C24" s="8" t="inlineStr">
        <is>
          <t>Tài khoản admin có phiên admin_web</t>
        </is>
      </c>
      <c r="D24" s="8" t="inlineStr">
        <is>
          <t>1. GET /family/link-code với phiên admin
2. Đếm dòng link_codes trước và sau</t>
        </is>
      </c>
      <c r="E24" s="8" t="inlineStr">
        <is>
          <t>Phiên admin_web</t>
        </is>
      </c>
      <c r="F24" s="8" t="inlineStr">
        <is>
          <t>403 {"detail": "khong_co_quyen"}; không có dòng mới</t>
        </is>
      </c>
      <c r="G24" s="8" t="inlineStr">
        <is>
          <t>403 {"detail": "khong_co_quyen"}; không có dòng mới</t>
        </is>
      </c>
      <c r="H24" s="7" t="inlineStr">
        <is>
          <t>Pass</t>
        </is>
      </c>
      <c r="I24" s="8" t="inlineStr">
        <is>
          <t>AC9 · EP (6) · Decision Table (R2) · test_admin_403_khong_co_quyen_no_row__AC9, test_admin_forbidden_before_any_query__AC9</t>
        </is>
      </c>
    </row>
    <row r="25" ht="57.5" customHeight="1">
      <c r="A25" s="7" t="inlineStr">
        <is>
          <t>TC-LINKCODE-17</t>
        </is>
      </c>
      <c r="B25" s="7" t="inlineStr">
        <is>
          <t>Mã và qr_payload không xuất hiện trong log ứng dụng</t>
        </is>
      </c>
      <c r="C25" s="8" t="inlineStr">
        <is>
          <t>Logger drugtime ở mức DEBUG</t>
        </is>
      </c>
      <c r="D25" s="8" t="inlineStr">
        <is>
          <t>1. Gọi GET /family/link-code 2 lần (sinh mã, rồi lấy lại)
2. Tìm code và qr_payload trong log bắt được</t>
        </is>
      </c>
      <c r="E25" s="8" t="inlineStr">
        <is>
          <t>caplog</t>
        </is>
      </c>
      <c r="F25" s="8" t="inlineStr">
        <is>
          <t>Không dòng log nào chứa code hay qr_payload</t>
        </is>
      </c>
      <c r="G25" s="8" t="inlineStr">
        <is>
          <t>Không có</t>
        </is>
      </c>
      <c r="H25" s="7" t="inlineStr">
        <is>
          <t>Pass</t>
        </is>
      </c>
      <c r="I25" s="8" t="inlineStr">
        <is>
          <t>AC10 · Đoán lỗi (bí mật) · test_code_not_logged__AC10</t>
        </is>
      </c>
    </row>
    <row r="26" ht="57.5" customHeight="1">
      <c r="A26" s="7" t="inlineStr">
        <is>
          <t>TC-LINKCODE-18</t>
        </is>
      </c>
      <c r="B26" s="7" t="inlineStr">
        <is>
          <t>Bảng link_codes sau migration chỉ còn cột của mô hình mã cố định</t>
        </is>
      </c>
      <c r="C26" s="8" t="inlineStr">
        <is>
          <t>supabase db reset (10 migration)</t>
        </is>
      </c>
      <c r="D26" s="8" t="inlineStr">
        <is>
          <t>1. Đọc information_schema.columns và pg_indexes của link_codes</t>
        </is>
      </c>
      <c r="E26" s="8" t="inlineStr">
        <is>
          <t>-</t>
        </is>
      </c>
      <c r="F26" s="8" t="inlineStr">
        <is>
          <t>Cột: id, patient_user_id, code, created_at; index: link_codes_code_key, link_codes_patient_user_id_key, link_codes_pkey</t>
        </is>
      </c>
      <c r="G26" s="8" t="inlineStr">
        <is>
          <t>Đúng như mong đợi</t>
        </is>
      </c>
      <c r="H26" s="7" t="inlineStr">
        <is>
          <t>Pass</t>
        </is>
      </c>
      <c r="I26" s="8" t="inlineStr">
        <is>
          <t>AC11 · test_link_codes_columns_after_migration__AC11</t>
        </is>
      </c>
    </row>
    <row r="27" ht="41" customHeight="1">
      <c r="A27" s="7" t="inlineStr">
        <is>
          <t>TC-LINKCODE-19</t>
        </is>
      </c>
      <c r="B27" s="7" t="inlineStr">
        <is>
          <t>DB từ chối mã thứ hai cho cùng một user</t>
        </is>
      </c>
      <c r="C27" s="8" t="inlineStr">
        <is>
          <t>User U đã có một dòng link_codes</t>
        </is>
      </c>
      <c r="D27" s="8" t="inlineStr">
        <is>
          <t>1. INSERT dòng link_codes thứ hai cho U với mã khác</t>
        </is>
      </c>
      <c r="E27" s="8" t="inlineStr">
        <is>
          <t>Mã ngẫu nhiên hợp lệ</t>
        </is>
      </c>
      <c r="F27" s="8" t="inlineStr">
        <is>
          <t>Lỗi vi phạm link_codes_patient_user_id_key; U vẫn 1 dòng</t>
        </is>
      </c>
      <c r="G27" s="8" t="inlineStr">
        <is>
          <t>Lỗi link_codes_patient_user_id_key; vẫn 1 dòng</t>
        </is>
      </c>
      <c r="H27" s="7" t="inlineStr">
        <is>
          <t>Pass</t>
        </is>
      </c>
      <c r="I27" s="8" t="inlineStr">
        <is>
          <t>AC11 · test_second_code_for_same_user_rejected__AC11</t>
        </is>
      </c>
    </row>
    <row r="28" ht="41" customHeight="1">
      <c r="A28" s="7" t="inlineStr">
        <is>
          <t>TC-LINKCODE-20</t>
        </is>
      </c>
      <c r="B28" s="7" t="inlineStr">
        <is>
          <t>DB từ chối mã trùng của hai user khác nhau</t>
        </is>
      </c>
      <c r="C28" s="8" t="inlineStr">
        <is>
          <t>User U có mã C</t>
        </is>
      </c>
      <c r="D28" s="8" t="inlineStr">
        <is>
          <t>1. INSERT dòng link_codes cho user V với cùng mã C</t>
        </is>
      </c>
      <c r="E28" s="8" t="inlineStr">
        <is>
          <t>C của U</t>
        </is>
      </c>
      <c r="F28" s="8" t="inlineStr">
        <is>
          <t>Lỗi vi phạm link_codes_code_key; V không có dòng</t>
        </is>
      </c>
      <c r="G28" s="8" t="inlineStr">
        <is>
          <t>Lỗi link_codes_code_key; V không có dòng</t>
        </is>
      </c>
      <c r="H28" s="7" t="inlineStr">
        <is>
          <t>Pass</t>
        </is>
      </c>
      <c r="I28" s="8" t="inlineStr">
        <is>
          <t>AC11 · test_duplicate_code_rejected__AC11</t>
        </is>
      </c>
    </row>
    <row r="29" ht="123.5" customHeight="1">
      <c r="A29" s="7" t="inlineStr">
        <is>
          <t>TC-LINKCODE-21</t>
        </is>
      </c>
      <c r="B29" s="7" t="inlineStr">
        <is>
          <t>Migration dọn trùng giữ đúng dòng mới nhất và xóa mã sai định dạng</t>
        </is>
      </c>
      <c r="C29" s="8" t="inlineStr">
        <is>
          <t>DB reset về 20261011164026 (trước migration), schema cũ. A: 2 mã hợp lệ (cách nhau 1 ngày); B: 1 mã hợp lệ; C: chỉ có mã sai định dạng; D: mã hợp lệ (cũ hơn) + mã sai định dạng (mới hơn)</t>
        </is>
      </c>
      <c r="D29" s="8" t="inlineStr">
        <is>
          <t>1. supabase migration up --local
2. Đọc link_codes của A, B, C, D
3. supabase db reset lại đầy đủ</t>
        </is>
      </c>
      <c r="E29" s="8" t="inlineStr">
        <is>
          <t>A: AAAAAAAAA2 (cũ), AAAAAAAAA3 (mới); B: BBBBBBBBB2; C: LEGACYIO01; D: DDDDDDDDD2 (cũ), legacy-d0 (mới)</t>
        </is>
      </c>
      <c r="F29" s="8" t="inlineStr">
        <is>
          <t>A còn AAAAAAAAA3; B còn BBBBBBBBB2; C không còn dòng; D còn DDDDDDDDD2</t>
        </is>
      </c>
      <c r="G29" s="8" t="inlineStr">
        <is>
          <t>A: AAAAAAAAA3; B: BBBBBBBBB2; C: không có dòng; D: DDDDDDDDD2</t>
        </is>
      </c>
      <c r="H29" s="7" t="inlineStr">
        <is>
          <t>Pass</t>
        </is>
      </c>
      <c r="I29" s="8" t="inlineStr">
        <is>
          <t>AC12 · Review F1 · Chuyển trạng thái (schema cũ → mới) · scratch/verify_link_codes_dedupe.py</t>
        </is>
      </c>
    </row>
    <row r="30" ht="57.5" customHeight="1">
      <c r="A30" s="7" t="inlineStr">
        <is>
          <t>TC-LINKCODE-22</t>
        </is>
      </c>
      <c r="B30" s="7" t="inlineStr">
        <is>
          <t>api_role chỉ đọc và tạo được mã</t>
        </is>
      </c>
      <c r="C30" s="8" t="inlineStr">
        <is>
          <t>Kết nối bằng api_role; mỗi thao tác trong transaction riêng rồi rollback</t>
        </is>
      </c>
      <c r="D30" s="8" t="inlineStr">
        <is>
          <t>1. SELECT, INSERT, UPDATE, DELETE trên link_codes bằng api_role</t>
        </is>
      </c>
      <c r="E30" s="8" t="inlineStr">
        <is>
          <t>-</t>
        </is>
      </c>
      <c r="F30" s="8" t="inlineStr">
        <is>
          <t>SELECT, INSERT thành công; UPDATE, DELETE bị từ chối (permission denied)</t>
        </is>
      </c>
      <c r="G30" s="8" t="inlineStr">
        <is>
          <t>Đúng như mong đợi</t>
        </is>
      </c>
      <c r="H30" s="7" t="inlineStr">
        <is>
          <t>Pass</t>
        </is>
      </c>
      <c r="I30" s="8" t="inlineStr">
        <is>
          <t>AC13 · test_role_grants_on_link_codes__AC13[api_role-*]</t>
        </is>
      </c>
    </row>
    <row r="31" ht="57.5" customHeight="1">
      <c r="A31" s="7" t="inlineStr">
        <is>
          <t>TC-LINKCODE-23</t>
        </is>
      </c>
      <c r="B31" s="7" t="inlineStr">
        <is>
          <t>worker_role chỉ đọc và xóa được mã</t>
        </is>
      </c>
      <c r="C31" s="8" t="inlineStr">
        <is>
          <t>Kết nối bằng worker_role; mỗi thao tác trong transaction riêng rồi rollback</t>
        </is>
      </c>
      <c r="D31" s="8" t="inlineStr">
        <is>
          <t>1. SELECT, INSERT, UPDATE, DELETE trên link_codes bằng worker_role</t>
        </is>
      </c>
      <c r="E31" s="8" t="inlineStr">
        <is>
          <t>-</t>
        </is>
      </c>
      <c r="F31" s="8" t="inlineStr">
        <is>
          <t>SELECT, DELETE thành công; INSERT, UPDATE bị từ chối (permission denied)</t>
        </is>
      </c>
      <c r="G31" s="8" t="inlineStr">
        <is>
          <t>Đúng như mong đợi</t>
        </is>
      </c>
      <c r="H31" s="7" t="inlineStr">
        <is>
          <t>Pass</t>
        </is>
      </c>
      <c r="I31" s="8" t="inlineStr">
        <is>
          <t>AC13 · test_role_grants_on_link_codes__AC13[worker_role-*]</t>
        </is>
      </c>
    </row>
    <row r="32" ht="74" customHeight="1">
      <c r="A32" s="7" t="inlineStr">
        <is>
          <t>TC-LINKCODE-24</t>
        </is>
      </c>
      <c r="B32" s="7" t="inlineStr">
        <is>
          <t>Xóa dữ liệu user xóa đúng mã của user đó</t>
        </is>
      </c>
      <c r="C32" s="8" t="inlineStr">
        <is>
          <t>User U và V đều có mã</t>
        </is>
      </c>
      <c r="D32" s="8" t="inlineStr">
        <is>
          <t>1. Chạy family.eraser.erase_user(U) bằng kết nối worker_role
2. Đọc link_codes của U và V</t>
        </is>
      </c>
      <c r="E32" s="8" t="inlineStr">
        <is>
          <t>-</t>
        </is>
      </c>
      <c r="F32" s="8" t="inlineStr">
        <is>
          <t>Không lỗi; U không còn mã; mã của V còn nguyên</t>
        </is>
      </c>
      <c r="G32" s="8" t="inlineStr">
        <is>
          <t>Không lỗi; U hết mã; V còn mã</t>
        </is>
      </c>
      <c r="H32" s="7" t="inlineStr">
        <is>
          <t>Pass</t>
        </is>
      </c>
      <c r="I32" s="8" t="inlineStr">
        <is>
          <t>AC14 · test_family_eraser_deletes_only_that_users_code__AC14, test_sql_erase_deletes_link_code_without_family_column__AC14</t>
        </is>
      </c>
    </row>
    <row r="33" ht="57.5" customHeight="1">
      <c r="A33" s="7" t="inlineStr">
        <is>
          <t>TC-LINKCODE-25</t>
        </is>
      </c>
      <c r="B33" s="7" t="inlineStr">
        <is>
          <t>OpenAPI của app khớp hợp đồng api_contract</t>
        </is>
      </c>
      <c r="C33" s="8" t="inlineStr">
        <is>
          <t>api_contract/openapi.json có GET /family/link-code</t>
        </is>
      </c>
      <c r="D33" s="8" t="inlineStr">
        <is>
          <t>1. So operationId, tập response code, hình dạng và ràng buộc response 200 giữa app và contract</t>
        </is>
      </c>
      <c r="E33" s="8" t="inlineStr">
        <is>
          <t>-</t>
        </is>
      </c>
      <c r="F33" s="8" t="inlineStr">
        <is>
          <t>operationId getMyLinkCode; response ⊆; code/qr_payload cùng pattern, minLength, maxLength; additionalProperties false</t>
        </is>
      </c>
      <c r="G33" s="8" t="inlineStr">
        <is>
          <t>Khớp</t>
        </is>
      </c>
      <c r="H33" s="7" t="inlineStr">
        <is>
          <t>Pass</t>
        </is>
      </c>
      <c r="I33" s="8" t="inlineStr">
        <is>
          <t>AC15 · test_operation_matches_contract__AC15, test_link_code_constraints_match_contract__AC15</t>
        </is>
      </c>
    </row>
    <row r="34" ht="41" customHeight="1">
      <c r="A34" s="7" t="inlineStr">
        <is>
          <t>TC-LINKCODE-BVA-01</t>
        </is>
      </c>
      <c r="B34" s="7" t="inlineStr">
        <is>
          <t>Contract từ chối mã 9 ký tự</t>
        </is>
      </c>
      <c r="C34" s="8" t="inlineStr">
        <is>
          <t>Schema LinkCode trong api_contract/openapi.json</t>
        </is>
      </c>
      <c r="D34" s="8" t="inlineStr">
        <is>
          <t>1. Validate body có code 9 ký tự với schema LinkCode</t>
        </is>
      </c>
      <c r="E34" s="8" t="inlineStr">
        <is>
          <t>code = ABCDEFGHJ</t>
        </is>
      </c>
      <c r="F34" s="8" t="inlineStr">
        <is>
          <t>Bị từ chối</t>
        </is>
      </c>
      <c r="G34" s="8" t="inlineStr">
        <is>
          <t>Bị từ chối</t>
        </is>
      </c>
      <c r="H34" s="7" t="inlineStr">
        <is>
          <t>Pass</t>
        </is>
      </c>
      <c r="I34" s="8" t="inlineStr">
        <is>
          <t>AC4 · BVA (min-1) · EP (4) · scratch/check_link_code.py</t>
        </is>
      </c>
    </row>
    <row r="35" ht="41" customHeight="1">
      <c r="A35" s="7" t="inlineStr">
        <is>
          <t>TC-LINKCODE-BVA-02</t>
        </is>
      </c>
      <c r="B35" s="7" t="inlineStr">
        <is>
          <t>Contract nhận mã đúng 10 ký tự</t>
        </is>
      </c>
      <c r="C35" s="8" t="inlineStr">
        <is>
          <t>Schema LinkCode</t>
        </is>
      </c>
      <c r="D35" s="8" t="inlineStr">
        <is>
          <t>1. Validate body có code 10 ký tự hợp lệ</t>
        </is>
      </c>
      <c r="E35" s="8" t="inlineStr">
        <is>
          <t>code = ABCDEFGHJK</t>
        </is>
      </c>
      <c r="F35" s="8" t="inlineStr">
        <is>
          <t>Hợp lệ</t>
        </is>
      </c>
      <c r="G35" s="8" t="inlineStr">
        <is>
          <t>Hợp lệ</t>
        </is>
      </c>
      <c r="H35" s="7" t="inlineStr">
        <is>
          <t>Pass</t>
        </is>
      </c>
      <c r="I35" s="8" t="inlineStr">
        <is>
          <t>AC4 · BVA (min = max) · EP (1) · scratch/check_link_code.py</t>
        </is>
      </c>
    </row>
    <row r="36" ht="41" customHeight="1">
      <c r="A36" s="7" t="inlineStr">
        <is>
          <t>TC-LINKCODE-BVA-03</t>
        </is>
      </c>
      <c r="B36" s="7" t="inlineStr">
        <is>
          <t>Contract từ chối mã 11 ký tự</t>
        </is>
      </c>
      <c r="C36" s="8" t="inlineStr">
        <is>
          <t>Schema LinkCode</t>
        </is>
      </c>
      <c r="D36" s="8" t="inlineStr">
        <is>
          <t>1. Validate body có code 11 ký tự</t>
        </is>
      </c>
      <c r="E36" s="8" t="inlineStr">
        <is>
          <t>code = ABCDEFGHJKM</t>
        </is>
      </c>
      <c r="F36" s="8" t="inlineStr">
        <is>
          <t>Bị từ chối</t>
        </is>
      </c>
      <c r="G36" s="8" t="inlineStr">
        <is>
          <t>Bị từ chối</t>
        </is>
      </c>
      <c r="H36" s="7" t="inlineStr">
        <is>
          <t>Pass</t>
        </is>
      </c>
      <c r="I36" s="8" t="inlineStr">
        <is>
          <t>AC4 · BVA (max+1) · EP (4) · scratch/check_link_code.py</t>
        </is>
      </c>
    </row>
    <row r="37" ht="57.5" customHeight="1">
      <c r="A37" s="7" t="inlineStr">
        <is>
          <t>TC-LINKCODE-26</t>
        </is>
      </c>
      <c r="B37" s="7" t="inlineStr">
        <is>
          <t>Contract từ chối mã có ký tự dễ nhầm hoặc chữ thường</t>
        </is>
      </c>
      <c r="C37" s="8" t="inlineStr">
        <is>
          <t>Schema LinkCode</t>
        </is>
      </c>
      <c r="D37" s="8" t="inlineStr">
        <is>
          <t>1. Validate lần lượt mã chứa O, I, L, 0, 1 và mã chữ thường</t>
        </is>
      </c>
      <c r="E37" s="8" t="inlineStr">
        <is>
          <t>ABCDEFGHJO, ABCDEFGHJI, ABCDEFGHJL, ABCDEFGHJ0, ABCDEFGHJ1, abcdefghjk</t>
        </is>
      </c>
      <c r="F37" s="8" t="inlineStr">
        <is>
          <t>Cả 6 bị từ chối</t>
        </is>
      </c>
      <c r="G37" s="8" t="inlineStr">
        <is>
          <t>Cả 6 bị từ chối</t>
        </is>
      </c>
      <c r="H37" s="7" t="inlineStr">
        <is>
          <t>Pass</t>
        </is>
      </c>
      <c r="I37" s="8" t="inlineStr">
        <is>
          <t>AC4 · EP (2,3) · scratch/check_link_code.py</t>
        </is>
      </c>
    </row>
    <row r="38" ht="90.5" customHeight="1">
      <c r="A38" s="7" t="inlineStr">
        <is>
          <t>TC-LINKCODE-27</t>
        </is>
      </c>
      <c r="B38" s="7" t="inlineStr">
        <is>
          <t>Backlog và tài liệu schema khớp QD-04, giữ nguyên biểu đồ</t>
        </is>
      </c>
      <c r="C38" s="8" t="inlineStr">
        <is>
          <t>docs trên nhánh feat/3.10-qr-referral-code-generation-api</t>
        </is>
      </c>
      <c r="D38" s="8" t="inlineStr">
        <is>
          <t>1. Chạy scratch/update_backlog_xlsx.py (kiểm so với bản gốc)
2. Mở backlog bằng Excel (chỉ đọc)
3. grep block link_codes trong drugtime_schema_v11.sql</t>
        </is>
      </c>
      <c r="E38" s="8" t="inlineStr">
        <is>
          <t>Product-and-Sprint-backlog-DrugTime.xlsx, drugtime_schema_v11.sql</t>
        </is>
      </c>
      <c r="F38" s="8" t="inlineStr">
        <is>
          <t>PB15, PB19, mô tả 3.12, 3.13 là chuỗi mới; không còn 24h, /links/generate, /links/redeem; 107 phần, 12 chart; Excel mở không báo sửa file; schema không còn expires_at, is_used, family_user_id</t>
        </is>
      </c>
      <c r="G38" s="8" t="inlineStr">
        <is>
          <t>ALL OK; Excel mở được, 18 sheet, 12 chart; schema đúng</t>
        </is>
      </c>
      <c r="H38" s="7" t="inlineStr">
        <is>
          <t>Pass</t>
        </is>
      </c>
      <c r="I38" s="8" t="inlineStr">
        <is>
          <t>AC17 · manual + script</t>
        </is>
      </c>
    </row>
    <row r="39" ht="107" customHeight="1">
      <c r="A39" s="7" t="inlineStr">
        <is>
          <t>TC-LINKCODE-28</t>
        </is>
      </c>
      <c r="B39" s="7" t="inlineStr">
        <is>
          <t>Toàn bộ unit test, architecture test và ruff toàn repo pass</t>
        </is>
      </c>
      <c r="C39" s="8" t="inlineStr">
        <is>
          <t>backend trên nhánh task; venv backend/.venv</t>
        </is>
      </c>
      <c r="D39" s="8" t="inlineStr">
        <is>
          <t>1. pytest tests/unit tests/architecture -q
2. ruff check .
3. So với baseline trước khi sửa code</t>
        </is>
      </c>
      <c r="E39" s="8" t="inlineStr">
        <is>
          <t>-</t>
        </is>
      </c>
      <c r="F39" s="8" t="inlineStr">
        <is>
          <t>pytest và ruff đều pass</t>
        </is>
      </c>
      <c r="G39" s="8" t="inlineStr">
        <is>
          <t>697 pass, 1 fail (tests/unit/test_app.py::test_doses_batch_openapi_uses_contract_shape: NameError paths); ruff toàn repo 21 lỗi ở module khác. Fail và lỗi ruff đã có trước khi task sửa code; file của task pass ruff</t>
        </is>
      </c>
      <c r="H39" s="7" t="inlineStr">
        <is>
          <t>Fail</t>
        </is>
      </c>
      <c r="I39" s="8" t="inlineStr">
        <is>
          <t>AC16 · implement-baseline-unit.log, implement-final-backend.log, implement-ruff.log</t>
        </is>
      </c>
    </row>
    <row r="40" ht="74" customHeight="1">
      <c r="A40" s="7" t="inlineStr">
        <is>
          <t>TC-LINKCODE-29</t>
        </is>
      </c>
      <c r="B40" s="7" t="inlineStr">
        <is>
          <t>DB từ chối lưu mã sai định dạng</t>
        </is>
      </c>
      <c r="C40" s="8" t="inlineStr">
        <is>
          <t>supabase db reset (migration có link_codes_code_format_check); user U chưa có mã</t>
        </is>
      </c>
      <c r="D40" s="8" t="inlineStr">
        <is>
          <t>1. INSERT link_codes cho U với từng mã sai định dạng
2. Đọc link_codes của U</t>
        </is>
      </c>
      <c r="E40" s="8" t="inlineStr">
        <is>
          <t>LEGACYIO01 (ký tự dễ nhầm) | abcdefghjk (chữ thường) | ABCDEFGHJ (9 ký tự) | ABCDEFGHJKM (11 ký tự)</t>
        </is>
      </c>
      <c r="F40" s="8" t="inlineStr">
        <is>
          <t>Cả 4 lần bị từ chối với lỗi vi phạm link_codes_code_format_check; U không có dòng nào</t>
        </is>
      </c>
      <c r="G40" s="8" t="inlineStr">
        <is>
          <t>Cả 4 bị từ chối bởi link_codes_code_format_check; U không có dòng</t>
        </is>
      </c>
      <c r="H40" s="7" t="inlineStr">
        <is>
          <t>Pass</t>
        </is>
      </c>
      <c r="I40" s="8" t="inlineStr">
        <is>
          <t>AC11 · Review F1 · EP (2,3,4) · BVA (min-1, max+1) · test_code_format_check_rejects_invalid_code__AC11</t>
        </is>
      </c>
    </row>
    <row r="41" ht="90.5" customHeight="1">
      <c r="A41" s="7" t="inlineStr">
        <is>
          <t>TC-LINKCODE-30</t>
        </is>
      </c>
      <c r="B41" s="7" t="inlineStr">
        <is>
          <t>User không bị kẹt khi có mã kiểu cũ sai định dạng</t>
        </is>
      </c>
      <c r="C41" s="8" t="inlineStr">
        <is>
          <t>DB theo migration mới; thử chèn mã kiểu cũ LEGACYIO01 cho user U (trước bản sửa: chèn được và API trả 500 vĩnh viễn)</t>
        </is>
      </c>
      <c r="D41" s="8" t="inlineStr">
        <is>
          <t>1. INSERT link_codes(U, 'LEGACYIO01')
2. GET /family/link-code của U hai lần</t>
        </is>
      </c>
      <c r="E41" s="8" t="inlineStr">
        <is>
          <t>LEGACYIO01</t>
        </is>
      </c>
      <c r="F41" s="8" t="inlineStr">
        <is>
          <t>INSERT bị từ chối (link_codes_code_format_check); hai lần gọi đều 200 với cùng một mã mới hợp lệ</t>
        </is>
      </c>
      <c r="G41" s="8" t="inlineStr">
        <is>
          <t>INSERT bị từ chối; 200 cả hai lần, cùng mã 6QQDTXZBHK</t>
        </is>
      </c>
      <c r="H41" s="7" t="inlineStr">
        <is>
          <t>Pass</t>
        </is>
      </c>
      <c r="I41" s="8" t="inlineStr">
        <is>
          <t>AC1 · AC2 · Review F1 · Đoán lỗi (dữ liệu cũ) · scratch/probe_legacy_code.py (trước sửa: evidence/review-probe-legacy-code.log, 500 × 2)</t>
        </is>
      </c>
    </row>
    <row r="42"/>
    <row r="43"/>
    <row r="44">
      <c r="G44" s="12" t="inlineStr">
        <is>
          <t>Pass</t>
        </is>
      </c>
      <c r="H44" s="13">
        <f>COUNTIF(H9:H41,"Pass")</f>
        <v/>
      </c>
    </row>
    <row r="45">
      <c r="G45" s="12" t="inlineStr">
        <is>
          <t>Fail</t>
        </is>
      </c>
      <c r="H45" s="13">
        <f>COUNTIF(H9:H41,"Fail")</f>
        <v/>
      </c>
    </row>
    <row r="46">
      <c r="G46" s="12" t="inlineStr">
        <is>
          <t>Pending</t>
        </is>
      </c>
      <c r="H46" s="13">
        <f>COUNTIF(H9:H41,"Pending")</f>
        <v/>
      </c>
    </row>
    <row r="47">
      <c r="G47" s="12" t="inlineStr">
        <is>
          <t>Total</t>
        </is>
      </c>
      <c r="H47" s="13">
        <f>SUM(H44:H46)</f>
        <v/>
      </c>
    </row>
  </sheetData>
  <autoFilter ref="A8:I41"/>
  <conditionalFormatting sqref="H9:H41">
    <cfRule type="cellIs" priority="1" operator="equal" dxfId="0">
      <formula>"Fail"</formula>
    </cfRule>
  </conditionalFormatting>
  <dataValidations count="1">
    <dataValidation sqref="H9:H41" showDropDown="0" showInputMessage="0" showErrorMessage="0" allowBlank="0" type="list">
      <formula1>"Pass,Fail,Pending"</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U43"/>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Tìm và chọn thuốc khi nhập thuốc (MEDPICK)</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7">
      <c r="K7" s="4" t="inlineStr">
        <is>
          <t>Equivalence Partitioning</t>
        </is>
      </c>
      <c r="Q7" s="4" t="inlineStr">
        <is>
          <t>Kết quả tìm kiếm hiện hành</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90.5" customHeight="1">
      <c r="A9" s="7" t="inlineStr">
        <is>
          <t>TC-MEDPICK-01</t>
        </is>
      </c>
      <c r="B9" s="7" t="inlineStr">
        <is>
          <t>Mở sheet chọn thuốc từ form thêm</t>
        </is>
      </c>
      <c r="C9" s="8" t="inlineStr">
        <is>
          <t>Đăng nhập Mobile; mở Danh sách thuốc → Thêm thuốc → trường Thuốc. Dữ liệu/hạ tầng theo Test Data; test tự động dùng fixture riêng.</t>
        </is>
      </c>
      <c r="D9" s="8" t="inlineStr">
        <is>
          <t>1. Chạm trường Thuốc.
2. Nhập amlo; chọn Amlodipin 5mg.
3. Quan sát form và số lần gọi add.</t>
        </is>
      </c>
      <c r="E9" s="8" t="inlineStr">
        <is>
          <t>Thuốc: chưa chọn</t>
        </is>
      </c>
      <c r="F9" s="8" t="inlineStr">
        <is>
          <t>Sheet mở; thuốc trở về form, không mở tra cứu/chi tiết và chưa tự lưu.</t>
        </is>
      </c>
      <c r="G9" s="8" t="inlineStr">
        <is>
          <t>Đạt các assertion trong test 3.05: hủy/chọn lại giữ dữ liệu sử dụng, chưa tự lưu và đúng catalog id; toàn bộ 354 test pass tại evidence/test-flutter.log (2026-10-13).</t>
        </is>
      </c>
      <c r="H9" s="7" t="inlineStr">
        <is>
          <t>Pass</t>
        </is>
      </c>
      <c r="I9" s="8" t="inlineStr">
        <is>
          <t>AC1, AC5 · Chuyển trạng thái form → sheet → form · 3.05: hủy/chọn lại giữ dữ liệu sử dụng, chưa tự lưu và đúng catalog id · evidence/test-flutter.log</t>
        </is>
      </c>
      <c r="K9" s="9" t="inlineStr">
        <is>
          <t>q</t>
        </is>
      </c>
      <c r="L9" s="10" t="inlineStr">
        <is>
          <t>1–100 Unicode code point sau trim</t>
        </is>
      </c>
      <c r="M9" s="10" t="inlineStr">
        <is>
          <t>1</t>
        </is>
      </c>
      <c r="N9" s="10" t="inlineStr">
        <is>
          <t>(blank) hoặc toàn khoảng trắng
Trên 100 Unicode code point</t>
        </is>
      </c>
      <c r="O9" s="10" t="inlineStr">
        <is>
          <t>3
4</t>
        </is>
      </c>
      <c r="Q9" s="10" t="inlineStr">
        <is>
          <t>Kết quả</t>
        </is>
      </c>
      <c r="R9" s="11" t="inlineStr">
        <is>
          <t>Có item</t>
        </is>
      </c>
      <c r="S9" s="11" t="inlineStr">
        <is>
          <t>Items rỗng</t>
        </is>
      </c>
      <c r="T9" s="11" t="inlineStr">
        <is>
          <t>Lỗi mạng/validation/server</t>
        </is>
      </c>
      <c r="U9" s="11" t="inlineStr">
        <is>
          <t>401</t>
        </is>
      </c>
    </row>
    <row r="10" ht="90.5" customHeight="1">
      <c r="A10" s="7" t="inlineStr">
        <is>
          <t>TC-MEDPICK-02</t>
        </is>
      </c>
      <c r="B10" s="7" t="inlineStr">
        <is>
          <t>Giữ hướng dẫn khi từ khóa rỗng</t>
        </is>
      </c>
      <c r="C10" s="8" t="inlineStr">
        <is>
          <t>Đăng nhập Mobile; mở Danh sách thuốc → Thêm thuốc → trường Thuốc. Dữ liệu/hạ tầng theo Test Data; test tự động dùng fixture riêng.</t>
        </is>
      </c>
      <c r="D10" s="8" t="inlineStr">
        <is>
          <t>1. Mở sheet; không nhập.
2. Chờ trên 300ms.</t>
        </is>
      </c>
      <c r="E10" s="8" t="inlineStr">
        <is>
          <t>(blank), độ dài 0</t>
        </is>
      </c>
      <c r="F10" s="8" t="inlineStr">
        <is>
          <t>Hiện Nhập tên thuốc hoặc hoạt chất; không gọi tìm kiếm.</t>
        </is>
      </c>
      <c r="G10" s="8" t="inlineStr">
        <is>
          <t>Đạt các assertion trong test sheet danh mục: chưa gõ thì gợi ý, không tìm; toàn bộ 354 test pass tại evidence/test-flutter.log (2026-10-13).</t>
        </is>
      </c>
      <c r="H10" s="7" t="inlineStr">
        <is>
          <t>Pass</t>
        </is>
      </c>
      <c r="I10" s="8" t="inlineStr">
        <is>
          <t>AC2 · EP (3); BVA (min-1=0) · sheet danh mục: chưa gõ thì gợi ý, không tìm · evidence/test-flutter.log</t>
        </is>
      </c>
      <c r="K10" s="9" t="inlineStr">
        <is>
          <t>item</t>
        </is>
      </c>
      <c r="L10" s="10" t="inlineStr">
        <is>
          <t>Có trường nullable, giữ đúng id</t>
        </is>
      </c>
      <c r="M10" s="10" t="inlineStr">
        <is>
          <t>2</t>
        </is>
      </c>
      <c r="N10" s="10" t="inlineStr"/>
      <c r="O10" s="10" t="inlineStr"/>
      <c r="Q10" s="6" t="inlineStr">
        <is>
          <t>Action</t>
        </is>
      </c>
      <c r="R10" s="5" t="inlineStr">
        <is>
          <t>R1</t>
        </is>
      </c>
      <c r="S10" s="5" t="inlineStr">
        <is>
          <t>R2</t>
        </is>
      </c>
      <c r="T10" s="5" t="inlineStr">
        <is>
          <t>R3</t>
        </is>
      </c>
      <c r="U10" s="5" t="inlineStr">
        <is>
          <t>R4</t>
        </is>
      </c>
    </row>
    <row r="11" ht="90.5" customHeight="1">
      <c r="A11" s="7" t="inlineStr">
        <is>
          <t>TC-MEDPICK-03</t>
        </is>
      </c>
      <c r="B11" s="7" t="inlineStr">
        <is>
          <t>Bỏ qua từ khóa toàn khoảng trắng</t>
        </is>
      </c>
      <c r="C11" s="8" t="inlineStr">
        <is>
          <t>Đăng nhập Mobile; mở Danh sách thuốc → Thêm thuốc → trường Thuốc. Dữ liệu/hạ tầng theo Test Data; test tự động dùng fixture riêng.</t>
        </is>
      </c>
      <c r="D11" s="8" t="inlineStr">
        <is>
          <t>1. Nhập ba dấu cách.
2. Chờ 400ms; kiểm tra số request.</t>
        </is>
      </c>
      <c r="E11" s="8" t="inlineStr">
        <is>
          <t>q="   "</t>
        </is>
      </c>
      <c r="F11" s="8" t="inlineStr">
        <is>
          <t>Không gọi API; không giữ kết quả cũ.</t>
        </is>
      </c>
      <c r="G11" s="8" t="inlineStr">
        <is>
          <t>Đạt các assertion trong test empty whitespace, debounce 299/300ms and trimmed final query; toàn bộ 354 test pass tại evidence/test-flutter.log (2026-10-13).</t>
        </is>
      </c>
      <c r="H11" s="7" t="inlineStr">
        <is>
          <t>Pass</t>
        </is>
      </c>
      <c r="I11" s="8" t="inlineStr">
        <is>
          <t>AC2 · EP (3) · empty whitespace, debounce 299/300ms and trimmed final query · evidence/test-flutter.log</t>
        </is>
      </c>
      <c r="K11" s="9" t="inlineStr">
        <is>
          <t>response</t>
        </is>
      </c>
      <c r="L11" s="10" t="inlineStr"/>
      <c r="M11" s="10" t="inlineStr"/>
      <c r="N11" s="10" t="inlineStr">
        <is>
          <t>Lỗi mạng/HTTP, không được coi là thành công</t>
        </is>
      </c>
      <c r="O11" s="10" t="inlineStr">
        <is>
          <t>5</t>
        </is>
      </c>
      <c r="Q11" s="10" t="inlineStr">
        <is>
          <t>Hiện kết quả và cho chọn</t>
        </is>
      </c>
      <c r="R11" s="11" t="inlineStr">
        <is>
          <t>X</t>
        </is>
      </c>
      <c r="S11" s="11" t="inlineStr"/>
      <c r="T11" s="11" t="inlineStr"/>
      <c r="U11" s="11" t="inlineStr"/>
    </row>
    <row r="12" ht="90.5" customHeight="1">
      <c r="A12" s="7" t="inlineStr">
        <is>
          <t>TC-MEDPICK-04</t>
        </is>
      </c>
      <c r="B12" s="7" t="inlineStr">
        <is>
          <t>Trim từ khóa một ký tự và chờ debounce</t>
        </is>
      </c>
      <c r="C12" s="8" t="inlineStr">
        <is>
          <t>Đăng nhập Mobile; mở Danh sách thuốc → Thêm thuốc → trường Thuốc. Dữ liệu/hạ tầng theo Test Data; test tự động dùng fixture riêng.</t>
        </is>
      </c>
      <c r="D12" s="8" t="inlineStr">
        <is>
          <t>1. Nhập A có khoảng trắng hai đầu.
2. Chờ 299ms rồi đổi sang B có khoảng trắng.
3. Chờ 299ms rồi thêm 1ms.</t>
        </is>
      </c>
      <c r="E12" s="8" t="inlineStr">
        <is>
          <t>q=" A ", sau đó " B "; 299ms + 1ms</t>
        </is>
      </c>
      <c r="F12" s="8" t="inlineStr">
        <is>
          <t>Không gọi trước 300ms; chỉ gửi B đã trim.</t>
        </is>
      </c>
      <c r="G12" s="8" t="inlineStr">
        <is>
          <t>Đạt các assertion trong test empty whitespace, debounce 299/300ms and trimmed final query; toàn bộ 354 test pass tại evidence/test-flutter.log (2026-10-13).</t>
        </is>
      </c>
      <c r="H12" s="7" t="inlineStr">
        <is>
          <t>Pass</t>
        </is>
      </c>
      <c r="I12" s="8" t="inlineStr">
        <is>
          <t>AC3 · EP (1); BVA (min=1) · empty whitespace, debounce 299/300ms and trimmed final query · evidence/test-flutter.log</t>
        </is>
      </c>
      <c r="Q12" s="10" t="inlineStr">
        <is>
          <t>Hiện không tìm thấy</t>
        </is>
      </c>
      <c r="R12" s="11" t="inlineStr"/>
      <c r="S12" s="11" t="inlineStr">
        <is>
          <t>X</t>
        </is>
      </c>
      <c r="T12" s="11" t="inlineStr"/>
      <c r="U12" s="11" t="inlineStr"/>
    </row>
    <row r="13" ht="90.5" customHeight="1">
      <c r="A13" s="7" t="inlineStr">
        <is>
          <t>TC-MEDPICK-05</t>
        </is>
      </c>
      <c r="B13" s="7" t="inlineStr">
        <is>
          <t>Giữ thứ tự kết quả server</t>
        </is>
      </c>
      <c r="C13" s="8" t="inlineStr">
        <is>
          <t>Đăng nhập Mobile; mở Danh sách thuốc → Thêm thuốc → trường Thuốc. Dữ liệu/hạ tầng theo Test Data; test tự động dùng fixture riêng.</t>
        </is>
      </c>
      <c r="D13" s="8" t="inlineStr">
        <is>
          <t>1. Tìm B.
2. Server trả second trước first.
3. Quan sát thứ tự trên sheet.</t>
        </is>
      </c>
      <c r="E13" s="8" t="inlineStr">
        <is>
          <t>items: second, first</t>
        </is>
      </c>
      <c r="F13" s="8" t="inlineStr">
        <is>
          <t>second nằm trước first; client không tự sắp xếp.</t>
        </is>
      </c>
      <c r="G13" s="8" t="inlineStr">
        <is>
          <t>Đạt các assertion trong test empty whitespace, debounce 299/300ms and trimmed final query; toàn bộ 354 test pass tại evidence/test-flutter.log (2026-10-13).</t>
        </is>
      </c>
      <c r="H13" s="7" t="inlineStr">
        <is>
          <t>Pass</t>
        </is>
      </c>
      <c r="I13" s="8" t="inlineStr">
        <is>
          <t>AC3 · EP (1) · empty whitespace, debounce 299/300ms and trimmed final query · evidence/test-flutter.log</t>
        </is>
      </c>
      <c r="Q13" s="10" t="inlineStr">
        <is>
          <t>Hiện lỗi, cho retry</t>
        </is>
      </c>
      <c r="R13" s="11" t="inlineStr"/>
      <c r="S13" s="11" t="inlineStr"/>
      <c r="T13" s="11" t="inlineStr">
        <is>
          <t>X</t>
        </is>
      </c>
      <c r="U13" s="11" t="inlineStr"/>
    </row>
    <row r="14" ht="90.5" customHeight="1">
      <c r="A14" s="7" t="inlineStr">
        <is>
          <t>TC-MEDPICK-06</t>
        </is>
      </c>
      <c r="B14" s="7" t="inlineStr">
        <is>
          <t>Xóa từ khóa và bỏ response còn chờ</t>
        </is>
      </c>
      <c r="C14" s="8" t="inlineStr">
        <is>
          <t>Đăng nhập Mobile; mở Danh sách thuốc → Thêm thuốc → trường Thuốc. Dữ liệu/hạ tầng theo Test Data; test tự động dùng fixture riêng.</t>
        </is>
      </c>
      <c r="D14" s="8" t="inlineStr">
        <is>
          <t>1. Tìm A.
2. Xóa từ khóa trước khi response về.
3. Cho response A về.</t>
        </is>
      </c>
      <c r="E14" s="8" t="inlineStr">
        <is>
          <t>q=A → (blank); response A về sau</t>
        </is>
      </c>
      <c r="F14" s="8" t="inlineStr">
        <is>
          <t>Kết quả A không xuất hiện; trở về hướng dẫn.</t>
        </is>
      </c>
      <c r="G14" s="8" t="inlineStr">
        <is>
          <t>Đạt các assertion trong test clear invalidates request and dispose cancels timer or ignores response; toàn bộ 354 test pass tại evidence/test-flutter.log (2026-10-13).</t>
        </is>
      </c>
      <c r="H14" s="7" t="inlineStr">
        <is>
          <t>Pass</t>
        </is>
      </c>
      <c r="I14" s="8" t="inlineStr">
        <is>
          <t>AC2, AC9 · Chuyển trạng thái loading → initial · clear invalidates request and dispose cancels timer or ignores response · evidence/test-flutter.log</t>
        </is>
      </c>
      <c r="Q14" s="10" t="inlineStr">
        <is>
          <t>Xử lý phiên chung, không retry tìm</t>
        </is>
      </c>
      <c r="R14" s="11" t="inlineStr"/>
      <c r="S14" s="11" t="inlineStr"/>
      <c r="T14" s="11" t="inlineStr"/>
      <c r="U14" s="11" t="inlineStr">
        <is>
          <t>X</t>
        </is>
      </c>
    </row>
    <row r="15" ht="90.5" customHeight="1">
      <c r="A15" s="7" t="inlineStr">
        <is>
          <t>TC-MEDPICK-07</t>
        </is>
      </c>
      <c r="B15" s="7" t="inlineStr">
        <is>
          <t>Chỉ nhận response mới nhất trong A → B → A</t>
        </is>
      </c>
      <c r="C15" s="8" t="inlineStr">
        <is>
          <t>Đăng nhập Mobile; mở Danh sách thuốc → Thêm thuốc → trường Thuốc. Dữ liệu/hạ tầng theo Test Data; test tự động dùng fixture riêng.</t>
        </is>
      </c>
      <c r="D15" s="8" t="inlineStr">
        <is>
          <t>1. Tìm A, B, A theo thứ tự.
2. Trả latest cho A2 rồi stale cho A1 và lỗi mạng cho B.
3. Quan sát kết quả và lỗi.</t>
        </is>
      </c>
      <c r="E15" s="8" t="inlineStr">
        <is>
          <t>Request A1, B, A2; response A2, A1, lỗi B</t>
        </is>
      </c>
      <c r="F15" s="8" t="inlineStr">
        <is>
          <t>Chỉ latest hiển thị, không xuất hiện stale hoặc Chưa tìm được.</t>
        </is>
      </c>
      <c r="G15" s="8" t="inlineStr">
        <is>
          <t>Đạt các assertion trong test A B A: only current generation can update, including stale error; toàn bộ 354 test pass tại evidence/test-flutter.log (2026-10-13).</t>
        </is>
      </c>
      <c r="H15" s="7" t="inlineStr">
        <is>
          <t>Pass</t>
        </is>
      </c>
      <c r="I15" s="8" t="inlineStr">
        <is>
          <t>AC9 · Đoán lỗi response sai thứ tự · A B A: only current generation can update, including stale error · evidence/test-flutter.log</t>
        </is>
      </c>
    </row>
    <row r="16" ht="90.5" customHeight="1">
      <c r="A16" s="7" t="inlineStr">
        <is>
          <t>TC-MEDPICK-08</t>
        </is>
      </c>
      <c r="B16" s="7" t="inlineStr">
        <is>
          <t>Đóng sheet khi còn timer và request</t>
        </is>
      </c>
      <c r="C16" s="8" t="inlineStr">
        <is>
          <t>Đăng nhập Mobile; mở Danh sách thuốc → Thêm thuốc → trường Thuốc. Dữ liệu/hạ tầng theo Test Data; test tự động dùng fixture riêng.</t>
        </is>
      </c>
      <c r="D16" s="8" t="inlineStr">
        <is>
          <t>1. Tìm A rồi xóa.
2. Tìm B rồi nhập C chưa đủ debounce.
3. Đóng sheet; trả lỗi B.</t>
        </is>
      </c>
      <c r="E16" s="8" t="inlineStr">
        <is>
          <t>A đang chờ; B gửi; C đang debounce</t>
        </is>
      </c>
      <c r="F16" s="8" t="inlineStr">
        <is>
          <t>Timer C không gửi; không exception cập nhật widget đã dispose.</t>
        </is>
      </c>
      <c r="G16" s="8" t="inlineStr">
        <is>
          <t>Đạt các assertion trong test clear invalidates request and dispose cancels timer or ignores response; toàn bộ 354 test pass tại evidence/test-flutter.log (2026-10-13).</t>
        </is>
      </c>
      <c r="H16" s="7" t="inlineStr">
        <is>
          <t>Pass</t>
        </is>
      </c>
      <c r="I16" s="8" t="inlineStr">
        <is>
          <t>AC9 · Chuyển trạng thái sheet → disposed · clear invalidates request and dispose cancels timer or ignores response · evidence/test-flutter.log</t>
        </is>
      </c>
    </row>
    <row r="17" ht="90.5" customHeight="1">
      <c r="A17" s="7" t="inlineStr">
        <is>
          <t>TC-MEDPICK-09</t>
        </is>
      </c>
      <c r="B17" s="7" t="inlineStr">
        <is>
          <t>Chấp nhận 99 ký tự sau trim</t>
        </is>
      </c>
      <c r="C17" s="8" t="inlineStr">
        <is>
          <t>Đăng nhập Mobile; mở Danh sách thuốc → Thêm thuốc → trường Thuốc. Dữ liệu/hạ tầng theo Test Data; test tự động dùng fixture riêng.</t>
        </is>
      </c>
      <c r="D17" s="8" t="inlineStr">
        <is>
          <t>1. Nhập chuỗi a dài 99 ký tự.
2. Chờ 300ms; kiểm tra request.</t>
        </is>
      </c>
      <c r="E17" s="8" t="inlineStr">
        <is>
          <t>q=a*99</t>
        </is>
      </c>
      <c r="F17" s="8" t="inlineStr">
        <is>
          <t>Gửi q 99 ký tự; không báo quá dài.</t>
        </is>
      </c>
      <c r="G17" s="8" t="inlineStr">
        <is>
          <t>Harness biên 99 ký tự: 1 test pass; không request ở 299ms, gửi đúng a*99 tại 300ms sau trim. Android cũng gửi query này tới API thật. evidence/test-boundary-99.log; evidence/test-device-AC14-scroll.log.</t>
        </is>
      </c>
      <c r="H17" s="7" t="inlineStr">
        <is>
          <t>Pass</t>
        </is>
      </c>
      <c r="I17" s="8" t="inlineStr">
        <is>
          <t>AC10 · EP (1) · BVA (max-1=99) · scratch/catalog_boundary_test.dart; Flutter drive Android · evidence/test-boundary-99.log</t>
        </is>
      </c>
    </row>
    <row r="18" ht="90.5" customHeight="1">
      <c r="A18" s="7" t="inlineStr">
        <is>
          <t>TC-MEDPICK-10</t>
        </is>
      </c>
      <c r="B18" s="7" t="inlineStr">
        <is>
          <t>Chấp nhận 100 ký tự tiếng Việt sau trim</t>
        </is>
      </c>
      <c r="C18" s="8" t="inlineStr">
        <is>
          <t>Đăng nhập Mobile; mở Danh sách thuốc → Thêm thuốc → trường Thuốc. Dữ liệu/hạ tầng theo Test Data; test tự động dùng fixture riêng.</t>
        </is>
      </c>
      <c r="D18" s="8" t="inlineStr">
        <is>
          <t>1. Nhập 100 ký tự á có khoảng trắng hai đầu.
2. Chờ 300ms; kiểm tra request.</t>
        </is>
      </c>
      <c r="E18" s="8" t="inlineStr">
        <is>
          <t>q=" "+á*100+" "</t>
        </is>
      </c>
      <c r="F18" s="8" t="inlineStr">
        <is>
          <t>Gửi đúng 100 ký tự á sau trim.</t>
        </is>
      </c>
      <c r="G18" s="8" t="inlineStr">
        <is>
          <t>Đạt các assertion trong test trimmed Unicode limit 100 allowed, 101 blocked: á; toàn bộ 354 test pass tại evidence/test-flutter.log (2026-10-13).</t>
        </is>
      </c>
      <c r="H18" s="7" t="inlineStr">
        <is>
          <t>Pass</t>
        </is>
      </c>
      <c r="I18" s="8" t="inlineStr">
        <is>
          <t>AC10 · EP (1); BVA (max=100) · trimmed Unicode limit 100 allowed, 101 blocked: á · evidence/test-flutter.log</t>
        </is>
      </c>
    </row>
    <row r="19" ht="90.5" customHeight="1">
      <c r="A19" s="7" t="inlineStr">
        <is>
          <t>TC-MEDPICK-11</t>
        </is>
      </c>
      <c r="B19" s="7" t="inlineStr">
        <is>
          <t>Chặn 101 ký tự tiếng Việt và khôi phục query hợp lệ</t>
        </is>
      </c>
      <c r="C19" s="8" t="inlineStr">
        <is>
          <t>Đăng nhập Mobile; mở Danh sách thuốc → Thêm thuốc → trường Thuốc. Dữ liệu/hạ tầng theo Test Data; test tự động dùng fixture riêng.</t>
        </is>
      </c>
      <c r="D19" s="8" t="inlineStr">
        <is>
          <t>1. Gửi query 100 ký tự rồi nhập 101 ký tự.
2. Trả response cũ.
3. Đổi sang valid và trả items rỗng.</t>
        </is>
      </c>
      <c r="E19" s="8" t="inlineStr">
        <is>
          <t>á*100 → á*101 → valid</t>
        </is>
      </c>
      <c r="F19" s="8" t="inlineStr">
        <is>
          <t>Không gửi query 101; bỏ response cũ; hiện Nhập tối đa 100 ký tự sau khi bỏ khoảng trắng đầu và cuối.; query valid tìm lại được.</t>
        </is>
      </c>
      <c r="G19" s="8" t="inlineStr">
        <is>
          <t>Đạt các assertion trong test trimmed Unicode limit 100 allowed, 101 blocked: á; toàn bộ 354 test pass tại evidence/test-flutter.log (2026-10-13).</t>
        </is>
      </c>
      <c r="H19" s="7" t="inlineStr">
        <is>
          <t>Pass</t>
        </is>
      </c>
      <c r="I19" s="8" t="inlineStr">
        <is>
          <t>AC9, AC10 · EP (4); BVA (max+1=101) · trimmed Unicode limit 100 allowed, 101 blocked: á · evidence/test-flutter.log</t>
        </is>
      </c>
    </row>
    <row r="20" ht="90.5" customHeight="1">
      <c r="A20" s="7" t="inlineStr">
        <is>
          <t>TC-MEDPICK-12</t>
        </is>
      </c>
      <c r="B20" s="7" t="inlineStr">
        <is>
          <t>Đếm Unicode ngoài BMP theo code point</t>
        </is>
      </c>
      <c r="C20" s="8" t="inlineStr">
        <is>
          <t>Đăng nhập Mobile; mở Danh sách thuốc → Thêm thuốc → trường Thuốc. Dữ liệu/hạ tầng theo Test Data; test tự động dùng fixture riêng.</t>
        </is>
      </c>
      <c r="D20" s="8" t="inlineStr">
        <is>
          <t>1. Nhập 100 emoji rồi 101 emoji.
2. Quan sát số lần gọi tìm kiếm và thông báo.</t>
        </is>
      </c>
      <c r="E20" s="8" t="inlineStr">
        <is>
          <t>😀*100, 😀*101</t>
        </is>
      </c>
      <c r="F20" s="8" t="inlineStr">
        <is>
          <t>100 code point được gửi, 101 bị chặn, không đếm thành 200 UTF-16 unit.</t>
        </is>
      </c>
      <c r="G20" s="8" t="inlineStr">
        <is>
          <t>Đạt các assertion trong test trimmed Unicode limit 100 allowed, 101 blocked: 😀; toàn bộ 354 test pass tại evidence/test-flutter.log (2026-10-13).</t>
        </is>
      </c>
      <c r="H20" s="7" t="inlineStr">
        <is>
          <t>Pass</t>
        </is>
      </c>
      <c r="I20" s="8" t="inlineStr">
        <is>
          <t>AC10 · EP (1,4); BVA (max=100,max+1=101) · trimmed Unicode limit 100 allowed, 101 blocked: 😀 · evidence/test-flutter.log</t>
        </is>
      </c>
    </row>
    <row r="21" ht="90.5" customHeight="1">
      <c r="A21" s="7" t="inlineStr">
        <is>
          <t>TC-MEDPICK-13</t>
        </is>
      </c>
      <c r="B21" s="7" t="inlineStr">
        <is>
          <t>Hiện không tìm thấy khi API trả items rỗng</t>
        </is>
      </c>
      <c r="C21" s="8" t="inlineStr">
        <is>
          <t>Đăng nhập Mobile; mở Danh sách thuốc → Thêm thuốc → trường Thuốc. Dữ liệu/hạ tầng theo Test Data; test tự động dùng fixture riêng.</t>
        </is>
      </c>
      <c r="D21" s="8" t="inlineStr">
        <is>
          <t>1. Tìm valid.
2. Server trả danh sách rỗng.
3. Quan sát sheet.</t>
        </is>
      </c>
      <c r="E21" s="8" t="inlineStr">
        <is>
          <t>q=valid; items=[]</t>
        </is>
      </c>
      <c r="F21" s="8" t="inlineStr">
        <is>
          <t>Hiện Không tìm thấy thuốc phù hợp và gợi ý đổi từ khóa; không tự tạo thuốc.</t>
        </is>
      </c>
      <c r="G21" s="8" t="inlineStr">
        <is>
          <t>Đạt các assertion trong test network retry uses current query once and clears old error; toàn bộ 354 test pass tại evidence/test-flutter.log (2026-10-13).</t>
        </is>
      </c>
      <c r="H21" s="7" t="inlineStr">
        <is>
          <t>Pass</t>
        </is>
      </c>
      <c r="I21" s="8" t="inlineStr">
        <is>
          <t>AC7 · Decision Table (R2) · network retry uses current query once and clears old error · evidence/test-flutter.log</t>
        </is>
      </c>
    </row>
    <row r="22" ht="90.5" customHeight="1">
      <c r="A22" s="7" t="inlineStr">
        <is>
          <t>TC-MEDPICK-14</t>
        </is>
      </c>
      <c r="B22" s="7" t="inlineStr">
        <is>
          <t>Thử lại lỗi mạng đúng query hiện tại</t>
        </is>
      </c>
      <c r="C22" s="8" t="inlineStr">
        <is>
          <t>Đăng nhập Mobile; mở Danh sách thuốc → Thêm thuốc → trường Thuốc. Dữ liệu/hạ tầng theo Test Data; test tự động dùng fixture riêng.</t>
        </is>
      </c>
      <c r="D22" s="8" t="inlineStr">
        <is>
          <t>1. Nhập A; mô phỏng mất mạng.
2. Bấm Thử lại liên tục hai lần.
3. Cho lần retry trả latest.</t>
        </is>
      </c>
      <c r="E22" s="8" t="inlineStr">
        <is>
          <t>q=" A "; lần đầu lỗi mạng, lần sau latest</t>
        </is>
      </c>
      <c r="F22" s="8" t="inlineStr">
        <is>
          <t>Hiện Chưa tìm được; chỉ một retry với A đã trim; lỗi được xóa khi tải.</t>
        </is>
      </c>
      <c r="G22" s="8" t="inlineStr">
        <is>
          <t>Đạt các assertion trong test network retry uses current query once and clears old error; toàn bộ 354 test pass tại evidence/test-flutter.log (2026-10-13).</t>
        </is>
      </c>
      <c r="H22" s="7" t="inlineStr">
        <is>
          <t>Pass</t>
        </is>
      </c>
      <c r="I22" s="8" t="inlineStr">
        <is>
          <t>AC8 · EP (5); Decision Table (R3) · network retry uses current query once and clears old error · evidence/test-flutter.log</t>
        </is>
      </c>
    </row>
    <row r="23" ht="90.5" customHeight="1">
      <c r="A23" s="7" t="inlineStr">
        <is>
          <t>TC-MEDPICK-15</t>
        </is>
      </c>
      <c r="B23" s="7" t="inlineStr">
        <is>
          <t>Phân biệt lỗi HTTP 422 với kết quả rỗng</t>
        </is>
      </c>
      <c r="C23" s="8" t="inlineStr">
        <is>
          <t>Đăng nhập Mobile; mở Danh sách thuốc → Thêm thuốc → trường Thuốc. Dữ liệu/hạ tầng theo Test Data; test tự động dùng fixture riêng.</t>
        </is>
      </c>
      <c r="D23" s="8" t="inlineStr">
        <is>
          <t>1. Nhập A.
2. Trả lỗi validation 422.
3. Quan sát lỗi và khả năng retry.</t>
        </is>
      </c>
      <c r="E23" s="8" t="inlineStr">
        <is>
          <t>GET /catalog/medications; HTTP 422</t>
        </is>
      </c>
      <c r="F23" s="8" t="inlineStr">
        <is>
          <t>Hiện Chưa tìm được; không hiển thị như tìm thành công không có kết quả.</t>
        </is>
      </c>
      <c r="G23" s="8" t="inlineStr">
        <is>
          <t>Đạt các assertion trong test failure MedicationFailureKind.validation is not empty success; toàn bộ 354 test pass tại evidence/test-flutter.log (2026-10-13).</t>
        </is>
      </c>
      <c r="H23" s="7" t="inlineStr">
        <is>
          <t>Pass</t>
        </is>
      </c>
      <c r="I23" s="8" t="inlineStr">
        <is>
          <t>AC10 · EP (5); Decision Table (R3) · failure MedicationFailureKind.validation is not empty success · evidence/test-flutter.log</t>
        </is>
      </c>
    </row>
    <row r="24" ht="107" customHeight="1">
      <c r="A24" s="7" t="inlineStr">
        <is>
          <t>TC-MEDPICK-16</t>
        </is>
      </c>
      <c r="B24" s="7" t="inlineStr">
        <is>
          <t>Xử lý 401 theo cơ chế phiên chung</t>
        </is>
      </c>
      <c r="C24" s="8" t="inlineStr">
        <is>
          <t>Đăng nhập Mobile; mở Danh sách thuốc → Thêm thuốc → trường Thuốc. Dữ liệu/hạ tầng theo Test Data; test tự động dùng fixture riêng.</t>
        </is>
      </c>
      <c r="D24" s="8" t="inlineStr">
        <is>
          <t>1. Tìm A với phiên không hợp lệ.
2. Trả 401; kiểm callback phiên và lỗi repository.
3. Quan sát sheet.</t>
        </is>
      </c>
      <c r="E24" s="8" t="inlineStr">
        <is>
          <t>HTTP 401; refresh thất bại</t>
        </is>
      </c>
      <c r="F24" s="8" t="inlineStr">
        <is>
          <t>Callback onUnauthorized được gọi; ném unauthorized; sheet không báo kết quả rỗng hoặc cho retry tìm kiếm.</t>
        </is>
      </c>
      <c r="G24" s="8" t="inlineStr">
        <is>
          <t>Đạt các assertion trong test 3.05 search 401 throws failure rather than empty success; failure MedicationFailureKind.unauthorized is not empty success; toàn bộ 354 test pass tại evidence/test-flutter.log (2026-10-13).</t>
        </is>
      </c>
      <c r="H24" s="7" t="inlineStr">
        <is>
          <t>Pass</t>
        </is>
      </c>
      <c r="I24" s="8" t="inlineStr">
        <is>
          <t>AC11 · EP (5); Decision Table (R4) · 3.05 search 401 throws failure rather than empty success; failure MedicationFailureKind.unauthorized is not empty success · evidence/test-flutter.log</t>
        </is>
      </c>
    </row>
    <row r="25" ht="90.5" customHeight="1">
      <c r="A25" s="7" t="inlineStr">
        <is>
          <t>TC-MEDPICK-17</t>
        </is>
      </c>
      <c r="B25" s="7" t="inlineStr">
        <is>
          <t>Giữ lỗi timeout và lỗi server</t>
        </is>
      </c>
      <c r="C25" s="8" t="inlineStr">
        <is>
          <t>Đăng nhập Mobile; mở Danh sách thuốc → Thêm thuốc → trường Thuốc. Dữ liệu/hạ tầng theo Test Data; test tự động dùng fixture riêng.</t>
        </is>
      </c>
      <c r="D25" s="8" t="inlineStr">
        <is>
          <t>1. Gọi searchCatalog với mỗi status đã nêu.
2. Quan sát kết quả repository.</t>
        </is>
      </c>
      <c r="E25" s="8" t="inlineStr">
        <is>
          <t>HTTP 408, 500, 503</t>
        </is>
      </c>
      <c r="F25" s="8" t="inlineStr">
        <is>
          <t>Ném failure tương ứng; không chuyển thành danh sách rỗng thành công.</t>
        </is>
      </c>
      <c r="G25" s="8" t="inlineStr">
        <is>
          <t>Đạt các assertion trong test 3.05 search 408/500/503 throws failure rather than empty success; toàn bộ 354 test pass tại evidence/test-flutter.log (2026-10-13).</t>
        </is>
      </c>
      <c r="H25" s="7" t="inlineStr">
        <is>
          <t>Pass</t>
        </is>
      </c>
      <c r="I25" s="8" t="inlineStr">
        <is>
          <t>AC8 · EP (5); Decision Table (R3) · 3.05 search 408/500/503 throws failure rather than empty success · evidence/test-flutter.log</t>
        </is>
      </c>
    </row>
    <row r="26" ht="90.5" customHeight="1">
      <c r="A26" s="7" t="inlineStr">
        <is>
          <t>TC-MEDPICK-18</t>
        </is>
      </c>
      <c r="B26" s="7" t="inlineStr">
        <is>
          <t>Giữ lỗi socket khi mất kết nối</t>
        </is>
      </c>
      <c r="C26" s="8" t="inlineStr">
        <is>
          <t>Đăng nhập Mobile; mở Danh sách thuốc → Thêm thuốc → trường Thuốc. Dữ liệu/hạ tầng theo Test Data; test tự động dùng fixture riêng.</t>
        </is>
      </c>
      <c r="D26" s="8" t="inlineStr">
        <is>
          <t>1. Gọi searchCatalog khi server không nhận kết nối.
2. Kiểm tra lỗi trả về.</t>
        </is>
      </c>
      <c r="E26" s="8" t="inlineStr">
        <is>
          <t>Ngắt kết nối server cục bộ</t>
        </is>
      </c>
      <c r="F26" s="8" t="inlineStr">
        <is>
          <t>Ném lỗi network thay vì trả items rỗng.</t>
        </is>
      </c>
      <c r="G26" s="8" t="inlineStr">
        <is>
          <t>Đạt các assertion trong test 3.05 search socket failure is network error; toàn bộ 354 test pass tại evidence/test-flutter.log (2026-10-13).</t>
        </is>
      </c>
      <c r="H26" s="7" t="inlineStr">
        <is>
          <t>Pass</t>
        </is>
      </c>
      <c r="I26" s="8" t="inlineStr">
        <is>
          <t>AC8 · EP (5) · 3.05 search socket failure is network error · evidence/test-flutter.log</t>
        </is>
      </c>
    </row>
    <row r="27" ht="90.5" customHeight="1">
      <c r="A27" s="7" t="inlineStr">
        <is>
          <t>TC-MEDPICK-19</t>
        </is>
      </c>
      <c r="B27" s="7" t="inlineStr">
        <is>
          <t>Hiện thông tin nhận diện và không suy diễn trường thiếu</t>
        </is>
      </c>
      <c r="C27" s="8" t="inlineStr">
        <is>
          <t>Đăng nhập Mobile; mở Danh sách thuốc → Thêm thuốc → trường Thuốc. Dữ liệu/hạ tầng theo Test Data; test tự động dùng fixture riêng.</t>
        </is>
      </c>
      <c r="D27" s="8" t="inlineStr">
        <is>
          <t>1. Tìm A và trả hai item.
2. Quan sát tên, 5 mg và các trường thiếu.</t>
        </is>
      </c>
      <c r="E27" s="8" t="inlineStr">
        <is>
          <t>Hai thuốc Cùng tên: id=1 đủ thông tin, id=2 thiếu hoạt chất/hàm lượng/dạng</t>
        </is>
      </c>
      <c r="F27" s="8" t="inlineStr">
        <is>
          <t>Hiện hai dòng cùng tên; 5 mg chỉ ở item đủ thông tin; không hiện null; có Chưa có thông tin hoạt chất.</t>
        </is>
      </c>
      <c r="G27" s="8" t="inlineStr">
        <is>
          <t>Đạt các assertion trong test strength, missing fields and same name distinct ids keep original item; toàn bộ 354 test pass tại evidence/test-flutter.log (2026-10-13).</t>
        </is>
      </c>
      <c r="H27" s="7" t="inlineStr">
        <is>
          <t>Pass</t>
        </is>
      </c>
      <c r="I27" s="8" t="inlineStr">
        <is>
          <t>AC5, AC6 · EP (2); Decision Table (R1) · strength, missing fields and same name distinct ids keep original item · evidence/test-flutter.log</t>
        </is>
      </c>
    </row>
    <row r="28" ht="90.5" customHeight="1">
      <c r="A28" s="7" t="inlineStr">
        <is>
          <t>TC-MEDPICK-20</t>
        </is>
      </c>
      <c r="B28" s="7" t="inlineStr">
        <is>
          <t>Chọn đúng item khi hai thuốc cùng tên</t>
        </is>
      </c>
      <c r="C28" s="8" t="inlineStr">
        <is>
          <t>Đăng nhập Mobile; mở Danh sách thuốc → Thêm thuốc → trường Thuốc. Dữ liệu/hạ tầng theo Test Data; test tự động dùng fixture riêng.</t>
        </is>
      </c>
      <c r="D28" s="8" t="inlineStr">
        <is>
          <t>1. Tìm Cùng.
2. Chọn dòng thứ hai.
3. Quan sát form trước Lưu.</t>
        </is>
      </c>
      <c r="E28" s="8" t="inlineStr">
        <is>
          <t>Cùng tên: id=1, id=200; chọn item thứ hai nullable</t>
        </is>
      </c>
      <c r="F28" s="8" t="inlineStr">
        <is>
          <t>Form nhận nguyên item id=200; hàm lượng trống, không tự điền y khoa, không tự lưu.</t>
        </is>
      </c>
      <c r="G28" s="8" t="inlineStr">
        <is>
          <t>Đạt các assertion trong test 3.05: chọn đúng item cùng tên, thiếu thông tin giữ trường trống không tự lưu; toàn bộ 354 test pass tại evidence/test-flutter.log (2026-10-13).</t>
        </is>
      </c>
      <c r="H28" s="7" t="inlineStr">
        <is>
          <t>Pass</t>
        </is>
      </c>
      <c r="I28" s="8" t="inlineStr">
        <is>
          <t>AC5, AC6 · EP (2) · 3.05: chọn đúng item cùng tên, thiếu thông tin giữ trường trống không tự lưu · evidence/test-flutter.log</t>
        </is>
      </c>
    </row>
    <row r="29" ht="90.5" customHeight="1">
      <c r="A29" s="7" t="inlineStr">
        <is>
          <t>TC-MEDPICK-21</t>
        </is>
      </c>
      <c r="B29" s="7" t="inlineStr">
        <is>
          <t>Giữ thông tin sử dụng khi hủy rồi chọn lại</t>
        </is>
      </c>
      <c r="C29" s="8" t="inlineStr">
        <is>
          <t>Đăng nhập Mobile; mở Danh sách thuốc → Thêm thuốc → trường Thuốc. Dữ liệu/hạ tầng theo Test Data; test tự động dùng fixture riêng.</t>
        </is>
      </c>
      <c r="D29" s="8" t="inlineStr">
        <is>
          <t>1. Chọn Amlodipin; tăng liều thành 2 và chọn 3 lần/ngày.
2. Mở sheet rồi hủy; mở lại và chọn Losartan.
3. Kiểm dữ liệu còn giữ, sau đó Lưu để kiểm payload.</t>
        </is>
      </c>
      <c r="E29" s="8" t="inlineStr">
        <is>
          <t>Amlodipin 5mg → Losartan 50mg; liều 2; 3 lần/ngày</t>
        </is>
      </c>
      <c r="F29" s="8" t="inlineStr">
        <is>
          <t>Hủy giữ thuốc cũ; chọn lại đổi catalog id; giữ liều/tần suất/giờ mặc định đã chọn; chưa add trước Lưu.</t>
        </is>
      </c>
      <c r="G29" s="8" t="inlineStr">
        <is>
          <t>Đạt các assertion trong test 3.05: hủy/chọn lại giữ dữ liệu sử dụng, chưa tự lưu và đúng catalog id; toàn bộ 354 test pass tại evidence/test-flutter.log (2026-10-13).</t>
        </is>
      </c>
      <c r="H29" s="7" t="inlineStr">
        <is>
          <t>Pass</t>
        </is>
      </c>
      <c r="I29" s="8" t="inlineStr">
        <is>
          <t>AC12, AC5 · Chuyển trạng thái chọn → hủy → chọn lại · 3.05: hủy/chọn lại giữ dữ liệu sử dụng, chưa tự lưu và đúng catalog id · evidence/test-flutter.log</t>
        </is>
      </c>
    </row>
    <row r="30" ht="90.5" customHeight="1">
      <c r="A30" s="7" t="inlineStr">
        <is>
          <t>TC-MEDPICK-22</t>
        </is>
      </c>
      <c r="B30" s="7" t="inlineStr">
        <is>
          <t>Cho phép chọn thuốc đang dùng và giữ cảnh báo</t>
        </is>
      </c>
      <c r="C30" s="8" t="inlineStr">
        <is>
          <t>Đăng nhập Mobile; mở Danh sách thuốc → Thêm thuốc → trường Thuốc. Dữ liệu/hạ tầng theo Test Data; test tự động dùng fixture riêng.</t>
        </is>
      </c>
      <c r="D30" s="8" t="inlineStr">
        <is>
          <t>1. Tìm losartan.
2. Quan sát nhãn Đang dùng và chọn.
3. Quan sát form.</t>
        </is>
      </c>
      <c r="E30" s="8" t="inlineStr">
        <is>
          <t>Losartan 50mg đã có trong danh sách</t>
        </is>
      </c>
      <c r="F30" s="8" t="inlineStr">
        <is>
          <t>Giữ nhãn Đang dùng và cảnh báo đã có trong danh sách đang dùng; vẫn chọn được.</t>
        </is>
      </c>
      <c r="G30" s="8" t="inlineStr">
        <is>
          <t>Đạt các assertion trong test 3.05: hủy/chọn lại giữ dữ liệu sử dụng, chưa tự lưu và đúng catalog id; toàn bộ 354 test pass tại evidence/test-flutter.log (2026-10-13).</t>
        </is>
      </c>
      <c r="H30" s="7" t="inlineStr">
        <is>
          <t>Pass</t>
        </is>
      </c>
      <c r="I30" s="8" t="inlineStr">
        <is>
          <t>AC13 · Decision Table (R1) · 3.05: hủy/chọn lại giữ dữ liệu sử dụng, chưa tự lưu và đúng catalog id · evidence/test-flutter.log</t>
        </is>
      </c>
    </row>
    <row r="31" ht="90.5" customHeight="1">
      <c r="A31" s="7" t="inlineStr">
        <is>
          <t>TC-MEDPICK-23</t>
        </is>
      </c>
      <c r="B31" s="7" t="inlineStr">
        <is>
          <t>Gọi đúng GET và giữ id/nullable/thứ tự</t>
        </is>
      </c>
      <c r="C31" s="8" t="inlineStr">
        <is>
          <t>Đăng nhập Mobile; mở Danh sách thuốc → Thêm thuốc → trường Thuốc. Dữ liệu/hạ tầng theo Test Data; test tự động dùng fixture riêng.</t>
        </is>
      </c>
      <c r="D31" s="8" t="inlineStr">
        <is>
          <t>1. Gọi RemoteMedicationRepository.searchCatalog.
2. Kiểm method/path/q và item mapper.</t>
        </is>
      </c>
      <c r="E31" s="8" t="inlineStr">
        <is>
          <t>q có khoảng trắng; hai item khác id, trường nullable</t>
        </is>
      </c>
      <c r="F31" s="8" t="inlineStr">
        <is>
          <t>GET /catalog/medications với q trim; giữ thứ tự và id; nullable không tạo dữ liệu giả.</t>
        </is>
      </c>
      <c r="G31" s="8" t="inlineStr">
        <is>
          <t>Đạt các assertion trong test 3.05 search GET trim, server order, nullable and exact ids; toàn bộ 354 test pass tại evidence/test-flutter.log (2026-10-13).</t>
        </is>
      </c>
      <c r="H31" s="7" t="inlineStr">
        <is>
          <t>Pass</t>
        </is>
      </c>
      <c r="I31" s="8" t="inlineStr">
        <is>
          <t>AC3, AC5, AC6 · EP (1,2) · 3.05 search GET trim, server order, nullable and exact ids · evidence/test-flutter.log</t>
        </is>
      </c>
    </row>
    <row r="32" ht="90.5" customHeight="1">
      <c r="A32" s="7" t="inlineStr">
        <is>
          <t>TC-MEDPICK-24</t>
        </is>
      </c>
      <c r="B32" s="7" t="inlineStr">
        <is>
          <t>Cuộn trạng thái ở màn nhỏ có bàn phím</t>
        </is>
      </c>
      <c r="C32" s="8" t="inlineStr">
        <is>
          <t>Đăng nhập Mobile; mở Danh sách thuốc → Thêm thuốc → trường Thuốc. Dữ liệu/hạ tầng theo Test Data; test tự động dùng fixture riêng.</t>
        </is>
      </c>
      <c r="D32" s="8" t="inlineStr">
        <is>
          <t>1. Mở sheet ở cấu hình đã nêu.
2. Cho lỗi mạng, cuộn tới Thử lại và bấm.
3. Trả rỗng rồi kết quả; cuộn tới kết quả.</t>
        </is>
      </c>
      <c r="E32" s="8" t="inlineStr">
        <is>
          <t>Widget 320×640; scale 1.5; keyboard inset 250</t>
        </is>
      </c>
      <c r="F32" s="8" t="inlineStr">
        <is>
          <t>Không exception layout; retry chạm được và kết quả cuộn được. Chỉ là kiểm tra widget hỗ trợ AC14.</t>
        </is>
      </c>
      <c r="G32" s="8" t="inlineStr">
        <is>
          <t>Đạt các assertion trong test small screen large text with keyboard: states scroll and retry remains reachable; toàn bộ 354 test pass tại evidence/test-flutter.log (2026-10-13).</t>
        </is>
      </c>
      <c r="H32" s="7" t="inlineStr">
        <is>
          <t>Pass</t>
        </is>
      </c>
      <c r="I32" s="8" t="inlineStr">
        <is>
          <t>AC14 · Đoán lỗi layout · small screen large text with keyboard: states scroll and retry remains reachable · evidence/test-flutter.log</t>
        </is>
      </c>
    </row>
    <row r="33" ht="90.5" customHeight="1">
      <c r="A33" s="7" t="inlineStr">
        <is>
          <t>TC-MEDPICK-25</t>
        </is>
      </c>
      <c r="B33" s="7" t="inlineStr">
        <is>
          <t>Tìm tên/hoạt chất có dấu, không dấu và khác hoa thường trên DB thật</t>
        </is>
      </c>
      <c r="C33" s="8" t="inlineStr">
        <is>
          <t>Đăng nhập Mobile; mở Danh sách thuốc → Thêm thuốc → trường Thuốc. Dữ liệu/hạ tầng theo Test Data; test tự động dùng fixture riêng.</t>
        </is>
      </c>
      <c r="D33" s="8" t="inlineStr">
        <is>
          <t>1. Reset Supabase local, không dùng DB deploy.
2. Chạy pytest tests/integration/test_catalog_search.py -q -ra.
3. Kiểm test_unaccented_and_case_insensitive__AC5c và response.</t>
        </is>
      </c>
      <c r="E33" s="8" t="inlineStr">
        <is>
          <t>Thuốc ho Bảo Thanh &lt;tag&gt;; Đồng sulfat &lt;tag&gt;; các query thuoc ho bao thanh, THUỐC HO BẢO THANH, dong sulfat, ĐỒNG SULFAT</t>
        </is>
      </c>
      <c r="F33" s="8" t="inlineStr">
        <is>
          <t>HTTP 200; cùng thuốc phù hợp cho các biến thể dấu và hoa thường.</t>
        </is>
      </c>
      <c r="G33" s="8" t="inlineStr">
        <is>
          <t>Bộ tests/integration/test_catalog_search.py đạt 14 pass, 0 fail, 0 skip trong 8.28s sau reset Supabase PostgreSQL local; evidence/test-catalog-after-reset.log (2026-10-13).</t>
        </is>
      </c>
      <c r="H33" s="7" t="inlineStr">
        <is>
          <t>Pass</t>
        </is>
      </c>
      <c r="I33" s="8" t="inlineStr">
        <is>
          <t>AC4 · EP (1); tích hợp DB thật · pytest tests/integration/test_catalog_search.py · evidence/test-catalog-after-reset.log</t>
        </is>
      </c>
    </row>
    <row r="34" ht="90.5" customHeight="1">
      <c r="A34" s="7" t="inlineStr">
        <is>
          <t>TC-MEDPICK-26</t>
        </is>
      </c>
      <c r="B34" s="7" t="inlineStr">
        <is>
          <t>Loại thuốc đã gỡ và kiểm limit/thứ tự ở API thật</t>
        </is>
      </c>
      <c r="C34" s="8" t="inlineStr">
        <is>
          <t>Đăng nhập Mobile; mở Danh sách thuốc → Thêm thuốc → trường Thuốc. Dữ liệu/hạ tầng theo Test Data; test tự động dùng fixture riêng.</t>
        </is>
      </c>
      <c r="D34" s="8" t="inlineStr">
        <is>
          <t>1. Chuẩn bị fixture trong test_catalog_search.py.
2. Chạy test_matches_name_and_ingredient_excludes_deleted_respects_limit__AC5 và test_prefix_first_then_name_order__AC5.</t>
        </is>
      </c>
      <c r="E34" s="8" t="inlineStr">
        <is>
          <t>Metformin &lt;tag&gt;, Glucophage &lt;tag&gt;; một thuốc deleted_at khác null; limit=1</t>
        </is>
      </c>
      <c r="F34" s="8" t="inlineStr">
        <is>
          <t>Chỉ thuốc chưa gỡ, đúng schema; limit 1; tiền tố tên được ưu tiên, sau đó thứ tự tên.</t>
        </is>
      </c>
      <c r="G34" s="8" t="inlineStr">
        <is>
          <t>Bộ tests/integration/test_catalog_search.py đạt 14 pass, 0 fail, 0 skip trong 8.28s sau reset Supabase PostgreSQL local; evidence/test-catalog-after-reset.log (2026-10-13).</t>
        </is>
      </c>
      <c r="H34" s="7" t="inlineStr">
        <is>
          <t>Pass</t>
        </is>
      </c>
      <c r="I34" s="8" t="inlineStr">
        <is>
          <t>AC4 · EP (1); tích hợp DB thật · pytest tests/integration/test_catalog_search.py · evidence/test-catalog-after-reset.log</t>
        </is>
      </c>
    </row>
    <row r="35" ht="123.5" customHeight="1">
      <c r="A35" s="7" t="inlineStr">
        <is>
          <t>TC-MEDPICK-27</t>
        </is>
      </c>
      <c r="B35" s="7" t="inlineStr">
        <is>
          <t>Chọn thuốc từ Mobile nối Backend API thật</t>
        </is>
      </c>
      <c r="C35" s="8" t="inlineStr">
        <is>
          <t>Đăng nhập Mobile; mở Danh sách thuốc → Thêm thuốc → trường Thuốc. Dữ liệu/hạ tầng theo Test Data; test tự động dùng fixture riêng.</t>
        </is>
      </c>
      <c r="D35" s="8" t="inlineStr">
        <is>
          <t>1. Chạy app với DRUGTIME_API_BASE_URL trỏ Backend local; đăng nhập tài khoản test.
2. Mở Thêm thuốc → Thuốc; tìm tên/hoạt chất có dấu, không dấu, hoa thường.
3. Chọn item; đối chiếu id trong phản hồi API và form; không bấm Lưu.</t>
        </is>
      </c>
      <c r="E35" s="8" t="inlineStr">
        <is>
          <t>Danh mục local có tên/hoạt chất có dấu và một thuốc đã gỡ; tài khoản test</t>
        </is>
      </c>
      <c r="F35" s="8" t="inlineStr">
        <is>
          <t>Chọn đúng item/id; không thấy thuốc gỡ; tìm/chọn chưa tạo thuốc cá nhân.</t>
        </is>
      </c>
      <c r="G35" s="8" t="inlineStr">
        <is>
          <t>LM G710 Android 13, cấu hình màn hình/font mặc định: 5 query tên/hoạt chất có dấu/không dấu/hoa thường; đều chọn id=179, không thấy id thuốc gỡ; sheet đóng sau mỗi chọn. meds/schedules/prescriptions đều 0 trước và sau. Flutter drive exit 0. evidence/test-device-AC4.log.</t>
        </is>
      </c>
      <c r="H35" s="7" t="inlineStr">
        <is>
          <t>Pass</t>
        </is>
      </c>
      <c r="I35" s="8" t="inlineStr">
        <is>
          <t>AC4, AC5 · Flutter drive thiết bị thật + Backend API thật + PostgreSQL local; session từ fixture, không test login · evidence/test-device-AC4.log</t>
        </is>
      </c>
    </row>
    <row r="36" ht="189.5" customHeight="1">
      <c r="A36" s="7" t="inlineStr">
        <is>
          <t>TC-MEDPICK-28</t>
        </is>
      </c>
      <c r="B36" s="7" t="inlineStr">
        <is>
          <t>Đọc và chọn thuốc trên thiết bị với cỡ chữ lớn và bàn phím</t>
        </is>
      </c>
      <c r="C36" s="8" t="inlineStr">
        <is>
          <t>Đăng nhập Mobile; mở Danh sách thuốc → Thêm thuốc → trường Thuốc. Dữ liệu/hạ tầng theo Test Data; test tự động dùng fixture riêng.</t>
        </is>
      </c>
      <c r="D36" s="8" t="inlineStr">
        <is>
          <t>1. Mở form và sheet; bật cỡ chữ lớn trong cấu hình thiết bị.
2. Kiểm hướng dẫn, loading, không kết quả, lỗi và retry.
3. Tìm thuốc, cuộn và chọn kết quả; kiểm form.
4. Khôi phục cỡ chữ ban đầu sau test.</t>
        </is>
      </c>
      <c r="E36" s="8" t="inlineStr">
        <is>
          <t>Điện thoại LM G710 Android 13; cỡ chữ lớn; bàn phím mở</t>
        </is>
      </c>
      <c r="F36" s="8" t="inlineStr">
        <is>
          <t>Nội dung đọc/cuộn được; bàn phím không che thao tác; chọn trả đúng thuốc về form.</t>
        </is>
      </c>
      <c r="G36" s="8" t="inlineStr">
        <is>
          <t>Android thật, viewport 360×616 dp, font system 1.5×, bàn phím thực tế inset 325.5 dp: kiểm initial/error 503/retry/empty/results; cuộn 120 dp tới metadata, chạm tile trong vùng thấy 44.3 dp và trả đúng id; chưa tạo thuốc. Đã đọc ảnh kết quả/metadata. Flutter drive exit 0, không exception ở lượt cuối. evidence/test-device-AC14-scroll.log; evidence/android-small-results.png; evidence/android-small-scrolled-metadata.png.</t>
        </is>
      </c>
      <c r="H36" s="7" t="inlineStr">
        <is>
          <t>Pass</t>
        </is>
      </c>
      <c r="I36" s="8" t="inlineStr">
        <is>
          <t>AC14 · Flutter drive trên thiết bị thật + agent kiểm ảnh; thay thao tác tay bằng cùng luồng tự động, không giả lập viewInsets · evidence/test-device-AC14-scroll.log</t>
        </is>
      </c>
    </row>
    <row r="37" ht="90.5" customHeight="1">
      <c r="A37" s="7" t="inlineStr">
        <is>
          <t>TC-MEDPICK-29</t>
        </is>
      </c>
      <c r="B37" s="7" t="inlineStr">
        <is>
          <t>Tìm chuỗi ký tự đặc biệt nguyên văn</t>
        </is>
      </c>
      <c r="C37" s="8" t="inlineStr">
        <is>
          <t>Đăng nhập Mobile; mở Danh sách thuốc → Thêm thuốc → trường Thuốc. Dữ liệu/hạ tầng theo Test Data; test tự động dùng fixture riêng.</t>
        </is>
      </c>
      <c r="D37" s="8" t="inlineStr">
        <is>
          <t>1. Chạy test_like_wildcards_are_literal__AC6 với DB local.
2. Kiểm items không bị wildcard khớp tất cả.</t>
        </is>
      </c>
      <c r="E37" s="8" t="inlineStr">
        <is>
          <t>q=%; q=_; tên có 100% tự nhiên, a_b, axb</t>
        </is>
      </c>
      <c r="F37" s="8" t="inlineStr">
        <is>
          <t>Chỉ khớp ký tự nguyên văn; không mở rộng thành mọi thuốc.</t>
        </is>
      </c>
      <c r="G37" s="8" t="inlineStr">
        <is>
          <t>Bộ tests/integration/test_catalog_search.py đạt 14 pass, 0 fail, 0 skip trong 8.28s sau reset Supabase PostgreSQL local; evidence/test-catalog-after-reset.log (2026-10-13).</t>
        </is>
      </c>
      <c r="H37" s="7" t="inlineStr">
        <is>
          <t>Pass</t>
        </is>
      </c>
      <c r="I37" s="8" t="inlineStr">
        <is>
          <t>AC4 · Đoán lỗi SQL wildcard; tích hợp DB thật · pytest tests/integration/test_catalog_search.py · evidence/test-catalog-after-reset.log</t>
        </is>
      </c>
    </row>
    <row r="38"/>
    <row r="39"/>
    <row r="40">
      <c r="G40" s="12" t="inlineStr">
        <is>
          <t>Pass</t>
        </is>
      </c>
      <c r="H40" s="13">
        <f>COUNTIF(H9:H37,"Pass")</f>
        <v/>
      </c>
    </row>
    <row r="41">
      <c r="G41" s="12" t="inlineStr">
        <is>
          <t>Fail</t>
        </is>
      </c>
      <c r="H41" s="13">
        <f>COUNTIF(H9:H37,"Fail")</f>
        <v/>
      </c>
    </row>
    <row r="42">
      <c r="G42" s="12" t="inlineStr">
        <is>
          <t>Pending</t>
        </is>
      </c>
      <c r="H42" s="13">
        <f>COUNTIF(H9:H37,"Pending")</f>
        <v/>
      </c>
    </row>
    <row r="43">
      <c r="G43" s="12" t="inlineStr">
        <is>
          <t>Total</t>
        </is>
      </c>
      <c r="H43" s="13">
        <f>SUM(H40:H42)</f>
        <v/>
      </c>
    </row>
  </sheetData>
  <autoFilter ref="A8:I37"/>
  <conditionalFormatting sqref="H9:H37">
    <cfRule type="cellIs" priority="1" operator="equal" dxfId="0">
      <formula>"Fail"</formula>
    </cfRule>
  </conditionalFormatting>
  <dataValidations count="1">
    <dataValidation sqref="H9:H37" showDropDown="0" showInputMessage="0" showErrorMessage="0" allowBlank="0" type="list">
      <formula1>"Pass,Fail,Pending"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5"/>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s>
  <sheetData>
    <row r="1">
      <c r="A1" s="1" t="inlineStr">
        <is>
          <t>Project Name</t>
        </is>
      </c>
      <c r="B1" s="2" t="inlineStr">
        <is>
          <t>DrugTime</t>
        </is>
      </c>
    </row>
    <row r="2">
      <c r="A2" s="1" t="inlineStr">
        <is>
          <t>Module Name</t>
        </is>
      </c>
      <c r="B2" s="2" t="inlineStr">
        <is>
          <t>Hồi quy xác nhận liều (REGDOSE)</t>
        </is>
      </c>
    </row>
    <row r="3">
      <c r="A3" s="1" t="inlineStr">
        <is>
          <t>Created By</t>
        </is>
      </c>
      <c r="B3" s="2" t="inlineStr">
        <is>
          <t>phucnguyenngoc</t>
        </is>
      </c>
    </row>
    <row r="4">
      <c r="A4" s="1" t="inlineStr">
        <is>
          <t>Creation Date</t>
        </is>
      </c>
      <c r="B4" s="21" t="n">
        <v>46308</v>
      </c>
    </row>
    <row r="5">
      <c r="A5" s="1" t="inlineStr">
        <is>
          <t>Reviewed By</t>
        </is>
      </c>
      <c r="B5" s="2" t="inlineStr"/>
    </row>
    <row r="6">
      <c r="A6" s="1" t="inlineStr">
        <is>
          <t>Reviewed Date</t>
        </is>
      </c>
      <c r="B6" s="2" t="n"/>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row>
    <row r="9" ht="156.5" customHeight="1">
      <c r="A9" s="7" t="inlineStr">
        <is>
          <t>TC-REGDOSE-01</t>
        </is>
      </c>
      <c r="B9" s="7" t="inlineStr">
        <is>
          <t>Đối chiếu scheduled_at có giây khi xác nhận liều</t>
        </is>
      </c>
      <c r="C9" s="8" t="inlineStr">
        <is>
          <t>Supabase PostgreSQL local đã reset và migration hiện hành; fixture tạo patient/schedule/consent riêng và override identity.current_user cho patient.</t>
        </is>
      </c>
      <c r="D9" s="8"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E9" s="8" t="inlineStr">
        <is>
          <t>client_uuid: UUID mới; schedule_id: fixture; scheduled_at=2026-10-02T01:00:59.999Z; taken_at=2026-10-02T01:05:59.999Z</t>
        </is>
      </c>
      <c r="F9" s="8" t="inlineStr">
        <is>
          <t>Theo test hiện có: HTTP 200, synced, da_uong và scheduled_at=2026-10-02T01:00:00Z.</t>
        </is>
      </c>
      <c r="G9" s="8" t="inlineStr">
        <is>
          <t>HTTP 200, synced, da_uong; scheduled_at=2026-10-02T01:00:59.999000Z. Fail trong suite DB và lặp lại khi chạy riêng (1 failed trong 1.67s).</t>
        </is>
      </c>
      <c r="H9" s="7" t="inlineStr">
        <is>
          <t>Fail</t>
        </is>
      </c>
      <c r="I9" s="8" t="inlineStr">
        <is>
          <t>Ngoài AC task 3.05; AC1_AC10_AC18 của test backend hiện có · Đoán lỗi độ chính xác thời gian · test_post_doses_batch_creates_dose_log_for_authenticated_patient__AC1_AC10_AC18</t>
        </is>
      </c>
    </row>
    <row r="10"/>
    <row r="11"/>
    <row r="12">
      <c r="G12" s="12" t="inlineStr">
        <is>
          <t>Pass</t>
        </is>
      </c>
      <c r="H12" s="13">
        <f>COUNTIF(H9:H9,"Pass")</f>
        <v/>
      </c>
    </row>
    <row r="13">
      <c r="G13" s="12" t="inlineStr">
        <is>
          <t>Fail</t>
        </is>
      </c>
      <c r="H13" s="13">
        <f>COUNTIF(H9:H9,"Fail")</f>
        <v/>
      </c>
    </row>
    <row r="14">
      <c r="G14" s="12" t="inlineStr">
        <is>
          <t>Pending</t>
        </is>
      </c>
      <c r="H14" s="13">
        <f>COUNTIF(H9:H9,"Pending")</f>
        <v/>
      </c>
    </row>
    <row r="15">
      <c r="G15" s="12" t="inlineStr">
        <is>
          <t>Total</t>
        </is>
      </c>
      <c r="H15" s="13">
        <f>SUM(H12:H14)</f>
        <v/>
      </c>
    </row>
  </sheetData>
  <autoFilter ref="A8:I9"/>
  <conditionalFormatting sqref="H9">
    <cfRule type="cellIs" priority="1" operator="equal" dxfId="0">
      <formula>"Fail"</formula>
    </cfRule>
  </conditionalFormatting>
  <dataValidations count="1">
    <dataValidation sqref="H9" showDropDown="0" showInputMessage="0" showErrorMessage="0" allowBlank="0" type="list">
      <formula1>"Pass,Fail,Pending"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U46"/>
  <sheetViews>
    <sheetView workbookViewId="0">
      <pane ySplit="8" topLeftCell="A9" activePane="bottomLeft" state="frozen"/>
      <selection pane="bottomLeft" activeCell="A1" sqref="A1"/>
    </sheetView>
  </sheetViews>
  <sheetFormatPr baseColWidth="8" defaultRowHeight="15"/>
  <cols>
    <col width="18" customWidth="1" min="1" max="1"/>
    <col width="40" customWidth="1" min="2" max="2"/>
    <col width="32" customWidth="1" min="3" max="3"/>
    <col width="50" customWidth="1" min="4" max="4"/>
    <col width="32" customWidth="1" min="5" max="5"/>
    <col width="45" customWidth="1" min="6" max="6"/>
    <col width="45" customWidth="1" min="7" max="7"/>
    <col width="12" customWidth="1" min="8" max="8"/>
    <col width="34" customWidth="1" min="9" max="9"/>
    <col width="22" customWidth="1" min="11" max="11"/>
    <col width="34" customWidth="1" min="12" max="12"/>
    <col width="7" customWidth="1" min="13" max="13"/>
    <col width="34" customWidth="1" min="14" max="14"/>
    <col width="7" customWidth="1" min="15" max="15"/>
    <col width="34" customWidth="1" min="17" max="17"/>
    <col width="8" customWidth="1" min="18" max="18"/>
    <col width="8" customWidth="1" min="19" max="19"/>
    <col width="8" customWidth="1" min="20" max="20"/>
    <col width="8" customWidth="1" min="21" max="21"/>
  </cols>
  <sheetData>
    <row r="1">
      <c r="A1" s="1" t="inlineStr">
        <is>
          <t>Project Name</t>
        </is>
      </c>
      <c r="B1" s="2" t="inlineStr">
        <is>
          <t>DrugTime</t>
        </is>
      </c>
    </row>
    <row r="2">
      <c r="A2" s="1" t="inlineStr">
        <is>
          <t>Module Name</t>
        </is>
      </c>
      <c r="B2" s="2" t="inlineStr">
        <is>
          <t>Landing page (giao diện mới, iPhone 3D) (LANDING)</t>
        </is>
      </c>
    </row>
    <row r="3">
      <c r="A3" s="1" t="inlineStr">
        <is>
          <t>Created By</t>
        </is>
      </c>
      <c r="B3" s="2" t="inlineStr">
        <is>
          <t>zannguyen</t>
        </is>
      </c>
    </row>
    <row r="4">
      <c r="A4" s="1" t="inlineStr">
        <is>
          <t>Creation Date</t>
        </is>
      </c>
      <c r="B4" s="21" t="n">
        <v>46312</v>
      </c>
    </row>
    <row r="5">
      <c r="A5" s="1" t="inlineStr">
        <is>
          <t>Reviewed By</t>
        </is>
      </c>
      <c r="B5" s="2" t="inlineStr"/>
    </row>
    <row r="6">
      <c r="A6" s="1" t="inlineStr">
        <is>
          <t>Reviewed Date</t>
        </is>
      </c>
      <c r="B6" s="2" t="n"/>
    </row>
    <row r="7">
      <c r="K7" s="4" t="inlineStr">
        <is>
          <t>Equivalence Partitioning</t>
        </is>
      </c>
      <c r="Q7" s="4" t="inlineStr">
        <is>
          <t>Có tải iPhone 3D (shouldLoad3D)?</t>
        </is>
      </c>
    </row>
    <row r="8">
      <c r="A8" s="1" t="inlineStr">
        <is>
          <t>Test Case ID</t>
        </is>
      </c>
      <c r="B8" s="1" t="inlineStr">
        <is>
          <t>Description</t>
        </is>
      </c>
      <c r="C8" s="1" t="inlineStr">
        <is>
          <t>Precondition</t>
        </is>
      </c>
      <c r="D8" s="1" t="inlineStr">
        <is>
          <t>Test Steps</t>
        </is>
      </c>
      <c r="E8" s="1" t="inlineStr">
        <is>
          <t>Test Data</t>
        </is>
      </c>
      <c r="F8" s="1" t="inlineStr">
        <is>
          <t>Expected Result</t>
        </is>
      </c>
      <c r="G8" s="1" t="inlineStr">
        <is>
          <t>Actual Result</t>
        </is>
      </c>
      <c r="H8" s="1" t="inlineStr">
        <is>
          <t>Status</t>
        </is>
      </c>
      <c r="I8" s="1" t="inlineStr">
        <is>
          <t>Comments(if any)</t>
        </is>
      </c>
      <c r="K8" s="5" t="inlineStr">
        <is>
          <t>Field</t>
        </is>
      </c>
      <c r="L8" s="5" t="inlineStr">
        <is>
          <t>Valid</t>
        </is>
      </c>
      <c r="M8" s="5" t="inlineStr">
        <is>
          <t>Num</t>
        </is>
      </c>
      <c r="N8" s="5" t="inlineStr">
        <is>
          <t>Invalid</t>
        </is>
      </c>
      <c r="O8" s="5" t="inlineStr">
        <is>
          <t>Num</t>
        </is>
      </c>
      <c r="Q8" s="6" t="inlineStr">
        <is>
          <t>Rule</t>
        </is>
      </c>
      <c r="R8" s="5" t="inlineStr">
        <is>
          <t>R1</t>
        </is>
      </c>
      <c r="S8" s="5" t="inlineStr">
        <is>
          <t>R2</t>
        </is>
      </c>
      <c r="T8" s="5" t="inlineStr">
        <is>
          <t>R3</t>
        </is>
      </c>
      <c r="U8" s="5" t="inlineStr">
        <is>
          <t>R4</t>
        </is>
      </c>
    </row>
    <row r="9" ht="107" customHeight="1">
      <c r="A9" s="7" t="inlineStr">
        <is>
          <t>TC-LANDING-01</t>
        </is>
      </c>
      <c r="B9" s="7" t="inlineStr">
        <is>
          <t>Tải iPhone 3D trên desktop sau khi nội dung chính hiển thị</t>
        </is>
      </c>
      <c r="C9" s="8" t="inlineStr">
        <is>
          <t>Bản build production chạy ở http://localhost:3100; trình duyệt 1440×900, prefers-reduced-motion: no-preference</t>
        </is>
      </c>
      <c r="D9" s="8" t="inlineStr">
        <is>
          <t>1. Mở /
2. Đợi hero xong (phone3d--ready)
3. Đọc thời điểm LCP và thời điểm request đầu tiên tới spline.design</t>
        </is>
      </c>
      <c r="E9" s="8" t="inlineStr">
        <is>
          <t>Viewport 1440×900</t>
        </is>
      </c>
      <c r="F9" s="8" t="inlineStr">
        <is>
          <t>Request Spline bắt đầu sau LCP; phần tử LCP là ảnh tĩnh, không phải canvas</t>
        </is>
      </c>
      <c r="G9" s="8" t="inlineStr">
        <is>
          <t>LCP 1208 ms (IMG ảnh điện thoại), request Spline đầu tiên 1278 ms, trạng thái phone3d--ready</t>
        </is>
      </c>
      <c r="H9" s="7" t="inlineStr">
        <is>
          <t>Pass</t>
        </is>
      </c>
      <c r="I9" s="8" t="inlineStr">
        <is>
          <t>AC1 · EP (1,4,9) · Decision Table (R1) · acceptance.mjs · evidence/test-acceptance-gpu.log</t>
        </is>
      </c>
      <c r="K9" s="9" t="inlineStr">
        <is>
          <t>Độ rộng màn hình</t>
        </is>
      </c>
      <c r="L9" s="10" t="inlineStr">
        <is>
          <t>≥ 1024 px (desktop: tải iPhone 3D, pin scroll-story)
768–1023 px (tablet: ảnh tĩnh, thẻ xếp dọc)
&lt; 768 px (mobile: ảnh tĩnh, hàng icon dưới điện thoại)</t>
        </is>
      </c>
      <c r="M9" s="10" t="inlineStr">
        <is>
          <t>1
2
3</t>
        </is>
      </c>
      <c r="N9" s="10" t="inlineStr"/>
      <c r="O9" s="10" t="inlineStr"/>
      <c r="Q9" s="10" t="inlineStr">
        <is>
          <t>Rộng ≥ 1024 px?</t>
        </is>
      </c>
      <c r="R9" s="11" t="inlineStr">
        <is>
          <t>Yes</t>
        </is>
      </c>
      <c r="S9" s="11" t="inlineStr">
        <is>
          <t>No</t>
        </is>
      </c>
      <c r="T9" s="11" t="inlineStr">
        <is>
          <t>Yes</t>
        </is>
      </c>
      <c r="U9" s="11" t="inlineStr">
        <is>
          <t>Yes</t>
        </is>
      </c>
    </row>
    <row r="10" ht="57.5" customHeight="1">
      <c r="A10" s="7" t="inlineStr">
        <is>
          <t>TC-LANDING-02</t>
        </is>
      </c>
      <c r="B10" s="7" t="inlineStr">
        <is>
          <t>Kiểm không nhảy layout khi scene 3D crossfade lên ảnh tĩnh</t>
        </is>
      </c>
      <c r="C10" s="8" t="inlineStr">
        <is>
          <t>Như TC-LANDING-01</t>
        </is>
      </c>
      <c r="D10" s="8" t="inlineStr">
        <is>
          <t>1. Mở /
2. Đợi scene sẵn sàng + 4 s
3. Đọc tổng layout-shift (CLS)</t>
        </is>
      </c>
      <c r="E10" s="8" t="inlineStr">
        <is>
          <t>Viewport 1440×900</t>
        </is>
      </c>
      <c r="F10" s="8" t="inlineStr">
        <is>
          <t>CLS &lt; 0.1</t>
        </is>
      </c>
      <c r="G10" s="8" t="inlineStr">
        <is>
          <t>CLS = 0</t>
        </is>
      </c>
      <c r="H10" s="7" t="inlineStr">
        <is>
          <t>Pass</t>
        </is>
      </c>
      <c r="I10" s="8" t="inlineStr">
        <is>
          <t>AC1 · acceptance.mjs · evidence/test-acceptance-gpu.log</t>
        </is>
      </c>
      <c r="K10" s="9" t="inlineStr">
        <is>
          <t>prefers-reduced-motion</t>
        </is>
      </c>
      <c r="L10" s="10" t="inlineStr">
        <is>
          <t>no-preference (đủ hiệu ứng)
reduce (không animation, nội dung ở trạng thái cuối)</t>
        </is>
      </c>
      <c r="M10" s="10" t="inlineStr">
        <is>
          <t>4
5</t>
        </is>
      </c>
      <c r="N10" s="10" t="inlineStr"/>
      <c r="O10" s="10" t="inlineStr"/>
      <c r="Q10" s="10" t="inlineStr">
        <is>
          <t>prefers-reduced-motion: reduce?</t>
        </is>
      </c>
      <c r="R10" s="11" t="inlineStr">
        <is>
          <t>No</t>
        </is>
      </c>
      <c r="S10" s="11" t="inlineStr">
        <is>
          <t>-</t>
        </is>
      </c>
      <c r="T10" s="11" t="inlineStr">
        <is>
          <t>Yes</t>
        </is>
      </c>
      <c r="U10" s="11" t="inlineStr">
        <is>
          <t>No</t>
        </is>
      </c>
    </row>
    <row r="11" ht="74" customHeight="1">
      <c r="A11" s="7" t="inlineStr">
        <is>
          <t>TC-LANDING-03</t>
        </is>
      </c>
      <c r="B11" s="7" t="inlineStr">
        <is>
          <t>Mở trang trên mobile 375 px</t>
        </is>
      </c>
      <c r="C11" s="8" t="inlineStr">
        <is>
          <t>Bản build production chạy</t>
        </is>
      </c>
      <c r="D11" s="8" t="inlineStr">
        <is>
          <t>1. Đặt viewport 375×812
2. Mở /
3. Đếm request tới spline.design, kiểm cuộn ngang</t>
        </is>
      </c>
      <c r="E11" s="8" t="inlineStr">
        <is>
          <t>Viewport 375×812</t>
        </is>
      </c>
      <c r="F11" s="8" t="inlineStr">
        <is>
          <t>Hero hiện ảnh tĩnh (phone3d--idle), 0 request spline.design, không có thanh cuộn ngang</t>
        </is>
      </c>
      <c r="G11" s="8" t="inlineStr">
        <is>
          <t>phone3d--idle, spline requests: 0, overflowX: false</t>
        </is>
      </c>
      <c r="H11" s="7" t="inlineStr">
        <is>
          <t>Pass</t>
        </is>
      </c>
      <c r="I11" s="8" t="inlineStr">
        <is>
          <t>AC2 · EP (3) · Decision Table (R2) · probe.mjs · evidence/test-probes.log</t>
        </is>
      </c>
      <c r="K11" s="9" t="inlineStr">
        <is>
          <t>Thiết bị trỏ</t>
        </is>
      </c>
      <c r="L11" s="10" t="inlineStr">
        <is>
          <t>Chuột (hover: hover, pointer: fine)
Cảm ứng (hover: none)
Bàn phím</t>
        </is>
      </c>
      <c r="M11" s="10" t="inlineStr">
        <is>
          <t>6
7
8</t>
        </is>
      </c>
      <c r="N11" s="10" t="inlineStr"/>
      <c r="O11" s="10" t="inlineStr"/>
      <c r="Q11" s="10" t="inlineStr">
        <is>
          <t>Data saver bật?</t>
        </is>
      </c>
      <c r="R11" s="11" t="inlineStr">
        <is>
          <t>No</t>
        </is>
      </c>
      <c r="S11" s="11" t="inlineStr">
        <is>
          <t>-</t>
        </is>
      </c>
      <c r="T11" s="11" t="inlineStr">
        <is>
          <t>-</t>
        </is>
      </c>
      <c r="U11" s="11" t="inlineStr">
        <is>
          <t>Yes</t>
        </is>
      </c>
    </row>
    <row r="12" ht="74" customHeight="1">
      <c r="A12" s="7" t="inlineStr">
        <is>
          <t>TC-LANDING-04</t>
        </is>
      </c>
      <c r="B12" s="7" t="inlineStr">
        <is>
          <t>Kiểm biên độ rộng 1023 / 1024 px cho việc tải 3D</t>
        </is>
      </c>
      <c r="C12" s="8" t="inlineStr">
        <is>
          <t>Bộ unit test landing</t>
        </is>
      </c>
      <c r="D12" s="8" t="inlineStr">
        <is>
          <t>1. Chạy npm test trong frontend/landing
2. Xem các ca shouldLoad3D: biên 1023/1024, reduced motion, data saver</t>
        </is>
      </c>
      <c r="E12" s="8" t="inlineStr">
        <is>
          <t>width = 1023 / 1024; reducedMotion = true; saveData = true</t>
        </is>
      </c>
      <c r="F12" s="8" t="inlineStr">
        <is>
          <t>1023 → không tải; 1024 → tải; reduce → không tải; data saver → không tải</t>
        </is>
      </c>
      <c r="G12" s="8" t="inlineStr">
        <is>
          <t>18/18 test pass, gồm các ca biên 1023/1024, reduced motion, data saver</t>
        </is>
      </c>
      <c r="H12" s="7" t="inlineStr">
        <is>
          <t>Pass</t>
        </is>
      </c>
      <c r="I12" s="8" t="inlineStr">
        <is>
          <t>AC1, AC2, AC3 · BVA (max, max+1) · Decision Table (R2, R3, R4) · capabilities.test.ts · evidence/test-static.log</t>
        </is>
      </c>
      <c r="K12" s="9" t="inlineStr">
        <is>
          <t>Tài nguyên Spline</t>
        </is>
      </c>
      <c r="L12" s="10" t="inlineStr">
        <is>
          <t>Tải được</t>
        </is>
      </c>
      <c r="M12" s="10" t="inlineStr">
        <is>
          <t>9</t>
        </is>
      </c>
      <c r="N12" s="10" t="inlineStr">
        <is>
          <t>Bị chặn / lỗi mạng
Quá 12 s chưa sẵn sàng</t>
        </is>
      </c>
      <c r="O12" s="10" t="inlineStr">
        <is>
          <t>10
11</t>
        </is>
      </c>
      <c r="Q12" s="6" t="inlineStr">
        <is>
          <t>Action</t>
        </is>
      </c>
      <c r="R12" s="5" t="inlineStr">
        <is>
          <t>R1</t>
        </is>
      </c>
      <c r="S12" s="5" t="inlineStr">
        <is>
          <t>R2</t>
        </is>
      </c>
      <c r="T12" s="5" t="inlineStr">
        <is>
          <t>R3</t>
        </is>
      </c>
      <c r="U12" s="5" t="inlineStr">
        <is>
          <t>R4</t>
        </is>
      </c>
    </row>
    <row r="13" ht="57.5" customHeight="1">
      <c r="A13" s="7" t="inlineStr">
        <is>
          <t>TC-LANDING-05</t>
        </is>
      </c>
      <c r="B13" s="7" t="inlineStr">
        <is>
          <t>Mở trang trên tablet 768 px</t>
        </is>
      </c>
      <c r="C13" s="8" t="inlineStr">
        <is>
          <t>Bản build production chạy</t>
        </is>
      </c>
      <c r="D13" s="8" t="inlineStr">
        <is>
          <t>1. Đặt viewport 768×1024
2. Mở /
3. Đếm request spline.design, kiểm cuộn ngang</t>
        </is>
      </c>
      <c r="E13" s="8" t="inlineStr">
        <is>
          <t>Viewport 768×1024</t>
        </is>
      </c>
      <c r="F13" s="8" t="inlineStr">
        <is>
          <t>Ảnh tĩnh, 0 request spline.design, không cuộn ngang, scroll-story không pin</t>
        </is>
      </c>
      <c r="G13" s="8" t="inlineStr">
        <is>
          <t>phone3d--idle, spline requests: 0, overflowX: false, story không is-pinned</t>
        </is>
      </c>
      <c r="H13" s="7" t="inlineStr">
        <is>
          <t>Pass</t>
        </is>
      </c>
      <c r="I13" s="8" t="inlineStr">
        <is>
          <t>AC2 · EP (2) · probe.mjs · evidence/test-probes.log</t>
        </is>
      </c>
      <c r="Q13" s="10" t="inlineStr">
        <is>
          <t>Tải Spline sau LCP, crossfade lên ảnh tĩnh</t>
        </is>
      </c>
      <c r="R13" s="11" t="inlineStr">
        <is>
          <t>X</t>
        </is>
      </c>
      <c r="S13" s="11" t="inlineStr"/>
      <c r="T13" s="11" t="inlineStr"/>
      <c r="U13" s="11" t="inlineStr"/>
    </row>
    <row r="14" ht="74" customHeight="1">
      <c r="A14" s="7" t="inlineStr">
        <is>
          <t>TC-LANDING-06</t>
        </is>
      </c>
      <c r="B14" s="7" t="inlineStr">
        <is>
          <t>Duyệt trang khi bật giảm chuyển động</t>
        </is>
      </c>
      <c r="C14" s="8" t="inlineStr">
        <is>
          <t>prefers-reduced-motion: reduce</t>
        </is>
      </c>
      <c r="D14" s="8" t="inlineStr">
        <is>
          <t>1. Mở / ở 1440×900
2. Chụp toàn trang
3. Đếm phần tử data-reveal còn ẩn, kiểm pin và Spline</t>
        </is>
      </c>
      <c r="E14" s="8" t="inlineStr">
        <is>
          <t>prefers-reduced-motion: reduce</t>
        </is>
      </c>
      <c r="F14" s="8" t="inlineStr">
        <is>
          <t>Không pin / scrub / tải 3D; mọi nội dung hiện ở trạng thái cuối</t>
        </is>
      </c>
      <c r="G14" s="8" t="inlineStr">
        <is>
          <t>hiddenReveals 0/23, story không pin, phone3d--idle, 0 request Spline</t>
        </is>
      </c>
      <c r="H14" s="7" t="inlineStr">
        <is>
          <t>Pass</t>
        </is>
      </c>
      <c r="I14" s="8" t="inlineStr">
        <is>
          <t>AC3 · EP (5) · Decision Table (R3) · probe.mjs · evidence/test-probes.log</t>
        </is>
      </c>
      <c r="Q14" s="10" t="inlineStr">
        <is>
          <t>Giữ ảnh tĩnh, không request spline.design</t>
        </is>
      </c>
      <c r="R14" s="11" t="inlineStr"/>
      <c r="S14" s="11" t="inlineStr">
        <is>
          <t>X</t>
        </is>
      </c>
      <c r="T14" s="11" t="inlineStr">
        <is>
          <t>X</t>
        </is>
      </c>
      <c r="U14" s="11" t="inlineStr">
        <is>
          <t>X</t>
        </is>
      </c>
    </row>
    <row r="15" ht="41" customHeight="1">
      <c r="A15" s="7" t="inlineStr">
        <is>
          <t>TC-LANDING-07</t>
        </is>
      </c>
      <c r="B15" s="7" t="inlineStr">
        <is>
          <t>Đếm số từ hiển thị trong main của trang chủ</t>
        </is>
      </c>
      <c r="C15" s="8" t="inlineStr">
        <is>
          <t>Bản build production; mốc 911 từ (giai đoạn plan)</t>
        </is>
      </c>
      <c r="D15" s="8" t="inlineStr">
        <is>
          <t>1. Chạy count_words.py trên .next/server/app/index.html</t>
        </is>
      </c>
      <c r="E15" s="8" t="inlineStr">
        <is>
          <t>Ngưỡng ≤ 774 từ (giảm ≥ 15%)</t>
        </is>
      </c>
      <c r="F15" s="8" t="inlineStr">
        <is>
          <t>≤ 774 từ</t>
        </is>
      </c>
      <c r="G15" s="8" t="inlineStr">
        <is>
          <t>750 từ (giảm 17,7%)</t>
        </is>
      </c>
      <c r="H15" s="7" t="inlineStr">
        <is>
          <t>Pass</t>
        </is>
      </c>
      <c r="I15" s="8" t="inlineStr">
        <is>
          <t>AC4 · BVA (max) · evidence/test-static.log</t>
        </is>
      </c>
    </row>
    <row r="16" ht="74" customHeight="1">
      <c r="A16" s="7" t="inlineStr">
        <is>
          <t>TC-LANDING-08</t>
        </is>
      </c>
      <c r="B16" s="7" t="inlineStr">
        <is>
          <t>Cuộn qua section tính năng trên desktop</t>
        </is>
      </c>
      <c r="C16" s="8" t="inlineStr">
        <is>
          <t>1440×900, no-preference</t>
        </is>
      </c>
      <c r="D16" s="8" t="inlineStr">
        <is>
          <t>1. Cuộn tới #tinh-nang
2. Cuộn tiếp từng bước qua toàn bộ đoạn pin
3. Ghi chương đang hiện và chấm tiến độ ở mỗi bước</t>
        </is>
      </c>
      <c r="E16" s="8" t="inlineStr">
        <is>
          <t>13 điểm cuộn đều trên đoạn pin</t>
        </is>
      </c>
      <c r="F16" s="8" t="inlineStr">
        <is>
          <t>Section được ghim; chương hiện lần lượt 1→4, chấm tiến độ khớp</t>
        </is>
      </c>
      <c r="G16" s="8" t="inlineStr">
        <is>
          <t>chapters [0,1,2,3], dots [0,1,2,3], pinned true</t>
        </is>
      </c>
      <c r="H16" s="7" t="inlineStr">
        <is>
          <t>Pass</t>
        </is>
      </c>
      <c r="I16" s="8" t="inlineStr">
        <is>
          <t>AC5 · acceptance.mjs · evidence/test-acceptance-gpu.log</t>
        </is>
      </c>
    </row>
    <row r="17" ht="57.5" customHeight="1">
      <c r="A17" s="7" t="inlineStr">
        <is>
          <t>TC-LANDING-09</t>
        </is>
      </c>
      <c r="B17" s="7" t="inlineStr">
        <is>
          <t>Kiểm giới hạn chữ của 4 chương tính năng</t>
        </is>
      </c>
      <c r="C17" s="8" t="inlineStr">
        <is>
          <t>Trang chủ đã tải</t>
        </is>
      </c>
      <c r="D17" s="8" t="inlineStr">
        <is>
          <t>1. Đếm từ tiêu đề và mô tả từng chương</t>
        </is>
      </c>
      <c r="E17" s="8" t="inlineStr">
        <is>
          <t>Tiêu đề ≤ 6 từ, mô tả ≤ 20 từ</t>
        </is>
      </c>
      <c r="F17" s="8" t="inlineStr">
        <is>
          <t>Mọi chương trong giới hạn</t>
        </is>
      </c>
      <c r="G17" s="8" t="inlineStr">
        <is>
          <t>Tiêu đề 6/5/5/5 từ, mô tả 12/15/15/16 từ</t>
        </is>
      </c>
      <c r="H17" s="7" t="inlineStr">
        <is>
          <t>Pass</t>
        </is>
      </c>
      <c r="I17" s="8" t="inlineStr">
        <is>
          <t>AC5 · BVA (max) · acceptance.mjs · evidence/test-acceptance-gpu.log</t>
        </is>
      </c>
    </row>
    <row r="18" ht="123.5" customHeight="1">
      <c r="A18" s="7" t="inlineStr">
        <is>
          <t>TC-LANDING-10</t>
        </is>
      </c>
      <c r="B18" s="7" t="inlineStr">
        <is>
          <t>Kiểm nội dung bắt buộc vẫn có trên trang</t>
        </is>
      </c>
      <c r="C18" s="8" t="inlineStr">
        <is>
          <t>Trang chủ đã tải</t>
        </is>
      </c>
      <c r="D18" s="8" t="inlineStr">
        <is>
          <t>1. Kiểm khối 'Lưu ý y khoa bắt buộc', link tel:115
2. Kiểm câu FAQ 'DrugTime có thay bác sĩ không?' trả lời 'Không.'
3. Kiểm 'Dược thư Quốc gia', '5948/QĐ-BYT', 4 FAQ, 2 nút store ở CTA, 3 link pháp lý, 5 anchor</t>
        </is>
      </c>
      <c r="E18" s="8" t="inlineStr">
        <is>
          <t>#tinh-nang, #cach-hoat-dong, #an-toan, #hoi-dap, #tai-app</t>
        </is>
      </c>
      <c r="F18" s="8" t="inlineStr">
        <is>
          <t>Đủ tất cả mục</t>
        </is>
      </c>
      <c r="G18" s="8" t="inlineStr">
        <is>
          <t>Đủ: medicalNote, tel115, notReplaceDoctor, duocThu, qd5948, faqCount 4, storeButtons 2, 3 link pháp lý, 5 anchor</t>
        </is>
      </c>
      <c r="H18" s="7" t="inlineStr">
        <is>
          <t>Pass</t>
        </is>
      </c>
      <c r="I18" s="8" t="inlineStr">
        <is>
          <t>AC6 · acceptance.mjs · evidence/test-acceptance-gpu.log</t>
        </is>
      </c>
    </row>
    <row r="19" ht="57.5" customHeight="1">
      <c r="A19" s="7" t="inlineStr">
        <is>
          <t>TC-LANDING-11</t>
        </is>
      </c>
      <c r="B19" s="7" t="inlineStr">
        <is>
          <t>Bấm link navbar từ trang con /terms</t>
        </is>
      </c>
      <c r="C19" s="8" t="inlineStr">
        <is>
          <t>Đang ở /terms</t>
        </is>
      </c>
      <c r="D19" s="8" t="inlineStr">
        <is>
          <t>1. Bấm 'Cách hoạt động' trên navbar
2. Lặp lại với 'An toàn'; và 'Hỏi đáp' từ /</t>
        </is>
      </c>
      <c r="E19" s="8" t="inlineStr">
        <is>
          <t>/terms → /#cach-hoat-dong, /terms → /#an-toan, / → /#hoi-dap</t>
        </is>
      </c>
      <c r="F19" s="8" t="inlineStr">
        <is>
          <t>Chuyển về trang chủ, section nằm ngay dưới navbar</t>
        </is>
      </c>
      <c r="G19" s="8" t="inlineStr">
        <is>
          <t>URL đúng hash, section top = 96 px ở cả 3 lần</t>
        </is>
      </c>
      <c r="H19" s="7" t="inlineStr">
        <is>
          <t>Pass</t>
        </is>
      </c>
      <c r="I19" s="8" t="inlineStr">
        <is>
          <t>AC6 · acceptance.mjs · evidence/test-acceptance-gpu.log</t>
        </is>
      </c>
    </row>
    <row r="20" ht="57.5" customHeight="1">
      <c r="A20" s="7" t="inlineStr">
        <is>
          <t>TC-LANDING-12</t>
        </is>
      </c>
      <c r="B20" s="7" t="inlineStr">
        <is>
          <t>Chấm Lighthouse Accessibility desktop và mobile</t>
        </is>
      </c>
      <c r="C20" s="8" t="inlineStr">
        <is>
          <t>Bản build production; Lighthouse 12; --force-prefers-no-reduced-motion</t>
        </is>
      </c>
      <c r="D20" s="8" t="inlineStr">
        <is>
          <t>1. Chạy lighthouse mobile (mặc định)
2. Chạy lighthouse --preset=desktop</t>
        </is>
      </c>
      <c r="E20" s="8" t="inlineStr">
        <is>
          <t>Ngưỡng ≥ 95</t>
        </is>
      </c>
      <c r="F20" s="8" t="inlineStr">
        <is>
          <t>Accessibility ≥ 95 ở cả hai</t>
        </is>
      </c>
      <c r="G20" s="8" t="inlineStr">
        <is>
          <t>Mobile 100 (5 lần), desktop 100</t>
        </is>
      </c>
      <c r="H20" s="7" t="inlineStr">
        <is>
          <t>Pass</t>
        </is>
      </c>
      <c r="I20" s="8" t="inlineStr">
        <is>
          <t>AC7 · evidence/test-lighthouse-summary.log</t>
        </is>
      </c>
    </row>
    <row r="21" ht="156.5" customHeight="1">
      <c r="A21" s="7" t="inlineStr">
        <is>
          <t>TC-LANDING-13</t>
        </is>
      </c>
      <c r="B21" s="7" t="inlineStr">
        <is>
          <t>Dùng Tab đi qua toàn bộ phần tử tương tác của trang chủ</t>
        </is>
      </c>
      <c r="C21" s="8" t="inlineStr">
        <is>
          <t>1440×900, no-preference, chưa cuộn trang</t>
        </is>
      </c>
      <c r="D21" s="8" t="inlineStr">
        <is>
          <t>1. Nhấn Tab 40 lần từ đầu trang
2. Ghi phần tử nhận focus
3. Kiểm cây truy cập trước khi cuộn</t>
        </is>
      </c>
      <c r="E21" s="8" t="inlineStr">
        <is>
          <t>Bàn phím</t>
        </is>
      </c>
      <c r="F21" s="8" t="inlineStr">
        <is>
          <t>Tab tới được mọi nút / link, gồm 5 thẻ tiện ích, 4 câu FAQ và link 'Cấp cứu 115'; nội dung có trong cây truy cập</t>
        </is>
      </c>
      <c r="G21" s="8" t="inlineStr">
        <is>
          <t>Tab lần lượt qua 5 thẻ tiện ích (17–21), link Cấp cứu 115 (22), thẻ liên hệ, 4 câu FAQ (24–27); 0 lần focus vào iframe/canvas. Trước khi cuộn: các khối có visibility: visible, opacity 0; cây truy cập có "Cấp cứu 115", "Lưu ý y khoa bắt buộc", câu FAQ 1. Focus link 115 → khối lưu ý opacity 0 → 1 (1440 và 390 px). Vòng 1 Fail (BUG-LANDING-13), đã sửa ở implement P22.</t>
        </is>
      </c>
      <c r="H21" s="7" t="inlineStr">
        <is>
          <t>Pass</t>
        </is>
      </c>
      <c r="I21" s="8" t="inlineStr">
        <is>
          <t>AC7 · Đoán lỗi (bàn phím, trình đọc màn hình) · taborder.mjs, hidden-a11y.mjs, focus-reveal.mjs · evidence/test-taborder.log, evidence/test-hidden-a11y.log</t>
        </is>
      </c>
    </row>
    <row r="22" ht="74" customHeight="1">
      <c r="A22" s="7" t="inlineStr">
        <is>
          <t>TC-LANDING-14</t>
        </is>
      </c>
      <c r="B22" s="7" t="inlineStr">
        <is>
          <t>Kiểm tương phản chữ trên trang</t>
        </is>
      </c>
      <c r="C22" s="8" t="inlineStr">
        <is>
          <t>Lighthouse accessibility</t>
        </is>
      </c>
      <c r="D22" s="8" t="inlineStr">
        <is>
          <t>1. Đọc audit color-contrast</t>
        </is>
      </c>
      <c r="E22" s="8" t="inlineStr">
        <is>
          <t>Ngưỡng 4.5:1</t>
        </is>
      </c>
      <c r="F22" s="8" t="inlineStr">
        <is>
          <t>Không phần tử nào dưới 4.5:1</t>
        </is>
      </c>
      <c r="G22" s="8" t="inlineStr">
        <is>
          <t>Lighthouse không còn audit color-contrast lỗi (mobile 5 lần, desktop); nút mock dùng --color-safe-strong. Vòng 1 Fail 3,29:1 (BUG-LANDING-14), đã sửa.</t>
        </is>
      </c>
      <c r="H22" s="7" t="inlineStr">
        <is>
          <t>Pass</t>
        </is>
      </c>
      <c r="I22" s="8" t="inlineStr">
        <is>
          <t>AC7 · evidence/test-lighthouse-summary.log</t>
        </is>
      </c>
    </row>
    <row r="23" ht="74" customHeight="1">
      <c r="A23" s="7" t="inlineStr">
        <is>
          <t>TC-LANDING-15</t>
        </is>
      </c>
      <c r="B23" s="7" t="inlineStr">
        <is>
          <t>Kiểm tên truy cập của nút tải app khớp chữ hiển thị</t>
        </is>
      </c>
      <c r="C23" s="8" t="inlineStr">
        <is>
          <t>Lighthouse accessibility</t>
        </is>
      </c>
      <c r="D23" s="8" t="inlineStr">
        <is>
          <t>1. Đọc audit label-content-name-mismatch</t>
        </is>
      </c>
      <c r="E23" s="8" t="inlineStr">
        <is>
          <t>4 nút App Store / Google Play (hero + CTA)</t>
        </is>
      </c>
      <c r="F23" s="8" t="inlineStr">
        <is>
          <t>Tên truy cập chứa chữ hiển thị</t>
        </is>
      </c>
      <c r="G23" s="8" t="inlineStr">
        <is>
          <t>Lighthouse không còn audit label-content-name-mismatch; nút store không có aria-label, tên truy cập = chữ hiển thị. Vòng 1 Fail (BUG-LANDING-15), đã sửa.</t>
        </is>
      </c>
      <c r="H23" s="7" t="inlineStr">
        <is>
          <t>Pass</t>
        </is>
      </c>
      <c r="I23" s="8" t="inlineStr">
        <is>
          <t>AC7 · WCAG 2.5.3 · evidence/test-lighthouse-summary.log</t>
        </is>
      </c>
    </row>
    <row r="24" ht="57.5" customHeight="1">
      <c r="A24" s="7" t="inlineStr">
        <is>
          <t>TC-LANDING-16</t>
        </is>
      </c>
      <c r="B24" s="7" t="inlineStr">
        <is>
          <t>Kiểm canvas / iframe của Spline không nhận focus</t>
        </is>
      </c>
      <c r="C24" s="8" t="inlineStr">
        <is>
          <t>1440×900, scene 3D đã sẵn sàng</t>
        </is>
      </c>
      <c r="D24" s="8" t="inlineStr">
        <is>
          <t>1. Nhấn Tab 40 lần
2. Đếm lần focus rơi vào IFRAME hoặc CANVAS, đếm phần tử không có outline</t>
        </is>
      </c>
      <c r="E24" s="8" t="inlineStr">
        <is>
          <t>Bàn phím</t>
        </is>
      </c>
      <c r="F24" s="8" t="inlineStr">
        <is>
          <t>0 lần focus vào iframe/canvas; phần tử được focus có outline ≥ 2 px</t>
        </is>
      </c>
      <c r="G24" s="8" t="inlineStr">
        <is>
          <t>iframe/canvas focused: 0; chỉ 1/40 không outline (BODY khi Tab vòng hết trang)</t>
        </is>
      </c>
      <c r="H24" s="7" t="inlineStr">
        <is>
          <t>Pass</t>
        </is>
      </c>
      <c r="I24" s="8" t="inlineStr">
        <is>
          <t>AC7 · taborder.mjs · evidence/test-taborder.log</t>
        </is>
      </c>
    </row>
    <row r="25" ht="90.5" customHeight="1">
      <c r="A25" s="7" t="inlineStr">
        <is>
          <t>TC-LANDING-17</t>
        </is>
      </c>
      <c r="B25" s="7" t="inlineStr">
        <is>
          <t>Chấm Lighthouse Performance mobile</t>
        </is>
      </c>
      <c r="C25" s="8" t="inlineStr">
        <is>
          <t>Bản build production; Lighthouse 12 mobile (giả lập 4G chậm, CPU chậm)</t>
        </is>
      </c>
      <c r="D25" s="8" t="inlineStr">
        <is>
          <t>1. Chạy lighthouse mobile 5 lần
2. Lấy trung vị điểm Performance</t>
        </is>
      </c>
      <c r="E25" s="8" t="inlineStr">
        <is>
          <t>Ngưỡng ≥ 85</t>
        </is>
      </c>
      <c r="F25" s="8" t="inlineStr">
        <is>
          <t>Performance ≥ 85</t>
        </is>
      </c>
      <c r="G25" s="8" t="inlineStr">
        <is>
          <t>86 / 71 / 92 / 93 / 91, trung vị 91; LCP ≈ 3,0–3,5 s; lần 71 có TBT 917 ms (dao động máy). Vòng 1 Fail trung vị 77 (BUG-LANDING-17), đã sửa: GSAP nạp động, favicon 10 KB.</t>
        </is>
      </c>
      <c r="H25" s="7" t="inlineStr">
        <is>
          <t>Pass</t>
        </is>
      </c>
      <c r="I25" s="8" t="inlineStr">
        <is>
          <t>AC8 · evidence/test-lighthouse-summary.log, evidence/test-lighthouse-mobile-run*.json</t>
        </is>
      </c>
    </row>
    <row r="26" ht="41" customHeight="1">
      <c r="A26" s="7" t="inlineStr">
        <is>
          <t>TC-LANDING-18</t>
        </is>
      </c>
      <c r="B26" s="7" t="inlineStr">
        <is>
          <t>Kiểm CLS và phần tử LCP trên mobile</t>
        </is>
      </c>
      <c r="C26" s="8" t="inlineStr">
        <is>
          <t>Lighthouse mobile</t>
        </is>
      </c>
      <c r="D26" s="8" t="inlineStr">
        <is>
          <t>1. Đọc CLS và largest-contentful-paint-element</t>
        </is>
      </c>
      <c r="E26" s="8" t="inlineStr">
        <is>
          <t>CLS &lt; 0.1</t>
        </is>
      </c>
      <c r="F26" s="8" t="inlineStr">
        <is>
          <t>CLS &lt; 0.1; LCP không phải canvas 3D</t>
        </is>
      </c>
      <c r="G26" s="8" t="inlineStr">
        <is>
          <t>CLS 0.005; LCP = img trong .iphone__screen (5 lần chạy mobile)</t>
        </is>
      </c>
      <c r="H26" s="7" t="inlineStr">
        <is>
          <t>Pass</t>
        </is>
      </c>
      <c r="I26" s="8" t="inlineStr">
        <is>
          <t>AC8 · evidence/test-lighthouse-details.log</t>
        </is>
      </c>
    </row>
    <row r="27" ht="74" customHeight="1">
      <c r="A27" s="7" t="inlineStr">
        <is>
          <t>TC-LANDING-19</t>
        </is>
      </c>
      <c r="B27" s="7" t="inlineStr">
        <is>
          <t>Chạy lint, typecheck, unit test và build</t>
        </is>
      </c>
      <c r="C27" s="8" t="inlineStr">
        <is>
          <t>frontend/landing, nhánh zannguyen/feat-update_frontend_landingpage</t>
        </is>
      </c>
      <c r="D27" s="8" t="inlineStr">
        <is>
          <t>1. npm run lint
2. npm run typecheck
3. npm test
4. npm run build (sau khi xóa .next)</t>
        </is>
      </c>
      <c r="E27" s="8" t="inlineStr">
        <is>
          <t>-</t>
        </is>
      </c>
      <c r="F27" s="8" t="inlineStr">
        <is>
          <t>Cả 4 lệnh exit 0</t>
        </is>
      </c>
      <c r="G27" s="8" t="inlineStr">
        <is>
          <t>lint 0, typecheck 0, vitest 18/18, build sạch 0</t>
        </is>
      </c>
      <c r="H27" s="7" t="inlineStr">
        <is>
          <t>Pass</t>
        </is>
      </c>
      <c r="I27" s="8" t="inlineStr">
        <is>
          <t>AC9 · evidence/test-static.log, evidence/test-build.log</t>
        </is>
      </c>
    </row>
    <row r="28" ht="41" customHeight="1">
      <c r="A28" s="7" t="inlineStr">
        <is>
          <t>TC-LANDING-20</t>
        </is>
      </c>
      <c r="B28" s="7" t="inlineStr">
        <is>
          <t>Quét key / token / secret trong mã nguồn landing</t>
        </is>
      </c>
      <c r="C28" s="8" t="inlineStr">
        <is>
          <t>Mã nguồn landing</t>
        </is>
      </c>
      <c r="D28" s="8" t="inlineStr">
        <is>
          <t>1. grep api key, secret, password, bearer, supabase, token= trong app/, components/, lib/</t>
        </is>
      </c>
      <c r="E28" s="8" t="inlineStr">
        <is>
          <t>-</t>
        </is>
      </c>
      <c r="F28" s="8" t="inlineStr">
        <is>
          <t>Không có kết quả</t>
        </is>
      </c>
      <c r="G28" s="8" t="inlineStr">
        <is>
          <t>no matches</t>
        </is>
      </c>
      <c r="H28" s="7" t="inlineStr">
        <is>
          <t>Pass</t>
        </is>
      </c>
      <c r="I28" s="8" t="inlineStr">
        <is>
          <t>AC9 · evidence/test-static.log</t>
        </is>
      </c>
    </row>
    <row r="29" ht="57.5" customHeight="1">
      <c r="A29" s="7" t="inlineStr">
        <is>
          <t>TC-LANDING-21</t>
        </is>
      </c>
      <c r="B29" s="7" t="inlineStr">
        <is>
          <t>Mở trang khi request tới Spline bị chặn</t>
        </is>
      </c>
      <c r="C29" s="8" t="inlineStr">
        <is>
          <t>1440×900; chặn mọi URL chứa spline.design</t>
        </is>
      </c>
      <c r="D29" s="8" t="inlineStr">
        <is>
          <t>1. Mở /
2. Đợi 6 s
3. Kiểm trạng thái hero và layout</t>
        </is>
      </c>
      <c r="E29" s="8" t="inlineStr">
        <is>
          <t>Network request blocking</t>
        </is>
      </c>
      <c r="F29" s="8" t="inlineStr">
        <is>
          <t>Ảnh tĩnh vẫn hiện, không lỗi trắng, section khác hoạt động</t>
        </is>
      </c>
      <c r="G29" s="8" t="inlineStr">
        <is>
          <t>phone3d--failed, ảnh tĩnh giữ nguyên, story vẫn pin, overflowX false; console chỉ có cảnh báo của trang</t>
        </is>
      </c>
      <c r="H29" s="7" t="inlineStr">
        <is>
          <t>Pass</t>
        </is>
      </c>
      <c r="I29" s="8" t="inlineStr">
        <is>
          <t>AC10 · EP (10) · probe.mjs · evidence/test-probes.log</t>
        </is>
      </c>
    </row>
    <row r="30" ht="74" customHeight="1">
      <c r="A30" s="7" t="inlineStr">
        <is>
          <t>TC-LANDING-22</t>
        </is>
      </c>
      <c r="B30" s="7" t="inlineStr">
        <is>
          <t>Rà màu dùng trong CSS</t>
        </is>
      </c>
      <c r="C30" s="8" t="inlineStr">
        <is>
          <t>Mã nguồn landing</t>
        </is>
      </c>
      <c r="D30" s="8" t="inlineStr">
        <is>
          <t>1. grep mã hex / rgb() trong app/styles, globals.css, components
2. Liệt kê chỗ dùng màu safe / caution / danger</t>
        </is>
      </c>
      <c r="E30" s="8" t="inlineStr">
        <is>
          <t>-</t>
        </is>
      </c>
      <c r="F30" s="8" t="inlineStr">
        <is>
          <t>Không màu rời ngoài tokens.css; màu lâm sàng chỉ dùng đúng nghĩa</t>
        </is>
      </c>
      <c r="G30" s="8" t="inlineStr">
        <is>
          <t>Không màu rời; safe = đã uống, caution = cảnh báo tương tác, danger = lỡ liều / lưu ý y khoa / 115</t>
        </is>
      </c>
      <c r="H30" s="7" t="inlineStr">
        <is>
          <t>Pass</t>
        </is>
      </c>
      <c r="I30" s="8" t="inlineStr">
        <is>
          <t>AC11 · evidence/test-static.log</t>
        </is>
      </c>
    </row>
    <row r="31" ht="57.5" customHeight="1">
      <c r="A31" s="7" t="inlineStr">
        <is>
          <t>TC-LANDING-23</t>
        </is>
      </c>
      <c r="B31" s="7" t="inlineStr">
        <is>
          <t>Rê chuột lên thẻ an toàn</t>
        </is>
      </c>
      <c r="C31" s="8" t="inlineStr">
        <is>
          <t>1440×900, chuột</t>
        </is>
      </c>
      <c r="D31" s="8" t="inlineStr">
        <is>
          <t>1. Cuộn tới #an-toan
2. Rê chuột lên góc phải trên của thẻ đầu tiên</t>
        </is>
      </c>
      <c r="E31" s="8" t="inlineStr">
        <is>
          <t>Chuột</t>
        </is>
      </c>
      <c r="F31" s="8" t="inlineStr">
        <is>
          <t>Spotlight theo con trỏ (--mx/--my, ::before opacity 1) và thẻ nghiêng 3D</t>
        </is>
      </c>
      <c r="G31" s="8" t="inlineStr">
        <is>
          <t>--mx 294px, --rx 3.48deg, --ry 5.40deg, transform matrix3d, spotlight opacity 1</t>
        </is>
      </c>
      <c r="H31" s="7" t="inlineStr">
        <is>
          <t>Pass</t>
        </is>
      </c>
      <c r="I31" s="8" t="inlineStr">
        <is>
          <t>AC12 · EP (6) · acceptance.mjs · evidence/test-acceptance-gpu.log</t>
        </is>
      </c>
    </row>
    <row r="32" ht="41" customHeight="1">
      <c r="A32" s="7" t="inlineStr">
        <is>
          <t>TC-LANDING-24</t>
        </is>
      </c>
      <c r="B32" s="7" t="inlineStr">
        <is>
          <t>Rê chuột lên nút App Store ở hero</t>
        </is>
      </c>
      <c r="C32" s="8" t="inlineStr">
        <is>
          <t>1440×900, chuột</t>
        </is>
      </c>
      <c r="D32" s="8" t="inlineStr">
        <is>
          <t>1. Rê chuột tới góc trên phải nút App Store</t>
        </is>
      </c>
      <c r="E32" s="8" t="inlineStr">
        <is>
          <t>Chuột</t>
        </is>
      </c>
      <c r="F32" s="8" t="inlineStr">
        <is>
          <t>Nút bị hút về phía con trỏ (magnetic) và vệt sáng lướt qua</t>
        </is>
      </c>
      <c r="G32" s="8" t="inlineStr">
        <is>
          <t>transform translate(22.1px, -6.7px); ::after chuyển tới translateX dương (204 px)</t>
        </is>
      </c>
      <c r="H32" s="7" t="inlineStr">
        <is>
          <t>Pass</t>
        </is>
      </c>
      <c r="I32" s="8" t="inlineStr">
        <is>
          <t>AC12 · acceptance.mjs · evidence/test-acceptance-gpu.log</t>
        </is>
      </c>
    </row>
    <row r="33" ht="74" customHeight="1">
      <c r="A33" s="7" t="inlineStr">
        <is>
          <t>TC-LANDING-25</t>
        </is>
      </c>
      <c r="B33" s="7" t="inlineStr">
        <is>
          <t>Mở trang trên thiết bị cảm ứng</t>
        </is>
      </c>
      <c r="C33" s="8" t="inlineStr">
        <is>
          <t>Giả lập iPhone 390×844, hasTouch</t>
        </is>
      </c>
      <c r="D33" s="8" t="inlineStr">
        <is>
          <t>1. Mở /
2. Kiểm class motion-hover và transform của thẻ an toàn
3. Chạm nút App Store</t>
        </is>
      </c>
      <c r="E33" s="8" t="inlineStr">
        <is>
          <t>Cảm ứng</t>
        </is>
      </c>
      <c r="F33" s="8" t="inlineStr">
        <is>
          <t>Không bật hiệu ứng hover; nút vẫn bấm được</t>
        </is>
      </c>
      <c r="G33" s="8" t="inlineStr">
        <is>
          <t>motion-hover false, thẻ transform none</t>
        </is>
      </c>
      <c r="H33" s="7" t="inlineStr">
        <is>
          <t>Pass</t>
        </is>
      </c>
      <c r="I33" s="8" t="inlineStr">
        <is>
          <t>AC12 · EP (7) · acceptance.mjs · evidence/test-acceptance-gpu.log</t>
        </is>
      </c>
    </row>
    <row r="34" ht="57.5" customHeight="1">
      <c r="A34" s="7" t="inlineStr">
        <is>
          <t>TC-LANDING-26</t>
        </is>
      </c>
      <c r="B34" s="7" t="inlineStr">
        <is>
          <t>Cuộn hết trang và đo khung hình</t>
        </is>
      </c>
      <c r="C34" s="8" t="inlineStr">
        <is>
          <t>1440×900, GPU thật (Intel Iris Xe, D3D11), scene 3D sẵn sàng</t>
        </is>
      </c>
      <c r="D34" s="8" t="inlineStr">
        <is>
          <t>1. Cuộn từ đầu tới cuối trang mỗi khung 28 px
2. Đếm requestAnimationFrame và long task</t>
        </is>
      </c>
      <c r="E34" s="8" t="inlineStr">
        <is>
          <t>-</t>
        </is>
      </c>
      <c r="F34" s="8" t="inlineStr">
        <is>
          <t>FPS trung bình ≥ 55; không long task &gt; 100 ms</t>
        </is>
      </c>
      <c r="G34" s="8" t="inlineStr">
        <is>
          <t>59,7 FPS (3157 khung / 52,9 s); 0 long task</t>
        </is>
      </c>
      <c r="H34" s="7" t="inlineStr">
        <is>
          <t>Pass</t>
        </is>
      </c>
      <c r="I34" s="8" t="inlineStr">
        <is>
          <t>AC13 · acceptance.mjs · evidence/test-acceptance-gpu.log</t>
        </is>
      </c>
    </row>
    <row r="35" ht="74" customHeight="1">
      <c r="A35" s="7" t="inlineStr">
        <is>
          <t>TC-LANDING-27</t>
        </is>
      </c>
      <c r="B35" s="7" t="inlineStr">
        <is>
          <t>Kiểm scene 3D dừng vẽ khi khuất màn hình và khi tab ẩn</t>
        </is>
      </c>
      <c r="C35" s="8" t="inlineStr">
        <is>
          <t>1440×900, đếm GPUQueue.submit + WebGL draw</t>
        </is>
      </c>
      <c r="D35" s="8" t="inlineStr">
        <is>
          <t>1. Rê chuột trên điện thoại 2 s, đếm lệnh vẽ
2. Cuộn xuống cuối trang 2 s, đếm
3. Về đầu trang, giả lập tab ẩn (visibilitychange), đếm 2 s</t>
        </is>
      </c>
      <c r="E35" s="8" t="inlineStr">
        <is>
          <t>-</t>
        </is>
      </c>
      <c r="F35" s="8" t="inlineStr">
        <is>
          <t>Có lệnh vẽ khi hiển thị; 0 khi khuất; 0 khi tab ẩn</t>
        </is>
      </c>
      <c r="G35" s="8" t="inlineStr">
        <is>
          <t>visibleDraws 2093, offscreenDraws 0, hiddenDraws 0</t>
        </is>
      </c>
      <c r="H35" s="7" t="inlineStr">
        <is>
          <t>Pass</t>
        </is>
      </c>
      <c r="I35" s="8" t="inlineStr">
        <is>
          <t>AC13 · acceptance.mjs · evidence/test-acceptance-gpu.log</t>
        </is>
      </c>
    </row>
    <row r="36" ht="90.5" customHeight="1">
      <c r="A36" s="7" t="inlineStr">
        <is>
          <t>TC-LANDING-28</t>
        </is>
      </c>
      <c r="B36" s="7" t="inlineStr">
        <is>
          <t>Mở icon tính năng quanh iPhone bằng chuột, bàn phím và chạm</t>
        </is>
      </c>
      <c r="C36" s="8" t="inlineStr">
        <is>
          <t>1440×900 (chuột, bàn phím); 375×812 cảm ứng</t>
        </is>
      </c>
      <c r="D36" s="8" t="inlineStr">
        <is>
          <t>1. Rê chuột lên icon 1, rồi icon 6, rồi ra ngoài
2. Tab tới icon 1, nhấn Escape
3. Ở 375 px chạm icon 3, rồi chạm ngoài</t>
        </is>
      </c>
      <c r="E36" s="8" t="inlineStr">
        <is>
          <t>Chuột / Tab / chạm</t>
        </is>
      </c>
      <c r="F36" s="8" t="inlineStr">
        <is>
          <t>Mỗi lần chỉ một icon mở (aria-expanded=true) và hiện tên + mô tả; rời chuột / Escape / chạm ngoài thì đóng; 375 px không cuộn ngang</t>
        </is>
      </c>
      <c r="G36" s="8" t="inlineStr">
        <is>
          <t>Hover icon 0 → chỉ icon 0 mở (rộng 253 px); hover icon 5 → chỉ icon 5; rời chuột → đóng; Tab → icon 0 mở; Escape → đóng; chạm icon 2 → mở; chạm ngoài → đóng; overflow false</t>
        </is>
      </c>
      <c r="H36" s="7" t="inlineStr">
        <is>
          <t>Pass</t>
        </is>
      </c>
      <c r="I36" s="8" t="inlineStr">
        <is>
          <t>AC14 · EP (6,7,8) · orbit-probe.mjs · evidence/test-probes.log</t>
        </is>
      </c>
    </row>
    <row r="37" ht="41" customHeight="1">
      <c r="A37" s="7" t="inlineStr">
        <is>
          <t>TC-LANDING-29</t>
        </is>
      </c>
      <c r="B37" s="7" t="inlineStr">
        <is>
          <t>Mở icon tính năng khi bật giảm chuyển động</t>
        </is>
      </c>
      <c r="C37" s="8" t="inlineStr">
        <is>
          <t>prefers-reduced-motion: reduce, 1440×900</t>
        </is>
      </c>
      <c r="D37" s="8" t="inlineStr">
        <is>
          <t>1. Rê chuột lên icon 2
2. Đọc animation-name của nút</t>
        </is>
      </c>
      <c r="E37" s="8" t="inlineStr">
        <is>
          <t>reduce</t>
        </is>
      </c>
      <c r="F37" s="8" t="inlineStr">
        <is>
          <t>Icon vẫn mở, không có animation bồng bềnh</t>
        </is>
      </c>
      <c r="G37" s="8" t="inlineStr">
        <is>
          <t>icon 1 aria-expanded true; animation none</t>
        </is>
      </c>
      <c r="H37" s="7" t="inlineStr">
        <is>
          <t>Pass</t>
        </is>
      </c>
      <c r="I37" s="8" t="inlineStr">
        <is>
          <t>AC14, AC3 · orbit-probe.mjs · evidence/test-probes.log</t>
        </is>
      </c>
    </row>
    <row r="38" ht="74" customHeight="1">
      <c r="A38" s="7" t="inlineStr">
        <is>
          <t>TC-LANDING-30</t>
        </is>
      </c>
      <c r="B38" s="7" t="inlineStr">
        <is>
          <t>Đổi thẻ đang mở trong section 'Còn nhiều hơn thế'</t>
        </is>
      </c>
      <c r="C38" s="8" t="inlineStr">
        <is>
          <t>1440×900 chuột; 375 px mobile</t>
        </is>
      </c>
      <c r="D38" s="8" t="inlineStr">
        <is>
          <t>1. Rê chuột lên thẻ thứ 4
2. Ở mobile, kiểm trạng thái 5 thẻ</t>
        </is>
      </c>
      <c r="E38" s="8" t="inlineStr">
        <is>
          <t>5 thẻ: Báo cáo tuân thủ, Gợi ý món ăn hợp thuốc, Theo dõi nhiều người thân, Chế độ đơn giản, Tra cứu thuốc</t>
        </is>
      </c>
      <c r="F38" s="8" t="inlineStr">
        <is>
          <t>Desktop: chỉ thẻ được rê mở; mobile: cả 5 thẻ mở</t>
        </is>
      </c>
      <c r="G38" s="8" t="inlineStr">
        <is>
          <t>Desktop [false,false,false,true,false]; mobile [true,true,true,true,true]</t>
        </is>
      </c>
      <c r="H38" s="7" t="inlineStr">
        <is>
          <t>Pass</t>
        </is>
      </c>
      <c r="I38" s="8" t="inlineStr">
        <is>
          <t>AC15 · orbit-probe.mjs · evidence/test-probes.log</t>
        </is>
      </c>
    </row>
    <row r="39" ht="90.5" customHeight="1">
      <c r="A39" s="7" t="inlineStr">
        <is>
          <t>TC-LANDING-31</t>
        </is>
      </c>
      <c r="B39" s="7" t="inlineStr">
        <is>
          <t>Rà câu chữ icon hero và 5 thẻ mới theo quyết định nghiệp vụ</t>
        </is>
      </c>
      <c r="C39" s="8" t="inlineStr">
        <is>
          <t>Bảng 'Quyết định nghiệp vụ áp dụng' trong 01-requirement</t>
        </is>
      </c>
      <c r="D39" s="8" t="inlineStr">
        <is>
          <t>1. Tìm chữ 'AI' trong FeatureOrbit / MoreFeatures
2. Tìm 'chỉ tham khảo'
3. Tìm con số %
4. Đọc mô tả liên quan người thân</t>
        </is>
      </c>
      <c r="E39" s="8" t="inlineStr">
        <is>
          <t>QD-41, QD-40, QD-42, QD-27/28</t>
        </is>
      </c>
      <c r="F39" s="8" t="inlineStr">
        <is>
          <t>Không 'AI'; có 'chỉ tham khảo'; không con số tuân thủ; người thân được mô tả là xem / nhận báo khi được đồng ý chia sẻ</t>
        </is>
      </c>
      <c r="G39" s="8" t="inlineStr">
        <is>
          <t>Không "AI", có "Chỉ tham khảo" ở cả hai, không %; thẻ: "Xem lịch uống của bố, mẹ khi họ đồng ý chia sẻ."; icon hero: "Báo người nhà khi được chia sẻ". Vòng 1 Fail (BUG-LANDING-31), đã sửa.</t>
        </is>
      </c>
      <c r="H39" s="7" t="inlineStr">
        <is>
          <t>Pass</t>
        </is>
      </c>
      <c r="I39" s="8" t="inlineStr">
        <is>
          <t>AC16 · review nội dung · evidence/test-static.log</t>
        </is>
      </c>
    </row>
    <row r="40" ht="57.5" customHeight="1">
      <c r="A40" s="7" t="inlineStr">
        <is>
          <t>TC-LANDING-32</t>
        </is>
      </c>
      <c r="B40" s="7" t="inlineStr">
        <is>
          <t>Mở trang khi scene Spline treo quá 12 s</t>
        </is>
      </c>
      <c r="C40" s="8" t="inlineStr">
        <is>
          <t>1440×900, no-preference; request scene.splinecode bị giữ 20 s</t>
        </is>
      </c>
      <c r="D40" s="8" t="inlineStr">
        <is>
          <t>1. Mở /
2. Đợi trạng thái phone3d--loading
3. Đợi tới khi hết thời gian chờ</t>
        </is>
      </c>
      <c r="E40" s="8" t="inlineStr">
        <is>
          <t>Độ trễ scene 20 s (ngưỡng 12 s)</t>
        </is>
      </c>
      <c r="F40" s="8" t="inlineStr">
        <is>
          <t>Khoảng 12 s sau khi bắt đầu tải: chuyển phone3d--failed, gỡ canvas, ảnh tĩnh hiện đầy đủ</t>
        </is>
      </c>
      <c r="G40" s="8" t="inlineStr">
        <is>
          <t>failed sau 12 981 ms; canvas đã gỡ; ảnh tĩnh opacity 1</t>
        </is>
      </c>
      <c r="H40" s="7" t="inlineStr">
        <is>
          <t>Pass</t>
        </is>
      </c>
      <c r="I40" s="8" t="inlineStr">
        <is>
          <t>AC10 · EP (11) · BVA (timeout) · timeout.mjs · evidence/test-spline-timeout.log</t>
        </is>
      </c>
    </row>
    <row r="41"/>
    <row r="42"/>
    <row r="43">
      <c r="G43" s="12" t="inlineStr">
        <is>
          <t>Pass</t>
        </is>
      </c>
      <c r="H43" s="13">
        <f>COUNTIF(H9:H40,"Pass")</f>
        <v/>
      </c>
    </row>
    <row r="44">
      <c r="G44" s="12" t="inlineStr">
        <is>
          <t>Fail</t>
        </is>
      </c>
      <c r="H44" s="13">
        <f>COUNTIF(H9:H40,"Fail")</f>
        <v/>
      </c>
    </row>
    <row r="45">
      <c r="G45" s="12" t="inlineStr">
        <is>
          <t>Pending</t>
        </is>
      </c>
      <c r="H45" s="13">
        <f>COUNTIF(H9:H40,"Pending")</f>
        <v/>
      </c>
    </row>
    <row r="46">
      <c r="G46" s="12" t="inlineStr">
        <is>
          <t>Total</t>
        </is>
      </c>
      <c r="H46" s="13">
        <f>SUM(H43:H45)</f>
        <v/>
      </c>
    </row>
  </sheetData>
  <autoFilter ref="A8:I40"/>
  <conditionalFormatting sqref="H9:H40">
    <cfRule type="cellIs" priority="1" operator="equal" dxfId="0">
      <formula>"Fail"</formula>
    </cfRule>
  </conditionalFormatting>
  <dataValidations count="1">
    <dataValidation sqref="H9:H40" showDropDown="0" showInputMessage="0" showErrorMessage="0" allowBlank="0" type="list">
      <formula1>"Pass,Fail,Pending"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22" customWidth="1" min="1" max="1"/>
    <col width="40" customWidth="1" min="2" max="2"/>
    <col width="30" customWidth="1" min="3" max="3"/>
    <col width="24" customWidth="1" min="4" max="4"/>
    <col width="24" customWidth="1" min="5" max="5"/>
    <col width="24" customWidth="1" min="6" max="6"/>
    <col width="14" customWidth="1" min="7" max="7"/>
    <col width="40" customWidth="1" min="8" max="8"/>
    <col width="45" customWidth="1" min="9" max="9"/>
  </cols>
  <sheetData>
    <row r="1">
      <c r="A1" s="14" t="inlineStr">
        <is>
          <t>TEST REPORT</t>
        </is>
      </c>
    </row>
    <row r="2">
      <c r="C2" s="15" t="inlineStr">
        <is>
          <t>zannguyen</t>
        </is>
      </c>
      <c r="D2" s="15" t="inlineStr">
        <is>
          <t>phucnguyenngoc</t>
        </is>
      </c>
      <c r="E2" s="15" t="inlineStr">
        <is>
          <t>Total</t>
        </is>
      </c>
    </row>
    <row r="3">
      <c r="A3" s="15" t="inlineStr">
        <is>
          <t>Executed</t>
        </is>
      </c>
      <c r="B3" s="9" t="inlineStr">
        <is>
          <t>Passed</t>
        </is>
      </c>
      <c r="C3" s="11">
        <f>'Android build'!$H$20+'Đăng nhập người dùng'!$H$59+'Lịch uống thuốc'!$H$51+'Tải lịch uống'!$H$32+'Tương tác thuốc-thuốc'!$H$52+'Tương tác thuốc-thực phẩm'!$H$17+'Tra cứu hoạt chất'!$H$17+'Mã liên kết người thân'!$H$44+'Landing page'!$H$43</f>
        <v/>
      </c>
      <c r="D3" s="11">
        <f>'Chọn thuốc danh mục'!$H$40+'Hồi quy xác nhận liều'!$H$12</f>
        <v/>
      </c>
      <c r="E3" s="15">
        <f>SUM(C3:D3)</f>
        <v/>
      </c>
    </row>
    <row r="4">
      <c r="A4" s="16" t="n"/>
      <c r="B4" s="9" t="inlineStr">
        <is>
          <t>Failed</t>
        </is>
      </c>
      <c r="C4" s="11">
        <f>'Android build'!$H$21+'Đăng nhập người dùng'!$H$60+'Lịch uống thuốc'!$H$52+'Tải lịch uống'!$H$33+'Tương tác thuốc-thuốc'!$H$53+'Tương tác thuốc-thực phẩm'!$H$18+'Tra cứu hoạt chất'!$H$18+'Mã liên kết người thân'!$H$45+'Landing page'!$H$44</f>
        <v/>
      </c>
      <c r="D4" s="11">
        <f>'Chọn thuốc danh mục'!$H$41+'Hồi quy xác nhận liều'!$H$13</f>
        <v/>
      </c>
      <c r="E4" s="15">
        <f>SUM(C4:D4)</f>
        <v/>
      </c>
    </row>
    <row r="5">
      <c r="A5" s="17" t="n"/>
      <c r="B5" s="9" t="inlineStr">
        <is>
          <t>(Total) Test executed (Passed + Failed)</t>
        </is>
      </c>
      <c r="C5" s="11">
        <f>C3+C4</f>
        <v/>
      </c>
      <c r="D5" s="11">
        <f>D3+D4</f>
        <v/>
      </c>
      <c r="E5" s="15">
        <f>SUM(C5:D5)</f>
        <v/>
      </c>
    </row>
    <row r="6">
      <c r="A6" s="15" t="inlineStr">
        <is>
          <t>Pending</t>
        </is>
      </c>
      <c r="B6" s="10" t="inlineStr"/>
      <c r="C6" s="11">
        <f>'Android build'!$H$22+'Đăng nhập người dùng'!$H$61+'Lịch uống thuốc'!$H$53+'Tải lịch uống'!$H$34+'Tương tác thuốc-thuốc'!$H$54+'Tương tác thuốc-thực phẩm'!$H$19+'Tra cứu hoạt chất'!$H$19+'Mã liên kết người thân'!$H$46+'Landing page'!$H$45</f>
        <v/>
      </c>
      <c r="D6" s="11">
        <f>'Chọn thuốc danh mục'!$H$42+'Hồi quy xác nhận liều'!$H$14</f>
        <v/>
      </c>
      <c r="E6" s="15">
        <f>SUM(C6:D6)</f>
        <v/>
      </c>
    </row>
    <row r="7">
      <c r="A7" s="15" t="inlineStr">
        <is>
          <t>(Sub-total) Test Planned</t>
        </is>
      </c>
      <c r="B7" s="10" t="inlineStr"/>
      <c r="C7" s="11">
        <f>C5+C6</f>
        <v/>
      </c>
      <c r="D7" s="11">
        <f>D5+D6</f>
        <v/>
      </c>
      <c r="E7" s="15">
        <f>SUM(C7:D7)</f>
        <v/>
      </c>
    </row>
    <row r="10">
      <c r="A10" s="5" t="inlineStr">
        <is>
          <t>Function</t>
        </is>
      </c>
      <c r="B10" s="5" t="inlineStr">
        <is>
          <t>Description</t>
        </is>
      </c>
      <c r="C10" s="5" t="inlineStr">
        <is>
          <t>Sheet Name</t>
        </is>
      </c>
      <c r="D10" s="5" t="inlineStr">
        <is>
          <t>% TCs Executed</t>
        </is>
      </c>
      <c r="E10" s="5" t="inlineStr">
        <is>
          <t>% TCs Passed</t>
        </is>
      </c>
      <c r="F10" s="5" t="inlineStr">
        <is>
          <t>% TCs Failed</t>
        </is>
      </c>
      <c r="G10" s="5" t="inlineStr">
        <is>
          <t>Priority</t>
        </is>
      </c>
      <c r="H10" s="5" t="inlineStr">
        <is>
          <t>Remarks</t>
        </is>
      </c>
      <c r="I10" s="5" t="inlineStr">
        <is>
          <t>Done by</t>
        </is>
      </c>
    </row>
    <row r="11" ht="156.5" customHeight="1">
      <c r="A11" s="11" t="inlineStr">
        <is>
          <t>Build ứng dụng Android</t>
        </is>
      </c>
      <c r="B11" s="10" t="inlineStr">
        <is>
          <t>Build APK debug của Mobile App từ nhánh main (cấu hình Gradle, desugaring, plugin native) và bước build trong CI</t>
        </is>
      </c>
      <c r="C11" s="11" t="inlineStr">
        <is>
          <t>Android build</t>
        </is>
      </c>
      <c r="D11" s="18">
        <f>IFERROR(('Android build'!$H$23-'Android build'!$H$22)/'Android build'!$H$23,0)</f>
        <v/>
      </c>
      <c r="E11" s="18">
        <f>IFERROR('Android build'!$H$20/'Android build'!$H$23,0)</f>
        <v/>
      </c>
      <c r="F11" s="18">
        <f>IFERROR('Android build'!$H$21/'Android build'!$H$23,0)</f>
        <v/>
      </c>
      <c r="G11" s="11" t="inlineStr">
        <is>
          <t>High</t>
        </is>
      </c>
      <c r="H11" s="10" t="inlineStr">
        <is>
          <t>Lỗi Critical (APK không build được do flutter_local_notifications cần desugaring và flutter_timezone 2.x dùng API Registrar đã bị gỡ) đã sửa ở task adhoc-20261007-android-desugaring (frontend PR #27, CI xanh gồm bước build APK). Còn Pending: kiểm lockfile bằng --enforce-lockfile với Flutter stable.</t>
        </is>
      </c>
      <c r="I11" s="11" t="inlineStr">
        <is>
          <t>zannguyen</t>
        </is>
      </c>
    </row>
    <row r="12" ht="189.5" customHeight="1">
      <c r="A12" s="11" t="inlineStr">
        <is>
          <t>Đăng nhập người dùng</t>
        </is>
      </c>
      <c r="B12" s="10" t="inlineStr">
        <is>
          <t>Đăng nhập Mobile App bằng OTP (số điện thoại hoặc email), hoàn thiện hồ sơ lần đầu, phiên đăng nhập và đăng xuất — user thường, không gồm admin</t>
        </is>
      </c>
      <c r="C12" s="11" t="inlineStr">
        <is>
          <t>Đăng nhập người dùng</t>
        </is>
      </c>
      <c r="D12" s="18">
        <f>IFERROR(('Đăng nhập người dùng'!$H$62-'Đăng nhập người dùng'!$H$61)/'Đăng nhập người dùng'!$H$62,0)</f>
        <v/>
      </c>
      <c r="E12" s="18">
        <f>IFERROR('Đăng nhập người dùng'!$H$59/'Đăng nhập người dùng'!$H$62,0)</f>
        <v/>
      </c>
      <c r="F12" s="18">
        <f>IFERROR('Đăng nhập người dùng'!$H$60/'Đăng nhập người dùng'!$H$62,0)</f>
        <v/>
      </c>
      <c r="G12" s="11" t="inlineStr">
        <is>
          <t>High</t>
        </is>
      </c>
      <c r="H12" s="10" t="inlineStr">
        <is>
          <t>Luồng chính (đăng nhập, hồ sơ, consent, mở lại app, đăng xuất) và mọi kiểm tra quyền/bearer đạt, cả ở API lẫn E2E trên emulator. 7 Fail gồm lỗi kiểm tra đầu vào ở biên (chữ số Unicode, họ tên &gt; 255, ngày sinh &lt; 1900, ký tự NUL gây 500), lỗi múi giờ khi kiểm ngày sinh (dùng UTC), app gửi lại mã OTP sai khi chạm ô, và một kỳ vọng AC6 cần chốt lại (ký tự xuống dòng cuối số điện thoại).</t>
        </is>
      </c>
      <c r="I12" s="11" t="inlineStr">
        <is>
          <t>zannguyen</t>
        </is>
      </c>
    </row>
    <row r="13" ht="222.5" customHeight="1">
      <c r="A13" s="11" t="inlineStr">
        <is>
          <t>Quản lý lịch uống thuốc</t>
        </is>
      </c>
      <c r="B13" s="10" t="inlineStr">
        <is>
          <t>Backend API thêm, sửa, hủy từng giờ uống; bật/tắt nhắc; đổi ngày uống trong tuần; mốc hiệu lực khi có liều xác nhận sớm (QD-16). Chỉ chính người bệnh được ghi.</t>
        </is>
      </c>
      <c r="C13" s="11" t="inlineStr">
        <is>
          <t>Lịch uống thuốc</t>
        </is>
      </c>
      <c r="D13" s="18">
        <f>IFERROR(('Lịch uống thuốc'!$H$54-'Lịch uống thuốc'!$H$53)/'Lịch uống thuốc'!$H$54,0)</f>
        <v/>
      </c>
      <c r="E13" s="18">
        <f>IFERROR('Lịch uống thuốc'!$H$51/'Lịch uống thuốc'!$H$54,0)</f>
        <v/>
      </c>
      <c r="F13" s="18">
        <f>IFERROR('Lịch uống thuốc'!$H$52/'Lịch uống thuốc'!$H$54,0)</f>
        <v/>
      </c>
      <c r="G13" s="11" t="inlineStr">
        <is>
          <t>High</t>
        </is>
      </c>
      <c r="H13" s="10" t="inlineStr">
        <is>
          <t>Toàn bộ test tự động và kiểm tra biên đạt trên Supabase local. Đã sửa và có test cho các lỗi review R1 (sinh trùng liều khi ngừng/dùng lại sau liều xác nhận sớm), R2 (dùng lại thuốc khi cần mở lịch cũ), R3 (dùng lại mất lịch sau khi đổi cả bộ giờ/ngày sau liều sớm; sửa bằng migration closed_by_stop_at) và M3 (doses_per_day sau khi dùng lại). Có test bất biến trên chuỗi thao tác ngẫu nhiên. Chưa phủ: race giữa xác nhận liều sớm và sửa lịch (2.10).</t>
        </is>
      </c>
      <c r="I13" s="11" t="inlineStr">
        <is>
          <t>zannguyen</t>
        </is>
      </c>
    </row>
    <row r="14" ht="90.5" customHeight="1">
      <c r="A14" s="11" t="inlineStr">
        <is>
          <t>Tải lịch uống và phân quyền dữ liệu thuốc</t>
        </is>
      </c>
      <c r="B14" s="10" t="inlineStr">
        <is>
          <t>GET /patients/{patient_id}/schedules (lịch đang mở và đóng trong 30 ngày, phân trang con trỏ); phân quyền ghi lịch; QD-32 admin không đọc dữ liệu y tế; patient_id không tồn tại.</t>
        </is>
      </c>
      <c r="C14" s="11" t="inlineStr">
        <is>
          <t>Tải lịch uống</t>
        </is>
      </c>
      <c r="D14" s="18">
        <f>IFERROR(('Tải lịch uống'!$H$35-'Tải lịch uống'!$H$34)/'Tải lịch uống'!$H$35,0)</f>
        <v/>
      </c>
      <c r="E14" s="18">
        <f>IFERROR('Tải lịch uống'!$H$32/'Tải lịch uống'!$H$35,0)</f>
        <v/>
      </c>
      <c r="F14" s="18">
        <f>IFERROR('Tải lịch uống'!$H$33/'Tải lịch uống'!$H$35,0)</f>
        <v/>
      </c>
      <c r="G14" s="11" t="inlineStr">
        <is>
          <t>High</t>
        </is>
      </c>
      <c r="H14" s="10" t="inlineStr">
        <is>
          <t>Toàn bộ ca phân quyền đạt, mỗi ca kiểm cả response lẫn access_logs. Quy tắc QD-29 (app người thân không lưu xuống máy) là quy tắc client, chưa kiểm được ở backend.</t>
        </is>
      </c>
      <c r="I14" s="11" t="inlineStr">
        <is>
          <t>zannguyen</t>
        </is>
      </c>
    </row>
    <row r="15" ht="90.5" customHeight="1">
      <c r="A15" s="11" t="inlineStr">
        <is>
          <t>Danh mục tương tác thuốc-thuốc (admin)</t>
        </is>
      </c>
      <c r="B15" s="10" t="inlineStr">
        <is>
          <t>Admin thêm, xem, sửa (tạo phiên bản mới), xóa mềm quy tắc tương tác giữa hai hoạt chất, kèm ngưỡng liều; xem lịch sử phiên bản (task 2.16, PB05).</t>
        </is>
      </c>
      <c r="C15" s="11" t="inlineStr">
        <is>
          <t>Tương tác thuốc-thuốc</t>
        </is>
      </c>
      <c r="D15" s="18">
        <f>IFERROR(('Tương tác thuốc-thuốc'!$H$55-'Tương tác thuốc-thuốc'!$H$54)/'Tương tác thuốc-thuốc'!$H$55,0)</f>
        <v/>
      </c>
      <c r="E15" s="18">
        <f>IFERROR('Tương tác thuốc-thuốc'!$H$52/'Tương tác thuốc-thuốc'!$H$55,0)</f>
        <v/>
      </c>
      <c r="F15" s="18">
        <f>IFERROR('Tương tác thuốc-thuốc'!$H$53/'Tương tác thuốc-thuốc'!$H$55,0)</f>
        <v/>
      </c>
      <c r="G15" s="11" t="inlineStr">
        <is>
          <t>High</t>
        </is>
      </c>
      <c r="H15" s="10" t="inlineStr">
        <is>
          <t>Toàn bộ test tự động (tích hợp với Postgres thật, app chạy bằng api_role) pass. Không có lỗi sản phẩm.</t>
        </is>
      </c>
      <c r="I15" s="11" t="inlineStr">
        <is>
          <t>zannguyen</t>
        </is>
      </c>
    </row>
    <row r="16" ht="107" customHeight="1">
      <c r="A16" s="11" t="inlineStr">
        <is>
          <t>Danh mục tương tác thuốc-thực phẩm (admin)</t>
        </is>
      </c>
      <c r="B16" s="10" t="inlineStr">
        <is>
          <t>Admin thêm, xem, sửa (tạo phiên bản mới), xóa mềm quy tắc tương tác giữa hoạt chất và thực phẩm (task 2.16, PB05).</t>
        </is>
      </c>
      <c r="C16" s="11" t="inlineStr">
        <is>
          <t>Tương tác thuốc-thực phẩm</t>
        </is>
      </c>
      <c r="D16" s="18">
        <f>IFERROR(('Tương tác thuốc-thực phẩm'!$H$20-'Tương tác thuốc-thực phẩm'!$H$19)/'Tương tác thuốc-thực phẩm'!$H$20,0)</f>
        <v/>
      </c>
      <c r="E16" s="18">
        <f>IFERROR('Tương tác thuốc-thực phẩm'!$H$17/'Tương tác thuốc-thực phẩm'!$H$20,0)</f>
        <v/>
      </c>
      <c r="F16" s="18">
        <f>IFERROR('Tương tác thuốc-thực phẩm'!$H$18/'Tương tác thuốc-thực phẩm'!$H$20,0)</f>
        <v/>
      </c>
      <c r="G16" s="11" t="inlineStr">
        <is>
          <t>High</t>
        </is>
      </c>
      <c r="H16" s="10" t="inlineStr">
        <is>
          <t>Toàn bộ test tự động pass. Không có lỗi sản phẩm.</t>
        </is>
      </c>
      <c r="I16" s="11" t="inlineStr">
        <is>
          <t>zannguyen</t>
        </is>
      </c>
    </row>
    <row r="17" ht="90.5" customHeight="1">
      <c r="A17" s="11" t="inlineStr">
        <is>
          <t>Tra cứu hoạt chất (admin)</t>
        </is>
      </c>
      <c r="B17" s="10" t="inlineStr">
        <is>
          <t>Admin tìm hoạt chất theo tên chuẩn hoặc tên gọi khác, hoặc xem hoạt chất của một thuốc, để chọn khi nhập quy tắc tương tác (task 2.16).</t>
        </is>
      </c>
      <c r="C17" s="11" t="inlineStr">
        <is>
          <t>Tra cứu hoạt chất</t>
        </is>
      </c>
      <c r="D17" s="18">
        <f>IFERROR(('Tra cứu hoạt chất'!$H$20-'Tra cứu hoạt chất'!$H$19)/'Tra cứu hoạt chất'!$H$20,0)</f>
        <v/>
      </c>
      <c r="E17" s="18">
        <f>IFERROR('Tra cứu hoạt chất'!$H$17/'Tra cứu hoạt chất'!$H$20,0)</f>
        <v/>
      </c>
      <c r="F17" s="18">
        <f>IFERROR('Tra cứu hoạt chất'!$H$18/'Tra cứu hoạt chất'!$H$20,0)</f>
        <v/>
      </c>
      <c r="G17" s="11" t="inlineStr">
        <is>
          <t>Medium</t>
        </is>
      </c>
      <c r="H17" s="10" t="inlineStr">
        <is>
          <t>Toàn bộ test tự động pass.</t>
        </is>
      </c>
      <c r="I17" s="11" t="inlineStr">
        <is>
          <t>zannguyen</t>
        </is>
      </c>
    </row>
    <row r="18" ht="156.5" customHeight="1">
      <c r="A18" s="11" t="inlineStr">
        <is>
          <t>Mã liên kết người thân</t>
        </is>
      </c>
      <c r="B18" s="10" t="inlineStr">
        <is>
          <t>User lấy mã liên kết cố định, không hết hạn của mình (kèm QR payload) để mời người thân: GET /family/link-code; mỗi user đúng một mã (QD-04, QD-34). Task 3.10, PB15.</t>
        </is>
      </c>
      <c r="C18" s="11" t="inlineStr">
        <is>
          <t>Mã liên kết người thân</t>
        </is>
      </c>
      <c r="D18" s="18">
        <f>IFERROR(('Mã liên kết người thân'!$H$47-'Mã liên kết người thân'!$H$46)/'Mã liên kết người thân'!$H$47,0)</f>
        <v/>
      </c>
      <c r="E18" s="18">
        <f>IFERROR('Mã liên kết người thân'!$H$44/'Mã liên kết người thân'!$H$47,0)</f>
        <v/>
      </c>
      <c r="F18" s="18">
        <f>IFERROR('Mã liên kết người thân'!$H$45/'Mã liên kết người thân'!$H$47,0)</f>
        <v/>
      </c>
      <c r="G18" s="11" t="inlineStr">
        <is>
          <t>High</t>
        </is>
      </c>
      <c r="H18" s="10" t="inlineStr">
        <is>
          <t>Toàn bộ test tự động của chức năng (tích hợp với Postgres thật, app chạy bằng api_role; unit; contract) pass, kể cả sau bản sửa F1 của review (mã kiểu cũ sai định dạng bị xóa khi migrate, DB có CHECK định dạng). Một Fail: bộ unit test toàn repo và ruff toàn repo còn lỗi có sẵn trên main ở module khác, không do task này.</t>
        </is>
      </c>
      <c r="I18" s="11" t="inlineStr">
        <is>
          <t>zannguyen</t>
        </is>
      </c>
    </row>
    <row r="19" ht="123.5" customHeight="1">
      <c r="A19" s="11" t="inlineStr">
        <is>
          <t>Tìm và chọn thuốc khi nhập thuốc</t>
        </is>
      </c>
      <c r="B19" s="10" t="inlineStr">
        <is>
          <t>Sheet tìm/chọn danh mục trong form thêm thuốc, không gồm tra cứu độc lập.</t>
        </is>
      </c>
      <c r="C19" s="11" t="inlineStr">
        <is>
          <t>Chọn thuốc danh mục</t>
        </is>
      </c>
      <c r="D19" s="18">
        <f>IFERROR(('Chọn thuốc danh mục'!$H$43-'Chọn thuốc danh mục'!$H$42)/'Chọn thuốc danh mục'!$H$43,0)</f>
        <v/>
      </c>
      <c r="E19" s="18">
        <f>IFERROR('Chọn thuốc danh mục'!$H$40/'Chọn thuốc danh mục'!$H$43,0)</f>
        <v/>
      </c>
      <c r="F19" s="18">
        <f>IFERROR('Chọn thuốc danh mục'!$H$41/'Chọn thuốc danh mục'!$H$43,0)</f>
        <v/>
      </c>
      <c r="G19" s="11" t="inlineStr">
        <is>
          <t>Medium</t>
        </is>
      </c>
      <c r="H19" s="10" t="inlineStr">
        <is>
          <t>29 Pass, 0 Fail, 0 Pending cho phạm vi tìm/chọn thuốc. Ba case cuối được chạy 2026-10-13 bằng harness biên và Flutter drive Android nối API/DB local thật; không bao gồm login. Kết quả toàn suite/backend Auth và REGDOSE báo riêng trong 05.</t>
        </is>
      </c>
      <c r="I19" s="11" t="inlineStr">
        <is>
          <t>phucnguyenngoc</t>
        </is>
      </c>
    </row>
    <row r="20" ht="90.5" customHeight="1">
      <c r="A20" s="11" t="inlineStr">
        <is>
          <t>Hồi quy xác nhận liều</t>
        </is>
      </c>
      <c r="B20" s="10" t="inlineStr">
        <is>
          <t>Sai khác test–API phát hiện khi chạy bộ tích hợp rộng của task 3.05; ngoài chức năng tìm/chọn thuốc.</t>
        </is>
      </c>
      <c r="C20" s="11" t="inlineStr">
        <is>
          <t>Hồi quy xác nhận liều</t>
        </is>
      </c>
      <c r="D20" s="18">
        <f>IFERROR(('Hồi quy xác nhận liều'!$H$15-'Hồi quy xác nhận liều'!$H$14)/'Hồi quy xác nhận liều'!$H$15,0)</f>
        <v/>
      </c>
      <c r="E20" s="18">
        <f>IFERROR('Hồi quy xác nhận liều'!$H$12/'Hồi quy xác nhận liều'!$H$15,0)</f>
        <v/>
      </c>
      <c r="F20" s="18">
        <f>IFERROR('Hồi quy xác nhận liều'!$H$13/'Hồi quy xác nhận liều'!$H$15,0)</f>
        <v/>
      </c>
      <c r="G20" s="11" t="inlineStr">
        <is>
          <t>Medium</t>
        </is>
      </c>
      <c r="H20" s="10" t="inlineStr">
        <is>
          <t>Một test Fail lặp lại; chưa kết luận sản phẩm sai hay kỳ vọng test đã cũ. Không sửa backend trong task 3.05.</t>
        </is>
      </c>
      <c r="I20" s="11" t="inlineStr">
        <is>
          <t>phucnguyenngoc</t>
        </is>
      </c>
    </row>
    <row r="21" ht="123.5" customHeight="1">
      <c r="A21" s="11" t="inlineStr">
        <is>
          <t>Landing page (giao diện mới, iPhone 3D)</t>
        </is>
      </c>
      <c r="B21" s="10" t="inlineStr">
        <is>
          <t>Trang chủ landing: hero iPhone 3D (Spline) + vòng icon tính năng, dải bằng chứng, scroll-story 4 tính năng, 5 thẻ tiện ích, 3 bước, an toàn, FAQ, CTA, footer; hiệu ứng GSAP</t>
        </is>
      </c>
      <c r="C21" s="11" t="inlineStr">
        <is>
          <t>Landing page</t>
        </is>
      </c>
      <c r="D21" s="18">
        <f>IFERROR(('Landing page'!$H$46-'Landing page'!$H$45)/'Landing page'!$H$46,0)</f>
        <v/>
      </c>
      <c r="E21" s="18">
        <f>IFERROR('Landing page'!$H$43/'Landing page'!$H$46,0)</f>
        <v/>
      </c>
      <c r="F21" s="18">
        <f>IFERROR('Landing page'!$H$44/'Landing page'!$H$46,0)</f>
        <v/>
      </c>
      <c r="G21" s="11" t="inlineStr">
        <is>
          <t>High</t>
        </is>
      </c>
      <c r="H21" s="10" t="inlineStr">
        <is>
          <t>32/32 Pass ở vòng test 2 (2026-10-17). Vòng 1 có 5 Fail (bàn phím / trình đọc màn hình không tới nội dung chưa cuộn tới — High; Performance mobile 77; tương phản nút mock; nhãn nút store; câu chữ icon người nhà), đã sửa ở implement P22 và chạy lại.</t>
        </is>
      </c>
      <c r="I21" s="11" t="inlineStr">
        <is>
          <t>zannguyen</t>
        </is>
      </c>
    </row>
    <row r="44">
      <c r="A44" s="19" t="inlineStr">
        <is>
          <t>Bug Report</t>
        </is>
      </c>
    </row>
    <row r="45">
      <c r="A45" s="20" t="inlineStr">
        <is>
          <t>Bug ID</t>
        </is>
      </c>
      <c r="B45" s="20" t="inlineStr">
        <is>
          <t>Description</t>
        </is>
      </c>
      <c r="C45" s="20" t="inlineStr">
        <is>
          <t>Steps to Reproduce</t>
        </is>
      </c>
      <c r="D45" s="20" t="inlineStr">
        <is>
          <t>Input Data</t>
        </is>
      </c>
      <c r="E45" s="20" t="inlineStr">
        <is>
          <t>Expected Result</t>
        </is>
      </c>
      <c r="F45" s="20" t="inlineStr">
        <is>
          <t>Actual Result</t>
        </is>
      </c>
      <c r="G45" s="20" t="inlineStr">
        <is>
          <t>Severity</t>
        </is>
      </c>
      <c r="H45" s="20" t="inlineStr">
        <is>
          <t>Name of Tester</t>
        </is>
      </c>
      <c r="I45" s="20" t="inlineStr">
        <is>
          <t>Logs</t>
        </is>
      </c>
    </row>
    <row r="46" ht="123.5" customHeight="1">
      <c r="A46" s="22" t="inlineStr">
        <is>
          <t>BUG-LOGIN-08</t>
        </is>
      </c>
      <c r="B46" s="22" t="inlineStr">
        <is>
          <t>Gửi số điện thoại có ký tự xuống dòng ở cuối</t>
        </is>
      </c>
      <c r="C46" s="22" t="inlineStr">
        <is>
          <t>1. POST /auth/mobile/otp {phone: "0900000001\n"}
2. POST /auth/mobile/verify {phone: "0900000001\n", token: 123456}</t>
        </is>
      </c>
      <c r="D46" s="22" t="inlineStr">
        <is>
          <t>phone: 0900000001 + ký tự \n</t>
        </is>
      </c>
      <c r="E46" s="22" t="inlineStr">
        <is>
          <t>422 {"detail":"invalid_phone"} (theo AC6 của 01-requirement)</t>
        </is>
      </c>
      <c r="F46" s="22" t="inlineStr">
        <is>
          <t>OTP 204, verify 200 và cấp phiên (backend bỏ ký tự trắng hai đầu)</t>
        </is>
      </c>
      <c r="G46" s="22" t="inlineStr">
        <is>
          <t>Low</t>
        </is>
      </c>
      <c r="H46" s="22" t="inlineStr">
        <is>
          <t>zannguyen</t>
        </is>
      </c>
      <c r="I46" s="22" t="inlineStr">
        <is>
          <t>Nghi vấn — kỳ vọng AC6 mâu thuẫn AC5: backend `_validate_required_text` (sign_in.py:178) `strip()` mọi ký tự trắng hai đầu, nên \n cuối được xử lý như khoảng trắng hai đầu mà AC5 coi là hợp lệ. Cần người dùng chốt: sửa AC6 hoặc sửa backend
Log: evidence/test-integration.log</t>
        </is>
      </c>
    </row>
    <row r="47" ht="123.5" customHeight="1">
      <c r="A47" s="22" t="inlineStr">
        <is>
          <t>BUG-LOGIN-11</t>
        </is>
      </c>
      <c r="B47" s="22" t="inlineStr">
        <is>
          <t>Gửi số điện thoại viết bằng chữ số Unicode</t>
        </is>
      </c>
      <c r="C47" s="22" t="inlineStr">
        <is>
          <t>1. POST /auth/mobile/otp {phone}
2. POST /auth/mobile/verify {phone, token: 123456}</t>
        </is>
      </c>
      <c r="D47" s="22" t="inlineStr">
        <is>
          <t>+８４９０００００００１ (full-width) | +٨٤٩٠٠٠٠٠٠٠١ (chữ số Ả Rập)</t>
        </is>
      </c>
      <c r="E47" s="22" t="inlineStr">
        <is>
          <t>422 {"detail":"invalid_phone"}, không gọi Supabase</t>
        </is>
      </c>
      <c r="F47" s="22" t="inlineStr">
        <is>
          <t>OTP 503 {"detail":"auth_provider_unavailable"}, verify 401 {"detail":"Invalid credentials"} — request đã tới Supabase</t>
        </is>
      </c>
      <c r="G47" s="22" t="inlineStr">
        <is>
          <t>Low</t>
        </is>
      </c>
      <c r="H47" s="22" t="inlineStr">
        <is>
          <t>zannguyen</t>
        </is>
      </c>
      <c r="I47" s="22" t="inlineStr">
        <is>
          <t>`_normalize_phone` (sign_in.py:197–206) kiểm bằng `str.isdigit()`, nhận cả chữ số Unicode, nên số lọt qua kiểm tra và gửi tới Supabase. Ô nhập của app chỉ cho 0-9 nên người dùng app không gặp; lỗi ở tầng API
Log: evidence/test-integration.log</t>
        </is>
      </c>
    </row>
    <row r="48" ht="189.5" customHeight="1">
      <c r="A48" s="22" t="inlineStr">
        <is>
          <t>BUG-LOGIN-25</t>
        </is>
      </c>
      <c r="B48" s="22" t="inlineStr">
        <is>
          <t>Lưu họ tên có ký tự NUL</t>
        </is>
      </c>
      <c r="C48" s="22" t="inlineStr">
        <is>
          <t>1. POST /auth/profile {ho_ten: "abc\u0000def", ngày sinh, giới tính hợp lệ}</t>
        </is>
      </c>
      <c r="D48" s="22" t="inlineStr">
        <is>
          <t>ho_ten: abc\u0000def</t>
        </is>
      </c>
      <c r="E48" s="22" t="inlineStr">
        <is>
          <t>Không 5xx (từ chối 422 hoặc lưu được); không lộ chi tiết nội bộ</t>
        </is>
      </c>
      <c r="F48" s="22" t="inlineStr">
        <is>
          <t>500 Internal Server Error</t>
        </is>
      </c>
      <c r="G48" s="22" t="inlineStr">
        <is>
          <t>Medium</t>
        </is>
      </c>
      <c r="H48" s="22" t="inlineStr">
        <is>
          <t>zannguyen</t>
        </is>
      </c>
      <c r="I48" s="22" t="inlineStr">
        <is>
          <t>`_validate_required_text` (sign_in.py:178) không chặn ký tự điều khiển; PostgreSQL từ chối NUL trong cột text: `psycopg.DataError: PostgreSQL text fields cannot contain NUL (0x00) bytes` ở `UPDATE users SET full_name…` (SqlUsers.update_profile); không có handler cho DataError nên thành 500. Câu SQL có tham số nên không phải lỗ hổng SQL injection
Log: evidence/test-integration.log, evidence/test-probe-nul.log</t>
        </is>
      </c>
    </row>
    <row r="49" ht="90.5" customHeight="1">
      <c r="A49" s="22" t="inlineStr">
        <is>
          <t>BUG-LOGIN-30</t>
        </is>
      </c>
      <c r="B49" s="22" t="inlineStr">
        <is>
          <t>Lưu họ tên dài 256 ký tự</t>
        </is>
      </c>
      <c r="C49" s="22" t="inlineStr">
        <is>
          <t>1. POST /auth/profile {ho_ten: A*256}</t>
        </is>
      </c>
      <c r="D49" s="22" t="inlineStr">
        <is>
          <t>A*256</t>
        </is>
      </c>
      <c r="E49" s="22" t="inlineStr">
        <is>
          <t>422; hồ sơ không đổi (giới hạn 255 theo Q4 của 01-requirement)</t>
        </is>
      </c>
      <c r="F49" s="22" t="inlineStr">
        <is>
          <t>204, đã lưu</t>
        </is>
      </c>
      <c r="G49" s="22" t="inlineStr">
        <is>
          <t>Low</t>
        </is>
      </c>
      <c r="H49" s="22" t="inlineStr">
        <is>
          <t>zannguyen</t>
        </is>
      </c>
      <c r="I49" s="22" t="inlineStr">
        <is>
          <t>Không có giới hạn độ dài họ tên: `_validate_profile` (sign_in.py) chỉ kiểm rỗng; cột users.full_name kiểu text không giới hạn
Log: evidence/test-integration.log</t>
        </is>
      </c>
    </row>
    <row r="50" ht="90.5" customHeight="1">
      <c r="A50" s="22" t="inlineStr">
        <is>
          <t>BUG-LOGIN-32</t>
        </is>
      </c>
      <c r="B50" s="22" t="inlineStr">
        <is>
          <t>Lưu ngày sinh trước 1900-01-01</t>
        </is>
      </c>
      <c r="C50" s="22" t="inlineStr">
        <is>
          <t>1. POST /auth/profile {ngay_sinh}</t>
        </is>
      </c>
      <c r="D50" s="22" t="inlineStr">
        <is>
          <t>1899-12-31 | 0001-01-01</t>
        </is>
      </c>
      <c r="E50" s="22" t="inlineStr">
        <is>
          <t>422; hồ sơ không đổi (cận dưới 1900-01-01 theo Q4)</t>
        </is>
      </c>
      <c r="F50" s="22" t="inlineStr">
        <is>
          <t>204 ở cả hai giá trị, đã lưu</t>
        </is>
      </c>
      <c r="G50" s="22" t="inlineStr">
        <is>
          <t>Low</t>
        </is>
      </c>
      <c r="H50" s="22" t="inlineStr">
        <is>
          <t>zannguyen</t>
        </is>
      </c>
      <c r="I50" s="22" t="inlineStr">
        <is>
          <t>`_validate_birth_date` (sign_in.py:229–231) chỉ chặn ngày tương lai, không có cận dưới. App mobile đã giới hạn date picker từ 1900 nên chỉ gặp khi gọi API trực tiếp
Log: evidence/test-integration.log</t>
        </is>
      </c>
    </row>
    <row r="51" ht="123.5" customHeight="1">
      <c r="A51" s="22" t="inlineStr">
        <is>
          <t>BUG-LOGIN-35</t>
        </is>
      </c>
      <c r="B51" s="22" t="inlineStr">
        <is>
          <t>Lưu ngày sinh là hôm nay lúc 00:30 giờ Việt Nam</t>
        </is>
      </c>
      <c r="C51" s="22" t="inlineStr">
        <is>
          <t>1. POST /auth/profile {ngay_sinh: "2026-10-08"}</t>
        </is>
      </c>
      <c r="D51" s="22" t="inlineStr">
        <is>
          <t>ngay_sinh: 2026-10-08</t>
        </is>
      </c>
      <c r="E51" s="22" t="inlineStr">
        <is>
          <t>204 (hôm nay theo giờ Asia/Ho_Chi_Minh — bất biến 7)</t>
        </is>
      </c>
      <c r="F51" s="22" t="inlineStr">
        <is>
          <t>422 {"detail":"invalid_date_of_birth"}</t>
        </is>
      </c>
      <c r="G51" s="22" t="inlineStr">
        <is>
          <t>Medium</t>
        </is>
      </c>
      <c r="H51" s="22" t="inlineStr">
        <is>
          <t>zannguyen</t>
        </is>
      </c>
      <c r="I51" s="22" t="inlineStr">
        <is>
          <t>`_validate_birth_date` (sign_in.py:230) so với `now.date()` trong khi `now()` (shared/clock.py) trả giờ UTC: từ 00:00 đến 07:00 giờ VN, "hôm nay" bị coi là ngày mai. Vi phạm bất biến 7 (múi giờ cố định Asia/Ho_Chi_Minh)
Log: evidence/test-integration.log</t>
        </is>
      </c>
    </row>
    <row r="52" ht="173" customHeight="1">
      <c r="A52" s="22" t="inlineStr">
        <is>
          <t>BUG-LOGIN-42</t>
        </is>
      </c>
      <c r="B52" s="22" t="inlineStr">
        <is>
          <t>Chạm lại ô OTP sau khi nhập sai để sửa mã</t>
        </is>
      </c>
      <c r="C52" s="22" t="inlineStr">
        <is>
          <t>1. Chạm vào ô mã OTP
2. Theo dõi request backend nhận được</t>
        </is>
      </c>
      <c r="D52" s="22" t="inlineStr">
        <is>
          <t>Ô đang chứa 000000</t>
        </is>
      </c>
      <c r="E52" s="22" t="inlineStr">
        <is>
          <t>Không gửi xác thực cho tới khi người dùng nhập mã mới đủ 6 số</t>
        </is>
      </c>
      <c r="F52" s="22" t="inlineStr">
        <is>
          <t>Backend nhận thêm một POST /auth/mobile/verify 401 với mã cũ ngay khi chạm ô (chuỗi request: otp 204, verify 401, verify 401, verify 200)</t>
        </is>
      </c>
      <c r="G52" s="22" t="inlineStr">
        <is>
          <t>Low</t>
        </is>
      </c>
      <c r="H52" s="22" t="inlineStr">
        <is>
          <t>zannguyen</t>
        </is>
      </c>
      <c r="I52" s="22" t="inlineStr">
        <is>
          <t>`OtpPinInput._handleTextChange` (frontend/mobile/lib/features/auth/presentation/widgets/otp_pin_input.dart:66–72) chạy với mọi thông báo của controller, kể cả khi chỉ đổi vị trí con trỏ lúc chạm ô, và gọi onCompleted hễ ô đủ 6 số → gửi lại mã sai, tốn hạn mức token_verifications
Log: evidence/test-e2e.log (mục "request backend trong pha 2"), evidence/implement-P10-run-phase2-requests.log</t>
        </is>
      </c>
    </row>
    <row r="53" ht="189.5" customHeight="1">
      <c r="A53" s="22" t="inlineStr">
        <is>
          <t>BUG-LINKCODE-28</t>
        </is>
      </c>
      <c r="B53" s="22" t="inlineStr">
        <is>
          <t>Toàn bộ unit test, architecture test và ruff toàn repo pass</t>
        </is>
      </c>
      <c r="C53" s="22" t="inlineStr">
        <is>
          <t>1. pytest tests/unit tests/architecture -q
2. ruff check .
3. So với baseline trước khi sửa code</t>
        </is>
      </c>
      <c r="D53" s="22" t="inlineStr">
        <is>
          <t>-</t>
        </is>
      </c>
      <c r="E53" s="22" t="inlineStr">
        <is>
          <t>pytest và ruff đều pass</t>
        </is>
      </c>
      <c r="F53" s="22" t="inlineStr">
        <is>
          <t>697 pass, 1 fail (tests/unit/test_app.py::test_doses_batch_openapi_uses_contract_shape: NameError paths); ruff toàn repo 21 lỗi ở module khác. Fail và lỗi ruff đã có trước khi task sửa code; file của task pass ruff</t>
        </is>
      </c>
      <c r="G53" s="22" t="inlineStr">
        <is>
          <t>Low</t>
        </is>
      </c>
      <c r="H53" s="22" t="inlineStr">
        <is>
          <t>zannguyen</t>
        </is>
      </c>
      <c r="I53" s="22" t="inlineStr">
        <is>
          <t>Có sẵn trên main, không do task 3.10: test_app.py dòng 43–44 dùng biến paths chưa định nghĩa; ruff báo lỗi ở catalog/*, consent/adapters/outbound/job_queue.py, runtime/job_runner.py (F821 health chưa import, nghi vấn làm Worker lỗi khi ghi heartbeat), worker.py, tests/unit/test_catalog_crud.py
Log: evidence/implement-final-backend.log</t>
        </is>
      </c>
    </row>
    <row r="54" ht="239" customHeight="1">
      <c r="A54" s="22" t="inlineStr">
        <is>
          <t>BUG-REGDOSE-01</t>
        </is>
      </c>
      <c r="B54" s="22" t="inlineStr">
        <is>
          <t>Đối chiếu scheduled_at có giây khi xác nhận liều</t>
        </is>
      </c>
      <c r="C54" s="22" t="inlineStr">
        <is>
          <t>1. Từ backend chạy .venv/Scripts/python.exe -m pytest tests/integration/test_dose_confirmation_api.py::test_post_doses_batch_creates_dose_log_for_authenticated_patient__AC1_AC10_AC18 -q -ra.
2. Fixture POST /doses/batch với danh sách một item ở Test Data.
3. Đối chiếu items[0].scheduled_at với kỳ vọng test hiện có.</t>
        </is>
      </c>
      <c r="D54" s="22" t="inlineStr">
        <is>
          <t>client_uuid: UUID mới; schedule_id: fixture; scheduled_at=2026-10-02T01:00:59.999Z; taken_at=2026-10-02T01:05:59.999Z</t>
        </is>
      </c>
      <c r="E54" s="22" t="inlineStr">
        <is>
          <t>Theo test hiện có: HTTP 200, synced, da_uong và scheduled_at=2026-10-02T01:00:00Z.</t>
        </is>
      </c>
      <c r="F54" s="22" t="inlineStr">
        <is>
          <t>HTTP 200, synced, da_uong; scheduled_at=2026-10-02T01:00:59.999000Z. Fail trong suite DB và lặp lại khi chạy riêng (1 failed trong 1.67s).</t>
        </is>
      </c>
      <c r="G54" s="22" t="inlineStr">
        <is>
          <t>Medium</t>
        </is>
      </c>
      <c r="H54" s="22" t="inlineStr">
        <is>
          <t>phucnguyenngoc</t>
        </is>
      </c>
      <c r="I54" s="22" t="inlineStr">
        <is>
          <t>Nghi vấn kỳ vọng chuẩn hóa tới phút trong test không khớp hành vi giữ thời điểm của API; chưa xác định phía nào sai theo contract/nghiệp vụ. Chưa chứng minh mất/trùng bản ghi liều; mức Medium tạm thời cho sai khác test, phải nâng tối thiểu High nếu xác nhận mất/trùng liều.
Log: evidence/test-integration-db.log; evidence/test-dose-mismatch-repeat.log</t>
        </is>
      </c>
    </row>
  </sheetData>
  <mergeCells count="2">
    <mergeCell ref="A1:G1"/>
    <mergeCell ref="A3:A5"/>
  </mergeCells>
  <conditionalFormatting sqref="F11:F21">
    <cfRule type="cellIs" priority="1" operator="greaterThan" dxfId="0">
      <formula>0.2</formula>
    </cfRule>
  </conditionalFormatting>
  <conditionalFormatting sqref="G11:G21">
    <cfRule type="expression" priority="2" dxfId="0">
      <formula>OR(G11="Critical",G11="High")</formula>
    </cfRule>
  </conditionalFormatting>
  <conditionalFormatting sqref="G46:G54">
    <cfRule type="cellIs" priority="3" operator="equal" dxfId="1">
      <formula>"Critical"</formula>
    </cfRule>
    <cfRule type="cellIs" priority="4" operator="equal" dxfId="2">
      <formula>"High"</formula>
    </cfRule>
    <cfRule type="cellIs" priority="5" operator="equal" dxfId="3">
      <formula>"Medium"</formula>
    </cfRule>
  </conditionalFormatting>
  <dataValidations count="2">
    <dataValidation sqref="G11:G21" showDropDown="0" showInputMessage="0" showErrorMessage="0" allowBlank="1" type="list">
      <formula1>"Critical,High,Medium,Low"</formula1>
    </dataValidation>
    <dataValidation sqref="G46:G54" showDropDown="0" showInputMessage="0" showErrorMessage="0" allowBlank="1" type="list">
      <formula1>"Critical,High,Medium,Low"</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2026-09-21T13:11:58Z</dcterms:created>
  <dcterms:modified xmlns:dcterms="http://purl.org/dc/terms/" xmlns:xsi="http://www.w3.org/2001/XMLSchema-instance" xsi:type="dcterms:W3CDTF">2026-10-19T07:04:30Z</dcterms:modified>
  <cp:lastModifiedBy>Người dùng Khách</cp:lastModifiedBy>
</cp:coreProperties>
</file>