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deem flow E2E" sheetId="20" state="visible" r:id="rId20"/>
    <sheet name="Lịch sử tuân thủ người thân" sheetId="21" state="visible" r:id="rId21"/>
    <sheet name="Report" sheetId="22" state="visible" r:id="rId22"/>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 name="_xlnm._FilterDatabase" localSheetId="20" hidden="1">'Lịch sử tuân thủ người thân'!$A$8:$I$53</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'Report'!$A$11:$A$31</f>
            </numRef>
          </cat>
          <val>
            <numRef>
              <f>'Report'!$D$11:$D$31</f>
            </numRef>
          </val>
        </ser>
        <ser>
          <idx val="1"/>
          <order val="1"/>
          <tx>
            <strRef>
              <f>'Report'!E10</f>
            </strRef>
          </tx>
          <spPr>
            <a:ln>
              <a:prstDash val="solid"/>
            </a:ln>
          </spPr>
          <cat>
            <numRef>
              <f>'Report'!$A$11:$A$31</f>
            </numRef>
          </cat>
          <val>
            <numRef>
              <f>'Report'!$E$11:$E$31</f>
            </numRef>
          </val>
        </ser>
        <ser>
          <idx val="2"/>
          <order val="2"/>
          <tx>
            <strRef>
              <f>'Report'!F10</f>
            </strRef>
          </tx>
          <spPr>
            <a:ln>
              <a:prstDash val="solid"/>
            </a:ln>
          </spPr>
          <cat>
            <numRef>
              <f>'Report'!$A$11:$A$31</f>
            </numRef>
          </cat>
          <val>
            <numRef>
              <f>'Report'!$F$11:$F$31</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33</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33</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LM_G710 qua ADB; patient có family_sharing; family đăng nhập trong gói test riêng.</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is>
          <t>PASS direct_pending: UI/API/DB, schedules 403 và denied log; evidence/test-android-direct-id-fix.log.</t>
        </is>
      </c>
      <c r="H9" s="7" t="inlineStr">
        <is>
          <t>Pass</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74"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và Android LM_G710: 1 POST trước xác nhận (Expected 0, Actual 1); evidence/test-widget-redeem.log và evidence/test-android-remaining-phases.log.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74"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và Android LM_G710 QR sai pass, 0 POST; evidence/test-widget-redeem.log và evidence/test-android-remaining-phases.log.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LM_G710 qua ADB,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is>
          <t>PASS response_lost: UI/API/DB, 201 rồi 200 cùng UUID và một DB row; evidence/test-android-remaining-phases.log.</t>
        </is>
      </c>
      <c r="H29" s="7" t="inlineStr">
        <is>
          <t>Pass</t>
        </is>
      </c>
      <c r="I29" s="8" t="inlineStr">
        <is>
          <t>AC4, AC6 · state request→timeout→retry</t>
        </is>
      </c>
    </row>
    <row r="30" ht="57.5" customHeight="1">
      <c r="A30" s="7" t="inlineStr">
        <is>
          <t>TC-REDEEMFLOW-22</t>
        </is>
      </c>
      <c r="B30" s="7" t="inlineStr">
        <is>
          <t>Bấm gửi hai lần khi request đầu đang chờ</t>
        </is>
      </c>
      <c r="C30" s="8" t="inlineStr">
        <is>
          <t>Android LM_G710 qua ADB,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is>
          <t>PASS double_tap: UI/API/DB, một POST và một pending; evidence/test-android-remaining-phases.log.</t>
        </is>
      </c>
      <c r="H30" s="7" t="inlineStr">
        <is>
          <t>Pass</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5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Lịch sử tuân thủ cho người thân (FADH)</t>
        </is>
      </c>
    </row>
    <row r="3">
      <c r="A3" s="1" t="inlineStr">
        <is>
          <t>Created By</t>
        </is>
      </c>
      <c r="B3" s="2" t="inlineStr">
        <is>
          <t>phucnguyenngoc</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lịch sử PB21</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23.5" customHeight="1">
      <c r="A9" s="7" t="inlineStr">
        <is>
          <t>TC-FADH-01</t>
        </is>
      </c>
      <c r="B9" s="7" t="inlineStr">
        <is>
          <t>Xem cùng lịch sử bằng patient và người thân</t>
        </is>
      </c>
      <c r="C9" s="8" t="inlineStr">
        <is>
          <t>DB Supabase local reset sạch; dùng fixture history_data; patient P có health_data; family F liên kết active, sharing=true và family_sharing của P còn hiệu lực.</t>
        </is>
      </c>
      <c r="D9" s="8" t="inlineStr">
        <is>
          <t>1. Tạo patient/family và lịch 08:00 qua fixture history_data.
2. Gọi GET /adherence?patient_id=P&amp;from=2026-10-19&amp;to=2026-10-19 bằng app session của F.
3. Đối chiếu response, dose_logs và access_logs bằng assertion của test nêu ở Comments.</t>
        </is>
      </c>
      <c r="E9" s="8" t="inlineStr">
        <is>
          <t>2026-10-19 08:00 +07; status=da_uong</t>
        </is>
      </c>
      <c r="F9" s="8" t="inlineStr">
        <is>
          <t>200; payload đúng contract, hai response giống nhau; mỗi caller có allowed; audit không chứa nội dung thuốc/liều.</t>
        </is>
      </c>
      <c r="G9" s="8" t="inlineStr"/>
      <c r="H9" s="7" t="inlineStr">
        <is>
          <t>Pending</t>
        </is>
      </c>
      <c r="I9" s="8" t="inlineStr">
        <is>
          <t>PB21 · AC1,AC9 · Decision Table (R1) · EP (1) · test_self_and_family_success_are_audited · evidence/test-history.log · Pending: test dừng tại schema adherence thiếu trong contract; chưa chạy hết các assertion hành vi.</t>
        </is>
      </c>
      <c r="K9" s="9" t="inlineStr">
        <is>
          <t>Quyền người thân</t>
        </is>
      </c>
      <c r="L9" s="10" t="inlineStr">
        <is>
          <t>Link active + sharing + hai consent</t>
        </is>
      </c>
      <c r="M9" s="10" t="inlineStr">
        <is>
          <t>1</t>
        </is>
      </c>
      <c r="N9" s="10" t="inlineStr">
        <is>
          <t>Không liên kết hoặc patient khác
Thiếu health_data
Thiếu family_sharing
Sharing tắt</t>
        </is>
      </c>
      <c r="O9" s="10" t="inlineStr">
        <is>
          <t>4
5
6
7</t>
        </is>
      </c>
      <c r="Q9" s="10" t="inlineStr">
        <is>
          <t>Link active</t>
        </is>
      </c>
      <c r="R9" s="11" t="inlineStr">
        <is>
          <t>Yes</t>
        </is>
      </c>
      <c r="S9" s="11" t="inlineStr">
        <is>
          <t>No</t>
        </is>
      </c>
      <c r="T9" s="11" t="inlineStr">
        <is>
          <t>Yes</t>
        </is>
      </c>
      <c r="U9" s="11" t="inlineStr">
        <is>
          <t>Yes</t>
        </is>
      </c>
      <c r="V9" s="11" t="inlineStr">
        <is>
          <t>Yes</t>
        </is>
      </c>
    </row>
    <row r="10" ht="123.5" customHeight="1">
      <c r="A10" s="7" t="inlineStr">
        <is>
          <t>TC-FADH-02</t>
        </is>
      </c>
      <c r="B10" s="7" t="inlineStr">
        <is>
          <t>Chặn người thân chưa liên kết</t>
        </is>
      </c>
      <c r="C10" s="8" t="inlineStr">
        <is>
          <t>DB Supabase local reset sạch; dùng fixture history_data; patient P có health_data; family F liên kết active, sharing=true và family_sharing của P còn hiệu lực. F tồn tại, không có caregiver_link với P</t>
        </is>
      </c>
      <c r="D10" s="8" t="inlineStr">
        <is>
          <t>1. Tạo patient/family và lịch 08:00 qua fixture history_data.
2. Gọi GET /adherence?patient_id=P&amp;from=2026-10-19&amp;to=2026-10-19 bằng app session của F.
3. Đối chiếu response, dose_logs và access_logs bằng assertion của test nêu ở Comments.</t>
        </is>
      </c>
      <c r="E10" s="8" t="inlineStr">
        <is>
          <t>case=unlinked; patient_id=P</t>
        </is>
      </c>
      <c r="F10" s="8" t="inlineStr">
        <is>
          <t>403 {detail: khong_co_quyen}; Cache-Control: no-store; có denied và dose_logs không đổi.</t>
        </is>
      </c>
      <c r="G10" s="8" t="inlineStr">
        <is>
          <t>1 ca tự động pass trong phiên; các assertion của ca được thực thi. Bằng chứng: evidence/test-history.log.</t>
        </is>
      </c>
      <c r="H10" s="7" t="inlineStr">
        <is>
          <t>Pass</t>
        </is>
      </c>
      <c r="I10" s="8" t="inlineStr">
        <is>
          <t>PB21 · AC4 · Decision Table (R2) · EP (4) · test_unlinked_missing_consents_sharing_off_admin_denied_and_audited__AC11[unlinked] · evidence/test-history.log</t>
        </is>
      </c>
      <c r="K10" s="9" t="inlineStr">
        <is>
          <t>Mẫu số tỷ lệ</t>
        </is>
      </c>
      <c r="L10" s="10" t="inlineStr">
        <is>
          <t>Liều xác nhận hợp lệ hoặc chưa xác nhận đã quá +120
Không có liều đủ điều kiện</t>
        </is>
      </c>
      <c r="M10" s="10" t="inlineStr">
        <is>
          <t>2
3</t>
        </is>
      </c>
      <c r="N10" s="10" t="inlineStr"/>
      <c r="O10" s="10" t="inlineStr"/>
      <c r="Q10" s="10" t="inlineStr">
        <is>
          <t>health_data</t>
        </is>
      </c>
      <c r="R10" s="11" t="inlineStr">
        <is>
          <t>Yes</t>
        </is>
      </c>
      <c r="S10" s="11" t="inlineStr">
        <is>
          <t>Yes</t>
        </is>
      </c>
      <c r="T10" s="11" t="inlineStr">
        <is>
          <t>No</t>
        </is>
      </c>
      <c r="U10" s="11" t="inlineStr">
        <is>
          <t>Yes</t>
        </is>
      </c>
      <c r="V10" s="11" t="inlineStr">
        <is>
          <t>Yes</t>
        </is>
      </c>
    </row>
    <row r="11" ht="123.5" customHeight="1">
      <c r="A11" s="7" t="inlineStr">
        <is>
          <t>TC-FADH-03</t>
        </is>
      </c>
      <c r="B11" s="7" t="inlineStr">
        <is>
          <t>Chặn khi thiếu consent sức khỏe</t>
        </is>
      </c>
      <c r="C11" s="8" t="inlineStr">
        <is>
          <t>DB Supabase local reset sạch; dùng fixture history_data; patient P có health_data; family F liên kết active, sharing=true và family_sharing của P còn hiệu lực. Thu hồi health_data của P</t>
        </is>
      </c>
      <c r="D11" s="8" t="inlineStr">
        <is>
          <t>1. Tạo patient/family và lịch 08:00 qua fixture history_data.
2. Gọi GET /adherence?patient_id=P&amp;from=2026-10-19&amp;to=2026-10-19 bằng app session của F.
3. Đối chiếu response, dose_logs và access_logs bằng assertion của test nêu ở Comments.</t>
        </is>
      </c>
      <c r="E11" s="8" t="inlineStr">
        <is>
          <t>case=health_consent; patient_id=P</t>
        </is>
      </c>
      <c r="F11" s="8" t="inlineStr">
        <is>
          <t>403 {detail: khong_co_quyen}; Cache-Control: no-store; có denied và dose_logs không đổi.</t>
        </is>
      </c>
      <c r="G11" s="8" t="inlineStr">
        <is>
          <t>1 ca tự động pass trong phiên; các assertion của ca được thực thi. Bằng chứng: evidence/test-history.log.</t>
        </is>
      </c>
      <c r="H11" s="7" t="inlineStr">
        <is>
          <t>Pass</t>
        </is>
      </c>
      <c r="I11" s="8" t="inlineStr">
        <is>
          <t>PB21 · AC4 · Decision Table (R3) · EP (5) · test_unlinked_missing_consents_sharing_off_admin_denied_and_audited__AC11[health_consent] · evidence/test-history.log</t>
        </is>
      </c>
      <c r="Q11" s="10" t="inlineStr">
        <is>
          <t>family_sharing</t>
        </is>
      </c>
      <c r="R11" s="11" t="inlineStr">
        <is>
          <t>Yes</t>
        </is>
      </c>
      <c r="S11" s="11" t="inlineStr">
        <is>
          <t>Yes</t>
        </is>
      </c>
      <c r="T11" s="11" t="inlineStr">
        <is>
          <t>Yes</t>
        </is>
      </c>
      <c r="U11" s="11" t="inlineStr">
        <is>
          <t>No</t>
        </is>
      </c>
      <c r="V11" s="11" t="inlineStr">
        <is>
          <t>Yes</t>
        </is>
      </c>
    </row>
    <row r="12" ht="123.5" customHeight="1">
      <c r="A12" s="7" t="inlineStr">
        <is>
          <t>TC-FADH-04</t>
        </is>
      </c>
      <c r="B12" s="7" t="inlineStr">
        <is>
          <t>Chặn khi thiếu consent chia sẻ</t>
        </is>
      </c>
      <c r="C12" s="8" t="inlineStr">
        <is>
          <t>DB Supabase local reset sạch; dùng fixture history_data; patient P có health_data; family F liên kết active, sharing=true và family_sharing của P còn hiệu lực. Thu hồi family_sharing của P</t>
        </is>
      </c>
      <c r="D12" s="8" t="inlineStr">
        <is>
          <t>1. Tạo patient/family và lịch 08:00 qua fixture history_data.
2. Gọi GET /adherence?patient_id=P&amp;from=2026-10-19&amp;to=2026-10-19 bằng app session của F.
3. Đối chiếu response, dose_logs và access_logs bằng assertion của test nêu ở Comments.</t>
        </is>
      </c>
      <c r="E12" s="8" t="inlineStr">
        <is>
          <t>case=family_consent; patient_id=P</t>
        </is>
      </c>
      <c r="F12" s="8" t="inlineStr">
        <is>
          <t>403 {detail: khong_co_quyen}; Cache-Control: no-store; có denied và dose_logs không đổi.</t>
        </is>
      </c>
      <c r="G12" s="8" t="inlineStr">
        <is>
          <t>1 ca tự động pass trong phiên; các assertion của ca được thực thi. Bằng chứng: evidence/test-history.log.</t>
        </is>
      </c>
      <c r="H12" s="7" t="inlineStr">
        <is>
          <t>Pass</t>
        </is>
      </c>
      <c r="I12" s="8" t="inlineStr">
        <is>
          <t>PB21 · AC4 · Decision Table (R4) · EP (6) · test_unlinked_missing_consents_sharing_off_admin_denied_and_audited__AC11[family_consent] · evidence/test-history.log</t>
        </is>
      </c>
      <c r="Q12" s="10" t="inlineStr">
        <is>
          <t>sharing_enabled</t>
        </is>
      </c>
      <c r="R12" s="11" t="inlineStr">
        <is>
          <t>Yes</t>
        </is>
      </c>
      <c r="S12" s="11" t="inlineStr">
        <is>
          <t>Yes</t>
        </is>
      </c>
      <c r="T12" s="11" t="inlineStr">
        <is>
          <t>Yes</t>
        </is>
      </c>
      <c r="U12" s="11" t="inlineStr">
        <is>
          <t>Yes</t>
        </is>
      </c>
      <c r="V12" s="11" t="inlineStr">
        <is>
          <t>No</t>
        </is>
      </c>
    </row>
    <row r="13" ht="123.5" customHeight="1">
      <c r="A13" s="7" t="inlineStr">
        <is>
          <t>TC-FADH-05</t>
        </is>
      </c>
      <c r="B13" s="7" t="inlineStr">
        <is>
          <t>Chặn khi bệnh nhân tắt chia sẻ</t>
        </is>
      </c>
      <c r="C13" s="8" t="inlineStr">
        <is>
          <t>DB Supabase local reset sạch; dùng fixture history_data; patient P có health_data; family F liên kết active, sharing=true và family_sharing của P còn hiệu lực. Đặt sharing_enabled=false</t>
        </is>
      </c>
      <c r="D13" s="8" t="inlineStr">
        <is>
          <t>1. Tạo patient/family và lịch 08:00 qua fixture history_data.
2. Gọi GET /adherence?patient_id=P&amp;from=2026-10-19&amp;to=2026-10-19 bằng app session của F.
3. Đối chiếu response, dose_logs và access_logs bằng assertion của test nêu ở Comments.</t>
        </is>
      </c>
      <c r="E13" s="8" t="inlineStr">
        <is>
          <t>case=sharing_off; patient_id=P</t>
        </is>
      </c>
      <c r="F13" s="8" t="inlineStr">
        <is>
          <t>403 {detail: khong_co_quyen}; Cache-Control: no-store; có denied và dose_logs không đổi.</t>
        </is>
      </c>
      <c r="G13" s="8" t="inlineStr">
        <is>
          <t>1 ca tự động pass trong phiên; các assertion của ca được thực thi. Bằng chứng: evidence/test-history.log.</t>
        </is>
      </c>
      <c r="H13" s="7" t="inlineStr">
        <is>
          <t>Pass</t>
        </is>
      </c>
      <c r="I13" s="8" t="inlineStr">
        <is>
          <t>PB21 · AC4 · Decision Table (R5) · EP (7) · test_unlinked_missing_consents_sharing_off_admin_denied_and_audited__AC11[sharing_off] · evidence/test-history.log</t>
        </is>
      </c>
      <c r="Q13" s="6" t="inlineStr">
        <is>
          <t>Action</t>
        </is>
      </c>
      <c r="R13" s="5" t="inlineStr">
        <is>
          <t>R1</t>
        </is>
      </c>
      <c r="S13" s="5" t="inlineStr">
        <is>
          <t>R2</t>
        </is>
      </c>
      <c r="T13" s="5" t="inlineStr">
        <is>
          <t>R3</t>
        </is>
      </c>
      <c r="U13" s="5" t="inlineStr">
        <is>
          <t>R4</t>
        </is>
      </c>
      <c r="V13" s="5" t="inlineStr">
        <is>
          <t>R5</t>
        </is>
      </c>
    </row>
    <row r="14" ht="123.5" customHeight="1">
      <c r="A14" s="7" t="inlineStr">
        <is>
          <t>TC-FADH-06</t>
        </is>
      </c>
      <c r="B14" s="7" t="inlineStr">
        <is>
          <t>Chặn sửa patient_id sang bệnh nhân khác</t>
        </is>
      </c>
      <c r="C14" s="8" t="inlineStr">
        <is>
          <t>DB Supabase local reset sạch; dùng fixture history_data; patient P có health_data; family F liên kết active, sharing=true và family_sharing của P còn hiệu lực. Thêm patient Q không liên kết với F.</t>
        </is>
      </c>
      <c r="D14" s="8" t="inlineStr">
        <is>
          <t>1. Tạo patient/family và lịch 08:00 qua fixture history_data.
2. Gọi GET /adherence?patient_id=P&amp;from=2026-10-19&amp;to=2026-10-19 bằng app session của F.
3. Đối chiếu response, dose_logs và access_logs bằng assertion của test nêu ở Comments.</t>
        </is>
      </c>
      <c r="E14" s="8" t="inlineStr">
        <is>
          <t>patient_id=Q</t>
        </is>
      </c>
      <c r="F14" s="8" t="inlineStr">
        <is>
          <t>403; denied cho Q; không trả dữ liệu Q; request P trước đó có allowed.</t>
        </is>
      </c>
      <c r="G14" s="8" t="inlineStr"/>
      <c r="H14" s="7" t="inlineStr">
        <is>
          <t>Pending</t>
        </is>
      </c>
      <c r="I14" s="8" t="inlineStr">
        <is>
          <t>PB21 · AC4 · EP (4) · kiểm truy cập chéo · test_family_patient_selector_tamper · evidence/test-history.log · Pending: test dừng tại schema adherence thiếu trong contract; chưa chạy hết các assertion hành vi.</t>
        </is>
      </c>
      <c r="Q14" s="10" t="inlineStr">
        <is>
          <t>200 + allowed</t>
        </is>
      </c>
      <c r="R14" s="11" t="inlineStr">
        <is>
          <t>X</t>
        </is>
      </c>
      <c r="S14" s="11" t="inlineStr"/>
      <c r="T14" s="11" t="inlineStr"/>
      <c r="U14" s="11" t="inlineStr"/>
      <c r="V14" s="11" t="inlineStr"/>
    </row>
    <row r="15" ht="156.5" customHeight="1">
      <c r="A15" s="7" t="inlineStr">
        <is>
          <t>TC-FADH-07</t>
        </is>
      </c>
      <c r="B15" s="7" t="inlineStr">
        <is>
          <t>Mất quyền ngay sau thay đổi health_consent</t>
        </is>
      </c>
      <c r="C15" s="8" t="inlineStr">
        <is>
          <t>DB Supabase local reset sạch; dùng fixture history_data; patient P có health_data; family F liên kết active, sharing=true và family_sharing của P còn hiệu lực.</t>
        </is>
      </c>
      <c r="D15" s="8" t="inlineStr">
        <is>
          <t>1. Tạo patient/family và lịch 08:00 qua fixture history_data.
2. Gọi GET /adherence?patient_id=P&amp;from=2026-10-19&amp;to=2026-10-19 bằng app session của F.
3. Giữ nguyên token; thực hiện health_consent.
4. Gửi GET /adherence ngay bằng cùng token và kiểm denied.</t>
        </is>
      </c>
      <c r="E15" s="8" t="inlineStr">
        <is>
          <t>change=health_consent; cùng bearer session</t>
        </is>
      </c>
      <c r="F15" s="8" t="inlineStr">
        <is>
          <t>Request đầu 200, request kế tiếp 403 {detail: khong_co_quyen}; audit lần lượt allowed, denied.</t>
        </is>
      </c>
      <c r="G15" s="8" t="inlineStr"/>
      <c r="H15" s="7" t="inlineStr">
        <is>
          <t>Pending</t>
        </is>
      </c>
      <c r="I15" s="8" t="inlineStr">
        <is>
          <t>PB21 · AC5 · Chuyển trạng thái (allowed → denied) · test_revoke_sharing_off_unlink_denies_immediate_next_request_same_token__AC12[health_consent] · evidence/test-history.log · Pending: test dừng tại schema adherence thiếu trong contract; chưa chạy hết các assertion hành vi.</t>
        </is>
      </c>
      <c r="Q15" s="10" t="inlineStr">
        <is>
          <t>403 + denied</t>
        </is>
      </c>
      <c r="R15" s="11" t="inlineStr"/>
      <c r="S15" s="11" t="inlineStr">
        <is>
          <t>X</t>
        </is>
      </c>
      <c r="T15" s="11" t="inlineStr">
        <is>
          <t>X</t>
        </is>
      </c>
      <c r="U15" s="11" t="inlineStr">
        <is>
          <t>X</t>
        </is>
      </c>
      <c r="V15" s="11" t="inlineStr">
        <is>
          <t>X</t>
        </is>
      </c>
    </row>
    <row r="16" ht="156.5" customHeight="1">
      <c r="A16" s="7" t="inlineStr">
        <is>
          <t>TC-FADH-08</t>
        </is>
      </c>
      <c r="B16" s="7" t="inlineStr">
        <is>
          <t>Mất quyền ngay sau thay đổi family_consent</t>
        </is>
      </c>
      <c r="C16" s="8" t="inlineStr">
        <is>
          <t>DB Supabase local reset sạch; dùng fixture history_data; patient P có health_data; family F liên kết active, sharing=true và family_sharing của P còn hiệu lực.</t>
        </is>
      </c>
      <c r="D16" s="8" t="inlineStr">
        <is>
          <t>1. Tạo patient/family và lịch 08:00 qua fixture history_data.
2. Gọi GET /adherence?patient_id=P&amp;from=2026-10-19&amp;to=2026-10-19 bằng app session của F.
3. Giữ nguyên token; thực hiện family_consent.
4. Gửi GET /adherence ngay bằng cùng token và kiểm denied.</t>
        </is>
      </c>
      <c r="E16" s="8" t="inlineStr">
        <is>
          <t>change=family_consent; cùng bearer session</t>
        </is>
      </c>
      <c r="F16" s="8" t="inlineStr">
        <is>
          <t>Request đầu 200, request kế tiếp 403 {detail: khong_co_quyen}; audit lần lượt allowed, denied.</t>
        </is>
      </c>
      <c r="G16" s="8" t="inlineStr"/>
      <c r="H16" s="7" t="inlineStr">
        <is>
          <t>Pending</t>
        </is>
      </c>
      <c r="I16" s="8" t="inlineStr">
        <is>
          <t>PB21 · AC5 · Chuyển trạng thái (allowed → denied) · test_revoke_sharing_off_unlink_denies_immediate_next_request_same_token__AC12[family_consent] · evidence/test-history.log · Pending: test dừng tại schema adherence thiếu trong contract; chưa chạy hết các assertion hành vi.</t>
        </is>
      </c>
    </row>
    <row r="17" ht="156.5" customHeight="1">
      <c r="A17" s="7" t="inlineStr">
        <is>
          <t>TC-FADH-09</t>
        </is>
      </c>
      <c r="B17" s="7" t="inlineStr">
        <is>
          <t>Mất quyền ngay sau thay đổi sharing_off</t>
        </is>
      </c>
      <c r="C17" s="8" t="inlineStr">
        <is>
          <t>DB Supabase local reset sạch; dùng fixture history_data; patient P có health_data; family F liên kết active, sharing=true và family_sharing của P còn hiệu lực.</t>
        </is>
      </c>
      <c r="D17" s="8" t="inlineStr">
        <is>
          <t>1. Tạo patient/family và lịch 08:00 qua fixture history_data.
2. Gọi GET /adherence?patient_id=P&amp;from=2026-10-19&amp;to=2026-10-19 bằng app session của F.
3. Giữ nguyên token; thực hiện sharing_off.
4. Gửi GET /adherence ngay bằng cùng token và kiểm denied.</t>
        </is>
      </c>
      <c r="E17" s="8" t="inlineStr">
        <is>
          <t>change=sharing_off; cùng bearer session</t>
        </is>
      </c>
      <c r="F17" s="8" t="inlineStr">
        <is>
          <t>Request đầu 200, request kế tiếp 403 {detail: khong_co_quyen}; audit lần lượt allowed, denied.</t>
        </is>
      </c>
      <c r="G17" s="8" t="inlineStr"/>
      <c r="H17" s="7" t="inlineStr">
        <is>
          <t>Pending</t>
        </is>
      </c>
      <c r="I17" s="8" t="inlineStr">
        <is>
          <t>PB21 · AC5 · Chuyển trạng thái (allowed → denied) · test_revoke_sharing_off_unlink_denies_immediate_next_request_same_token__AC12[sharing_off] · evidence/test-history.log · Pending: test dừng tại schema adherence thiếu trong contract; chưa chạy hết các assertion hành vi.</t>
        </is>
      </c>
    </row>
    <row r="18" ht="156.5" customHeight="1">
      <c r="A18" s="7" t="inlineStr">
        <is>
          <t>TC-FADH-10</t>
        </is>
      </c>
      <c r="B18" s="7" t="inlineStr">
        <is>
          <t>Mất quyền ngay sau thay đổi unlink</t>
        </is>
      </c>
      <c r="C18" s="8" t="inlineStr">
        <is>
          <t>DB Supabase local reset sạch; dùng fixture history_data; patient P có health_data; family F liên kết active, sharing=true và family_sharing của P còn hiệu lực.</t>
        </is>
      </c>
      <c r="D18" s="8" t="inlineStr">
        <is>
          <t>1. Tạo patient/family và lịch 08:00 qua fixture history_data.
2. Gọi GET /adherence?patient_id=P&amp;from=2026-10-19&amp;to=2026-10-19 bằng app session của F.
3. Giữ nguyên token; thực hiện unlink.
4. Gửi GET /adherence ngay bằng cùng token và kiểm denied.</t>
        </is>
      </c>
      <c r="E18" s="8" t="inlineStr">
        <is>
          <t>change=unlink; cùng bearer session</t>
        </is>
      </c>
      <c r="F18" s="8" t="inlineStr">
        <is>
          <t>Request đầu 200, request kế tiếp 403 {detail: khong_co_quyen}; audit lần lượt allowed, denied.</t>
        </is>
      </c>
      <c r="G18" s="8" t="inlineStr"/>
      <c r="H18" s="7" t="inlineStr">
        <is>
          <t>Pending</t>
        </is>
      </c>
      <c r="I18" s="8" t="inlineStr">
        <is>
          <t>PB21 · AC5 · Chuyển trạng thái (allowed → denied) · test_revoke_sharing_off_unlink_denies_immediate_next_request_same_token__AC12[unlink] · evidence/test-history.log · Pending: test dừng tại schema adherence thiếu trong contract; chưa chạy hết các assertion hành vi.</t>
        </is>
      </c>
    </row>
    <row r="19" ht="107" customHeight="1">
      <c r="A19" s="7" t="inlineStr">
        <is>
          <t>TC-FADH-11</t>
        </is>
      </c>
      <c r="B19" s="7" t="inlineStr">
        <is>
          <t>Chặn lịch sử khi lỗi allowed_insert</t>
        </is>
      </c>
      <c r="C19" s="8" t="inlineStr">
        <is>
          <t>DB Supabase local reset sạch; dùng fixture history_data; patient P có health_data; family F liên kết active, sharing=true và family_sharing của P còn hiệu lực.</t>
        </is>
      </c>
      <c r="D19" s="8" t="inlineStr">
        <is>
          <t>1. Tạo patient/family và lịch 08:00 qua fixture history_data.
2. Gắn fault injection allowed_insert theo test access.
3. GET /adherence, kiểm status/body, log, SQL history read và snapshot DB.</t>
        </is>
      </c>
      <c r="E19" s="8" t="inlineStr">
        <is>
          <t>failure=allowed_insert</t>
        </is>
      </c>
      <c r="F19" s="8" t="inlineStr">
        <is>
          <t>500 {detail: Internal server error}; no-store; không trả dữ liệu sức khỏe; không thay dose_logs; lỗi quyền/audit trước đọc thì không SELECT lịch sử.</t>
        </is>
      </c>
      <c r="G19" s="8" t="inlineStr">
        <is>
          <t>1 ca tự động pass trong phiên; các assertion của ca được thực thi. Bằng chứng: evidence/test-history.log.</t>
        </is>
      </c>
      <c r="H19" s="7" t="inlineStr">
        <is>
          <t>Pass</t>
        </is>
      </c>
      <c r="I19" s="8" t="inlineStr">
        <is>
          <t>PB21 · AC7 · Đoán lỗi (fail-closed) · test_audit_permission_and_commit_failure_fail_closed_without_health__AC13[allowed_insert] · evidence/test-history.log</t>
        </is>
      </c>
    </row>
    <row r="20" ht="107" customHeight="1">
      <c r="A20" s="7" t="inlineStr">
        <is>
          <t>TC-FADH-12</t>
        </is>
      </c>
      <c r="B20" s="7" t="inlineStr">
        <is>
          <t>Chặn lịch sử khi lỗi commit</t>
        </is>
      </c>
      <c r="C20" s="8" t="inlineStr">
        <is>
          <t>DB Supabase local reset sạch; dùng fixture history_data; patient P có health_data; family F liên kết active, sharing=true và family_sharing của P còn hiệu lực.</t>
        </is>
      </c>
      <c r="D20" s="8" t="inlineStr">
        <is>
          <t>1. Tạo patient/family và lịch 08:00 qua fixture history_data.
2. Gắn fault injection commit theo test access.
3. GET /adherence, kiểm status/body, log, SQL history read và snapshot DB.</t>
        </is>
      </c>
      <c r="E20" s="8" t="inlineStr">
        <is>
          <t>failure=commit</t>
        </is>
      </c>
      <c r="F20" s="8" t="inlineStr">
        <is>
          <t>500 {detail: Internal server error}; no-store; không trả dữ liệu sức khỏe; không thay dose_logs; lỗi quyền/audit trước đọc thì không SELECT lịch sử.</t>
        </is>
      </c>
      <c r="G20" s="8" t="inlineStr">
        <is>
          <t>1 ca tự động pass trong phiên; các assertion của ca được thực thi. Bằng chứng: evidence/test-history.log.</t>
        </is>
      </c>
      <c r="H20" s="7" t="inlineStr">
        <is>
          <t>Pass</t>
        </is>
      </c>
      <c r="I20" s="8" t="inlineStr">
        <is>
          <t>PB21 · AC7 · Đoán lỗi (fail-closed) · test_audit_permission_and_commit_failure_fail_closed_without_health__AC13[commit] · evidence/test-history.log</t>
        </is>
      </c>
    </row>
    <row r="21" ht="107" customHeight="1">
      <c r="A21" s="7" t="inlineStr">
        <is>
          <t>TC-FADH-13</t>
        </is>
      </c>
      <c r="B21" s="7" t="inlineStr">
        <is>
          <t>Chặn lịch sử khi lỗi denied_insert</t>
        </is>
      </c>
      <c r="C21" s="8" t="inlineStr">
        <is>
          <t>DB Supabase local reset sạch; dùng fixture history_data; patient P có health_data; family F liên kết active, sharing=true và family_sharing của P còn hiệu lực.</t>
        </is>
      </c>
      <c r="D21" s="8" t="inlineStr">
        <is>
          <t>1. Tạo patient/family và lịch 08:00 qua fixture history_data.
2. Gắn fault injection denied_insert theo test access.
3. GET /adherence, kiểm status/body, log, SQL history read và snapshot DB.</t>
        </is>
      </c>
      <c r="E21" s="8" t="inlineStr">
        <is>
          <t>failure=denied_insert</t>
        </is>
      </c>
      <c r="F21" s="8" t="inlineStr">
        <is>
          <t>500 {detail: Internal server error}; no-store; không trả dữ liệu sức khỏe; không thay dose_logs; lỗi quyền/audit trước đọc thì không SELECT lịch sử.</t>
        </is>
      </c>
      <c r="G21" s="8" t="inlineStr">
        <is>
          <t>1 ca tự động pass trong phiên; các assertion của ca được thực thi. Bằng chứng: evidence/test-history.log.</t>
        </is>
      </c>
      <c r="H21" s="7" t="inlineStr">
        <is>
          <t>Pass</t>
        </is>
      </c>
      <c r="I21" s="8" t="inlineStr">
        <is>
          <t>PB21 · AC7 · Đoán lỗi (fail-closed) · test_audit_permission_and_commit_failure_fail_closed_without_health__AC13[denied_insert] · evidence/test-history.log</t>
        </is>
      </c>
    </row>
    <row r="22" ht="107" customHeight="1">
      <c r="A22" s="7" t="inlineStr">
        <is>
          <t>TC-FADH-14</t>
        </is>
      </c>
      <c r="B22" s="7" t="inlineStr">
        <is>
          <t>Chặn lịch sử khi lỗi permission_read</t>
        </is>
      </c>
      <c r="C22" s="8" t="inlineStr">
        <is>
          <t>DB Supabase local reset sạch; dùng fixture history_data; patient P có health_data; family F liên kết active, sharing=true và family_sharing của P còn hiệu lực.</t>
        </is>
      </c>
      <c r="D22" s="8" t="inlineStr">
        <is>
          <t>1. Tạo patient/family và lịch 08:00 qua fixture history_data.
2. Gắn fault injection permission_read theo test access.
3. GET /adherence, kiểm status/body, log, SQL history read và snapshot DB.</t>
        </is>
      </c>
      <c r="E22" s="8" t="inlineStr">
        <is>
          <t>failure=permission_read</t>
        </is>
      </c>
      <c r="F22" s="8" t="inlineStr">
        <is>
          <t>500 {detail: Internal server error}; no-store; không trả dữ liệu sức khỏe; không thay dose_logs; lỗi quyền/audit trước đọc thì không SELECT lịch sử.</t>
        </is>
      </c>
      <c r="G22" s="8" t="inlineStr">
        <is>
          <t>1 ca tự động pass trong phiên; các assertion của ca được thực thi. Bằng chứng: evidence/test-history.log.</t>
        </is>
      </c>
      <c r="H22" s="7" t="inlineStr">
        <is>
          <t>Pass</t>
        </is>
      </c>
      <c r="I22" s="8" t="inlineStr">
        <is>
          <t>PB21 · AC7 · Đoán lỗi (fail-closed) · test_audit_permission_and_commit_failure_fail_closed_without_health__AC13[permission_read] · evidence/test-history.log</t>
        </is>
      </c>
    </row>
    <row r="23" ht="123.5" customHeight="1">
      <c r="A23" s="7" t="inlineStr">
        <is>
          <t>TC-FADH-15</t>
        </is>
      </c>
      <c r="B23" s="7" t="inlineStr">
        <is>
          <t>Giữ denied audit sau rollback nghiệp vụ</t>
        </is>
      </c>
      <c r="C23" s="8" t="inlineStr">
        <is>
          <t>DB Supabase local reset sạch; dùng fixture history_data; patient P có health_data; family F liên kết active, sharing=true và family_sharing của P còn hiệu lực. Thu hồi health_data.</t>
        </is>
      </c>
      <c r="D23" s="8" t="inlineStr">
        <is>
          <t>1. Gắn context theo dõi rollback như test.
2. GET /adherence bằng patient P.
3. Sau rollback đọc access_logs bằng kết nối DB riêng.</t>
        </is>
      </c>
      <c r="E23" s="8" t="inlineStr">
        <is>
          <t>health_data=thu_hoi</t>
        </is>
      </c>
      <c r="F23" s="8" t="inlineStr">
        <is>
          <t>403; outer transaction đã rollback; denied consent_revoked còn bền.</t>
        </is>
      </c>
      <c r="G23" s="8" t="inlineStr">
        <is>
          <t>1 ca tự động pass trong phiên; các assertion của ca được thực thi. Bằng chứng: evidence/test-history.log.</t>
        </is>
      </c>
      <c r="H23" s="7" t="inlineStr">
        <is>
          <t>Pass</t>
        </is>
      </c>
      <c r="I23" s="8" t="inlineStr">
        <is>
          <t>PB21 · AC7 · Đoán lỗi (rollback) · test_denied_audit_survives_outer_transaction_rollback · evidence/test-history.log</t>
        </is>
      </c>
    </row>
    <row r="24" ht="107" customHeight="1">
      <c r="A24" s="7" t="inlineStr">
        <is>
          <t>TC-FADH-16</t>
        </is>
      </c>
      <c r="B24" s="7" t="inlineStr">
        <is>
          <t>Từ chối phiên missing</t>
        </is>
      </c>
      <c r="C24" s="8" t="inlineStr">
        <is>
          <t>DB Supabase local reset sạch; dùng fixture history_data; patient P có health_data; family F liên kết active, sharing=true và family_sharing của P còn hiệu lực.</t>
        </is>
      </c>
      <c r="D24" s="8" t="inlineStr">
        <is>
          <t>1. Chuẩn bị auth theo kind của test (không in token).
2. GET /adherence.
3. Kiểm 401, no-store, body chỉ có detail và không ghi allowed.</t>
        </is>
      </c>
      <c r="E24" s="8" t="inlineStr">
        <is>
          <t>kind=missing</t>
        </is>
      </c>
      <c r="F24" s="8" t="inlineStr">
        <is>
          <t>401; no-store; không trả dữ liệu sức khỏe; không có access_logs.</t>
        </is>
      </c>
      <c r="G24" s="8" t="inlineStr">
        <is>
          <t>1 ca tự động pass trong phiên; các assertion của ca được thực thi. Bằng chứng: evidence/test-history.log.</t>
        </is>
      </c>
      <c r="H24" s="7" t="inlineStr">
        <is>
          <t>Pass</t>
        </is>
      </c>
      <c r="I24" s="8" t="inlineStr">
        <is>
          <t>PB21 · AC4 · Đoán lỗi (xác thực) · test_authentication_401_and_no_store_without_health_payload__AC14[missing] · evidence/test-history.log</t>
        </is>
      </c>
    </row>
    <row r="25" ht="107" customHeight="1">
      <c r="A25" s="7" t="inlineStr">
        <is>
          <t>TC-FADH-17</t>
        </is>
      </c>
      <c r="B25" s="7" t="inlineStr">
        <is>
          <t>Từ chối phiên invalid</t>
        </is>
      </c>
      <c r="C25" s="8" t="inlineStr">
        <is>
          <t>DB Supabase local reset sạch; dùng fixture history_data; patient P có health_data; family F liên kết active, sharing=true và family_sharing của P còn hiệu lực.</t>
        </is>
      </c>
      <c r="D25" s="8" t="inlineStr">
        <is>
          <t>1. Chuẩn bị auth theo kind của test (không in token).
2. GET /adherence.
3. Kiểm 401, no-store, body chỉ có detail và không ghi allowed.</t>
        </is>
      </c>
      <c r="E25" s="8" t="inlineStr">
        <is>
          <t>kind=invalid</t>
        </is>
      </c>
      <c r="F25" s="8" t="inlineStr">
        <is>
          <t>401; no-store; không trả dữ liệu sức khỏe; không có access_logs.</t>
        </is>
      </c>
      <c r="G25" s="8" t="inlineStr">
        <is>
          <t>1 ca tự động pass trong phiên; các assertion của ca được thực thi. Bằng chứng: evidence/test-history.log.</t>
        </is>
      </c>
      <c r="H25" s="7" t="inlineStr">
        <is>
          <t>Pass</t>
        </is>
      </c>
      <c r="I25" s="8" t="inlineStr">
        <is>
          <t>PB21 · AC4 · Đoán lỗi (xác thực) · test_authentication_401_and_no_store_without_health_payload__AC14[invalid] · evidence/test-history.log</t>
        </is>
      </c>
    </row>
    <row r="26" ht="107" customHeight="1">
      <c r="A26" s="7" t="inlineStr">
        <is>
          <t>TC-FADH-18</t>
        </is>
      </c>
      <c r="B26" s="7" t="inlineStr">
        <is>
          <t>Từ chối phiên expired</t>
        </is>
      </c>
      <c r="C26" s="8" t="inlineStr">
        <is>
          <t>DB Supabase local reset sạch; dùng fixture history_data; patient P có health_data; family F liên kết active, sharing=true và family_sharing của P còn hiệu lực.</t>
        </is>
      </c>
      <c r="D26" s="8" t="inlineStr">
        <is>
          <t>1. Chuẩn bị auth theo kind của test (không in token).
2. GET /adherence.
3. Kiểm 401, no-store, body chỉ có detail và không ghi allowed.</t>
        </is>
      </c>
      <c r="E26" s="8" t="inlineStr">
        <is>
          <t>kind=expired</t>
        </is>
      </c>
      <c r="F26" s="8" t="inlineStr">
        <is>
          <t>401; no-store; không trả dữ liệu sức khỏe; không có access_logs.</t>
        </is>
      </c>
      <c r="G26" s="8" t="inlineStr">
        <is>
          <t>1 ca tự động pass trong phiên; các assertion của ca được thực thi. Bằng chứng: evidence/test-history.log.</t>
        </is>
      </c>
      <c r="H26" s="7" t="inlineStr">
        <is>
          <t>Pass</t>
        </is>
      </c>
      <c r="I26" s="8" t="inlineStr">
        <is>
          <t>PB21 · AC4 · Đoán lỗi (xác thực) · test_authentication_401_and_no_store_without_health_payload__AC14[expired] · evidence/test-history.log</t>
        </is>
      </c>
    </row>
    <row r="27" ht="107" customHeight="1">
      <c r="A27" s="7" t="inlineStr">
        <is>
          <t>TC-FADH-19</t>
        </is>
      </c>
      <c r="B27" s="7" t="inlineStr">
        <is>
          <t>Từ chối phiên erased</t>
        </is>
      </c>
      <c r="C27" s="8" t="inlineStr">
        <is>
          <t>DB Supabase local reset sạch; dùng fixture history_data; patient P có health_data; family F liên kết active, sharing=true và family_sharing của P còn hiệu lực.</t>
        </is>
      </c>
      <c r="D27" s="8" t="inlineStr">
        <is>
          <t>1. Chuẩn bị auth theo kind của test (không in token).
2. GET /adherence.
3. Kiểm 401, no-store, body chỉ có detail và không ghi allowed.</t>
        </is>
      </c>
      <c r="E27" s="8" t="inlineStr">
        <is>
          <t>kind=erased</t>
        </is>
      </c>
      <c r="F27" s="8" t="inlineStr">
        <is>
          <t>401; no-store; không trả dữ liệu sức khỏe; không có access_logs.</t>
        </is>
      </c>
      <c r="G27" s="8" t="inlineStr">
        <is>
          <t>1 ca tự động pass trong phiên; các assertion của ca được thực thi. Bằng chứng: evidence/test-history.log.</t>
        </is>
      </c>
      <c r="H27" s="7" t="inlineStr">
        <is>
          <t>Pass</t>
        </is>
      </c>
      <c r="I27" s="8" t="inlineStr">
        <is>
          <t>PB21 · AC4 · Đoán lỗi (xác thực) · test_authentication_401_and_no_store_without_health_payload__AC14[erased] · evidence/test-history.log</t>
        </is>
      </c>
    </row>
    <row r="28" ht="90.5" customHeight="1">
      <c r="A28" s="7" t="inlineStr">
        <is>
          <t>TC-FADH-20</t>
        </is>
      </c>
      <c r="B28" s="7" t="inlineStr">
        <is>
          <t>Tính ngay xác nhận tại -30 phút</t>
        </is>
      </c>
      <c r="C28" s="8" t="inlineStr">
        <is>
          <t>Unit application: access Mock cho phép, reader trả một HistoryRow; chưa chứng minh PEP/DB.</t>
        </is>
      </c>
      <c r="D28" s="8" t="inlineStr">
        <is>
          <t>1. Chạy test tại backend/tests/unit/test_get_adherence_history.py với delay0, cả group_by=date và medication.
2. Quan sát ở đúng taken_at; kiểm summary, nhóm và một dose.</t>
        </is>
      </c>
      <c r="E28" s="8" t="inlineStr">
        <is>
          <t>scheduled_at=08:00 +07; delay=-30 phút; status=da_uong</t>
        </is>
      </c>
      <c r="F28" s="8" t="inlineStr">
        <is>
          <t>total=1, counted=1, rate=100.00; taken/late đúng trạng thái; đúng một liều ngay khi xác nhận.</t>
        </is>
      </c>
      <c r="G28" s="8" t="inlineStr">
        <is>
          <t>Cả date và medication trả total/taken/counted=0, rate=None, groups rỗng tại 07:30; 2 assertion fail. evidence/test-unit.log</t>
        </is>
      </c>
      <c r="H28" s="7" t="inlineStr">
        <is>
          <t>Fail</t>
        </is>
      </c>
      <c r="I28" s="8" t="inlineStr">
        <is>
          <t>PB21 · AC2,AC3 · BVA (-30 phút) · EP (2) · test_confirmed_before_deadline_counts_immediately__AC3[delay0- · evidence/test-unit.log</t>
        </is>
      </c>
    </row>
    <row r="29" ht="90.5" customHeight="1">
      <c r="A29" s="7" t="inlineStr">
        <is>
          <t>TC-FADH-21</t>
        </is>
      </c>
      <c r="B29" s="7" t="inlineStr">
        <is>
          <t>Tính ngay xác nhận tại 0 phút</t>
        </is>
      </c>
      <c r="C29" s="8" t="inlineStr">
        <is>
          <t>Unit application: access Mock cho phép, reader trả một HistoryRow; chưa chứng minh PEP/DB.</t>
        </is>
      </c>
      <c r="D29" s="8" t="inlineStr">
        <is>
          <t>1. Chạy test tại backend/tests/unit/test_get_adherence_history.py với delay1, cả group_by=date và medication.
2. Quan sát ở đúng taken_at; kiểm summary, nhóm và một dose.</t>
        </is>
      </c>
      <c r="E29" s="8" t="inlineStr">
        <is>
          <t>scheduled_at=08:00 +07; delay=0 phút; status=da_uong</t>
        </is>
      </c>
      <c r="F29" s="8" t="inlineStr">
        <is>
          <t>total=1, counted=1, rate=100.00; taken/late đúng trạng thái; đúng một liều ngay khi xác nhận.</t>
        </is>
      </c>
      <c r="G29" s="8" t="inlineStr">
        <is>
          <t>2 ca tự động pass trong phiên; các assertion của ca được thực thi. Bằng chứng: evidence/test-unit.log.</t>
        </is>
      </c>
      <c r="H29" s="7" t="inlineStr">
        <is>
          <t>Pass</t>
        </is>
      </c>
      <c r="I29" s="8" t="inlineStr">
        <is>
          <t>PB21 · AC2,AC3 · BVA (0 phút) · EP (2) · test_confirmed_before_deadline_counts_immediately__AC3[delay1- · evidence/test-unit.log</t>
        </is>
      </c>
    </row>
    <row r="30" ht="90.5" customHeight="1">
      <c r="A30" s="7" t="inlineStr">
        <is>
          <t>TC-FADH-22</t>
        </is>
      </c>
      <c r="B30" s="7" t="inlineStr">
        <is>
          <t>Tính ngay xác nhận tại +30 phút</t>
        </is>
      </c>
      <c r="C30" s="8" t="inlineStr">
        <is>
          <t>Unit application: access Mock cho phép, reader trả một HistoryRow; chưa chứng minh PEP/DB.</t>
        </is>
      </c>
      <c r="D30" s="8" t="inlineStr">
        <is>
          <t>1. Chạy test tại backend/tests/unit/test_get_adherence_history.py với delay2, cả group_by=date và medication.
2. Quan sát ở đúng taken_at; kiểm summary, nhóm và một dose.</t>
        </is>
      </c>
      <c r="E30" s="8" t="inlineStr">
        <is>
          <t>scheduled_at=08:00 +07; delay=+30 phút; status=da_uong</t>
        </is>
      </c>
      <c r="F30" s="8" t="inlineStr">
        <is>
          <t>total=1, counted=1, rate=100.00; taken/late đúng trạng thái; đúng một liều ngay khi xác nhận.</t>
        </is>
      </c>
      <c r="G30" s="8" t="inlineStr">
        <is>
          <t>2 ca tự động pass trong phiên; các assertion của ca được thực thi. Bằng chứng: evidence/test-unit.log.</t>
        </is>
      </c>
      <c r="H30" s="7" t="inlineStr">
        <is>
          <t>Pass</t>
        </is>
      </c>
      <c r="I30" s="8" t="inlineStr">
        <is>
          <t>PB21 · AC2,AC3 · BVA (+30 phút) · EP (2) · test_confirmed_before_deadline_counts_immediately__AC3[delay2- · evidence/test-unit.log</t>
        </is>
      </c>
    </row>
    <row r="31" ht="90.5" customHeight="1">
      <c r="A31" s="7" t="inlineStr">
        <is>
          <t>TC-FADH-23</t>
        </is>
      </c>
      <c r="B31" s="7" t="inlineStr">
        <is>
          <t>Tính ngay xác nhận tại +30 phút +1µs</t>
        </is>
      </c>
      <c r="C31" s="8" t="inlineStr">
        <is>
          <t>Unit application: access Mock cho phép, reader trả một HistoryRow; chưa chứng minh PEP/DB.</t>
        </is>
      </c>
      <c r="D31" s="8" t="inlineStr">
        <is>
          <t>1. Chạy test tại backend/tests/unit/test_get_adherence_history.py với delay3, cả group_by=date và medication.
2. Quan sát ở đúng taken_at; kiểm summary, nhóm và một dose.</t>
        </is>
      </c>
      <c r="E31" s="8" t="inlineStr">
        <is>
          <t>scheduled_at=08:00 +07; delay=+30 phút +1µs; status=uong_tre</t>
        </is>
      </c>
      <c r="F31" s="8" t="inlineStr">
        <is>
          <t>total=1, counted=1, rate=100.00; taken/late đúng trạng thái; đúng một liều ngay khi xác nhận.</t>
        </is>
      </c>
      <c r="G31" s="8" t="inlineStr">
        <is>
          <t>2 ca tự động pass trong phiên; các assertion của ca được thực thi. Bằng chứng: evidence/test-unit.log.</t>
        </is>
      </c>
      <c r="H31" s="7" t="inlineStr">
        <is>
          <t>Pass</t>
        </is>
      </c>
      <c r="I31" s="8" t="inlineStr">
        <is>
          <t>PB21 · AC2,AC3 · BVA (+30 phút +1µs) · EP (2) · test_confirmed_before_deadline_counts_immediately__AC3[delay3- · evidence/test-unit.log</t>
        </is>
      </c>
    </row>
    <row r="32" ht="90.5" customHeight="1">
      <c r="A32" s="7" t="inlineStr">
        <is>
          <t>TC-FADH-24</t>
        </is>
      </c>
      <c r="B32" s="7" t="inlineStr">
        <is>
          <t>Tính ngay xác nhận tại +119 phút 59 giây</t>
        </is>
      </c>
      <c r="C32" s="8" t="inlineStr">
        <is>
          <t>Unit application: access Mock cho phép, reader trả một HistoryRow; chưa chứng minh PEP/DB.</t>
        </is>
      </c>
      <c r="D32" s="8" t="inlineStr">
        <is>
          <t>1. Chạy test tại backend/tests/unit/test_get_adherence_history.py với delay4, cả group_by=date và medication.
2. Quan sát ở đúng taken_at; kiểm summary, nhóm và một dose.</t>
        </is>
      </c>
      <c r="E32" s="8" t="inlineStr">
        <is>
          <t>scheduled_at=08:00 +07; delay=+119 phút 59 giây; status=uong_tre</t>
        </is>
      </c>
      <c r="F32" s="8" t="inlineStr">
        <is>
          <t>total=1, counted=1, rate=100.00; taken/late đúng trạng thái; đúng một liều ngay khi xác nhận.</t>
        </is>
      </c>
      <c r="G32" s="8" t="inlineStr">
        <is>
          <t>2 ca tự động pass trong phiên; các assertion của ca được thực thi. Bằng chứng: evidence/test-unit.log.</t>
        </is>
      </c>
      <c r="H32" s="7" t="inlineStr">
        <is>
          <t>Pass</t>
        </is>
      </c>
      <c r="I32" s="8" t="inlineStr">
        <is>
          <t>PB21 · AC2,AC3 · BVA (+119 phút 59 giây) · EP (2) · test_confirmed_before_deadline_counts_immediately__AC3[delay4- · evidence/test-unit.log</t>
        </is>
      </c>
    </row>
    <row r="33" ht="90.5" customHeight="1">
      <c r="A33" s="7" t="inlineStr">
        <is>
          <t>TC-FADH-25</t>
        </is>
      </c>
      <c r="B33" s="7" t="inlineStr">
        <is>
          <t>Tính ngay xác nhận tại +120 phút</t>
        </is>
      </c>
      <c r="C33" s="8" t="inlineStr">
        <is>
          <t>Unit application: access Mock cho phép, reader trả một HistoryRow; chưa chứng minh PEP/DB.</t>
        </is>
      </c>
      <c r="D33" s="8" t="inlineStr">
        <is>
          <t>1. Chạy test tại backend/tests/unit/test_get_adherence_history.py với delay5, cả group_by=date và medication.
2. Quan sát ở đúng taken_at; kiểm summary, nhóm và một dose.</t>
        </is>
      </c>
      <c r="E33" s="8" t="inlineStr">
        <is>
          <t>scheduled_at=08:00 +07; delay=+120 phút; status=uong_tre</t>
        </is>
      </c>
      <c r="F33" s="8" t="inlineStr">
        <is>
          <t>total=1, counted=1, rate=100.00; taken/late đúng trạng thái; đúng một liều ngay khi xác nhận.</t>
        </is>
      </c>
      <c r="G33" s="8" t="inlineStr">
        <is>
          <t>2 ca tự động pass trong phiên; các assertion của ca được thực thi. Bằng chứng: evidence/test-unit.log.</t>
        </is>
      </c>
      <c r="H33" s="7" t="inlineStr">
        <is>
          <t>Pass</t>
        </is>
      </c>
      <c r="I33" s="8" t="inlineStr">
        <is>
          <t>PB21 · AC2,AC3 · BVA (+120 phút) · EP (2) · test_confirmed_before_deadline_counts_immediately__AC3[delay5- · evidence/test-unit.log</t>
        </is>
      </c>
    </row>
    <row r="34" ht="90.5" customHeight="1">
      <c r="A34" s="7" t="inlineStr">
        <is>
          <t>TC-FADH-26</t>
        </is>
      </c>
      <c r="B34" s="7" t="inlineStr">
        <is>
          <t>Chuyển pending tại +120 thành missed ngay sau hạn</t>
        </is>
      </c>
      <c r="C34" s="8" t="inlineStr">
        <is>
          <t>Unit: một liều taken và một liều chưa xác nhận; thử cả status=None và bo_lo cũ.</t>
        </is>
      </c>
      <c r="D34" s="8" t="inlineStr">
        <is>
          <t>1. Chạy backend/tests/unit/test_get_adherence_history.py::test_unconfirmed_pending_at_deadline_then_missed__AC3.
2. So summary tại +120 và +120+1µs, hai kiểu nhóm.</t>
        </is>
      </c>
      <c r="E34" s="8" t="inlineStr">
        <is>
          <t>scheduled=08:00; as_of=10:00 và 10:00:00.000001 +07</t>
        </is>
      </c>
      <c r="F34" s="8" t="inlineStr">
        <is>
          <t>Tại hạn pending=1,counted=1,rate=100; sau hạn missed=1,counted=2,rate=50; không nhân đôi liều.</t>
        </is>
      </c>
      <c r="G34" s="8" t="inlineStr">
        <is>
          <t>4 ca tự động pass trong phiên; các assertion của ca được thực thi. Bằng chứng: evidence/test-unit.log.</t>
        </is>
      </c>
      <c r="H34" s="7" t="inlineStr">
        <is>
          <t>Pass</t>
        </is>
      </c>
      <c r="I34" s="8" t="inlineStr">
        <is>
          <t>PB21 · AC2,AC3 · BVA (max,max+1) · Chuyển trạng thái (pending → missed) · test_unconfirmed_pending_at_deadline_then_missed__AC3 · evidence/test-unit.log</t>
        </is>
      </c>
    </row>
    <row r="35" ht="90.5" customHeight="1">
      <c r="A35" s="7" t="inlineStr">
        <is>
          <t>TC-FADH-27</t>
        </is>
      </c>
      <c r="B35" s="7" t="inlineStr">
        <is>
          <t>Trả tỷ lệ null khi không có mẫu số</t>
        </is>
      </c>
      <c r="C35" s="8" t="inlineStr">
        <is>
          <t>Unit: không có liều hoặc chỉ có pending.</t>
        </is>
      </c>
      <c r="D35" s="8" t="inlineStr">
        <is>
          <t>1. Chạy backend/tests/unit/test_get_adherence_history.py::test_no_eligible_dose_has_null_rate__AC3.
2. Kiểm date và medication, có/không có pending.</t>
        </is>
      </c>
      <c r="E35" s="8" t="inlineStr">
        <is>
          <t>as_of=10:00 +07; counted=0</t>
        </is>
      </c>
      <c r="F35" s="8" t="inlineStr">
        <is>
          <t>adherence_rate=None; trường hợp rỗng không có nhóm, pending không vào mẫu số.</t>
        </is>
      </c>
      <c r="G35" s="8" t="inlineStr">
        <is>
          <t>4 ca tự động pass trong phiên; các assertion của ca được thực thi. Bằng chứng: evidence/test-unit.log.</t>
        </is>
      </c>
      <c r="H35" s="7" t="inlineStr">
        <is>
          <t>Pass</t>
        </is>
      </c>
      <c r="I35" s="8" t="inlineStr">
        <is>
          <t>PB21 · AC3 · EP (3) · test_no_eligible_dose_has_null_rate__AC3 · evidence/test-unit.log</t>
        </is>
      </c>
    </row>
    <row r="36" ht="107" customHeight="1">
      <c r="A36" s="7" t="inlineStr">
        <is>
          <t>TC-FADH-28</t>
        </is>
      </c>
      <c r="B36" s="7" t="inlineStr">
        <is>
          <t>Không tăng tỷ lệ khi thực uống sau hạn</t>
        </is>
      </c>
      <c r="C36" s="8" t="inlineStr">
        <is>
          <t>Unit: tạo DoseConfirmation tại +120+1µs.</t>
        </is>
      </c>
      <c r="D36" s="8" t="inlineStr">
        <is>
          <t>1. Chạy backend/tests/unit/test_get_adherence_history.py::test_after_deadline_confirmation_does_not_raise_rate__AC3.
2. So lịch sử trước và sau xác nhận, cả hai kiểu nhóm.</t>
        </is>
      </c>
      <c r="E36" s="8" t="inlineStr">
        <is>
          <t>taken_at=10:00:00.000001 +07 cho lịch 08:00</t>
        </is>
      </c>
      <c r="F36" s="8" t="inlineStr">
        <is>
          <t>status=bo_lo; counted=1, rate=0.00 trước và sau.</t>
        </is>
      </c>
      <c r="G36" s="8" t="inlineStr">
        <is>
          <t>2 ca tự động pass trong phiên; các assertion của ca được thực thi. Bằng chứng: evidence/test-unit.log.</t>
        </is>
      </c>
      <c r="H36" s="7" t="inlineStr">
        <is>
          <t>Pass</t>
        </is>
      </c>
      <c r="I36" s="8" t="inlineStr">
        <is>
          <t>PB21 · AC3 · BVA (max+1) · Chuyển trạng thái (missed không trở thành tuân thủ) · test_after_deadline_confirmation_does_not_raise_rate__AC3 · evidence/test-unit.log</t>
        </is>
      </c>
    </row>
    <row r="37" ht="90.5" customHeight="1">
      <c r="A37" s="7" t="inlineStr">
        <is>
          <t>TC-FADH-29</t>
        </is>
      </c>
      <c r="B37" s="7" t="inlineStr">
        <is>
          <t>Tính xác nhận hợp lệ được đồng bộ sau hạn</t>
        </is>
      </c>
      <c r="C37" s="8" t="inlineStr">
        <is>
          <t>Unit: thực uống +90 nhưng sync +121 phút.</t>
        </is>
      </c>
      <c r="D37" s="8" t="inlineStr">
        <is>
          <t>1. Chạy backend/tests/unit/test_get_adherence_history.py::test_valid_confirmation_synced_after_deadline_still_counts__AC3.
2. Kiểm status, taken_at và tỷ lệ.</t>
        </is>
      </c>
      <c r="E37" s="8" t="inlineStr">
        <is>
          <t>scheduled=08:00; taken=09:30; synced=10:01 +07</t>
        </is>
      </c>
      <c r="F37" s="8" t="inlineStr">
        <is>
          <t>uong_tre; total=late=counted=1, rate=100.00; taken_at=09:30.</t>
        </is>
      </c>
      <c r="G37" s="8" t="inlineStr">
        <is>
          <t>2 ca tự động pass trong phiên; các assertion của ca được thực thi. Bằng chứng: evidence/test-unit.log.</t>
        </is>
      </c>
      <c r="H37" s="7" t="inlineStr">
        <is>
          <t>Pass</t>
        </is>
      </c>
      <c r="I37" s="8" t="inlineStr">
        <is>
          <t>PB21 · AC3 · Chuyển trạng thái (đồng bộ muộn) · test_valid_confirmation_synced_after_deadline_still_counts__AC3 · evidence/test-unit.log</t>
        </is>
      </c>
    </row>
    <row r="38" ht="140" customHeight="1">
      <c r="A38" s="7" t="inlineStr">
        <is>
          <t>TC-FADH-30</t>
        </is>
      </c>
      <c r="B38" s="7" t="inlineStr">
        <is>
          <t>Phân nhóm và tính tỷ lệ 80% trên DB thật</t>
        </is>
      </c>
      <c r="C38" s="8" t="inlineStr">
        <is>
          <t>DB Supabase local reset sạch; dùng fixture history_data; patient P có health_data; family F liên kết active, sharing=true và family_sharing của P còn hiệu lực.</t>
        </is>
      </c>
      <c r="D38" s="8" t="inlineStr">
        <is>
          <t>1. Tạo patient/family và lịch 08:00 qua fixture history_data.
2. Gọi GET /adherence?patient_id=P&amp;from=2026-10-19&amp;to=2026-10-19 bằng app session của F.
3. Đối chiếu response, dose_logs và access_logs bằng assertion của test nêu ở Comments.</t>
        </is>
      </c>
      <c r="E38" s="8" t="inlineStr">
        <is>
          <t>3 taken,1 late,1 missed; hai thuốc trùng tên khác ID</t>
        </is>
      </c>
      <c r="F38" s="8" t="inlineStr">
        <is>
          <t>Hai kiểu nhóm có tổng 5, counted=5,rate=80; ID thuốc không bị gộp nhầm; no-store, allowed và DB không đổi.</t>
        </is>
      </c>
      <c r="G38" s="8" t="inlineStr"/>
      <c r="H38" s="7" t="inlineStr">
        <is>
          <t>Pending</t>
        </is>
      </c>
      <c r="I38" s="8" t="inlineStr">
        <is>
          <t>PB21 · AC1,AC2,AC3 · EP (1) · test_patient_history_by_date_medication_groups_and_80_percent · evidence/test-history.log · Pending: test dừng tại schema adherence thiếu trong contract; chưa chạy hết các assertion hành vi.</t>
        </is>
      </c>
    </row>
    <row r="39" ht="123.5" customHeight="1">
      <c r="A39" s="7" t="inlineStr">
        <is>
          <t>TC-FADH-31</t>
        </is>
      </c>
      <c r="B39" s="7" t="inlineStr">
        <is>
          <t>Giữ đúng ngày Việt Nam qua nửa đêm</t>
        </is>
      </c>
      <c r="C39" s="8" t="inlineStr">
        <is>
          <t>DB Supabase local reset sạch; dùng fixture history_data; patient P có health_data; family F liên kết active, sharing=true và family_sharing của P còn hiệu lực.</t>
        </is>
      </c>
      <c r="D39" s="8" t="inlineStr">
        <is>
          <t>1. Tạo patient/family và lịch 08:00 qua fixture history_data.
2. Gọi GET /adherence?patient_id=P&amp;from=2026-10-19&amp;to=2026-10-19 bằng app session của F.
3. Đối chiếu response, dose_logs và access_logs bằng assertion của test nêu ở Comments.</t>
        </is>
      </c>
      <c r="E39" s="8" t="inlineStr">
        <is>
          <t>Lịch và xác nhận hai phía 00:00 Asia/Ho_Chi_Minh</t>
        </is>
      </c>
      <c r="F39" s="8" t="inlineStr">
        <is>
          <t>Nhóm theo ngày scheduled_at ở Việt Nam, thứ tự ngày đúng, không nhân đôi liều.</t>
        </is>
      </c>
      <c r="G39" s="8" t="inlineStr"/>
      <c r="H39" s="7" t="inlineStr">
        <is>
          <t>Pending</t>
        </is>
      </c>
      <c r="I39" s="8" t="inlineStr">
        <is>
          <t>PB21 · AC2 · BVA (ngày) · test_scheduled_date_across_midnight · evidence/test-history.log · Pending: test dừng tại schema adherence thiếu trong contract; chưa chạy hết các assertion hành vi.</t>
        </is>
      </c>
    </row>
    <row r="40" ht="57.5" customHeight="1">
      <c r="A40" s="7" t="inlineStr">
        <is>
          <t>TC-FADH-32</t>
        </is>
      </c>
      <c r="B40" s="7" t="inlineStr">
        <is>
          <t>Chấp nhận khoảng ngày 90 và chặn 91 ngày</t>
        </is>
      </c>
      <c r="C40" s="8" t="inlineStr">
        <is>
          <t>Unit resolve_range; không có DB.</t>
        </is>
      </c>
      <c r="D40" s="8" t="inlineStr">
        <is>
          <t>1. Chạy tests/unit/test_adherence_history.py::test_inclusive_90_allowed_91_rejected.</t>
        </is>
      </c>
      <c r="E40" s="8" t="inlineStr">
        <is>
          <t>Khoảng bao gồm hai đầu dài 90 và 91 ngày</t>
        </is>
      </c>
      <c r="F40" s="8" t="inlineStr">
        <is>
          <t>90 được chấp nhận; 91 bị từ chối.</t>
        </is>
      </c>
      <c r="G40" s="8" t="inlineStr">
        <is>
          <t>1 ca tự động pass trong phiên; các assertion của ca được thực thi. Bằng chứng: evidence/test-unit.log.</t>
        </is>
      </c>
      <c r="H40" s="7" t="inlineStr">
        <is>
          <t>Pass</t>
        </is>
      </c>
      <c r="I40" s="8" t="inlineStr">
        <is>
          <t>PB21 · AC2 · BVA (max,max+1) · test_inclusive_90_allowed_91_rejected · evidence/test-unit.log</t>
        </is>
      </c>
    </row>
    <row r="41" ht="140" customHeight="1">
      <c r="A41" s="7" t="inlineStr">
        <is>
          <t>TC-FADH-33</t>
        </is>
      </c>
      <c r="B41" s="7" t="inlineStr">
        <is>
          <t>Không tạo trùng khi sync lại cùng client_uuid</t>
        </is>
      </c>
      <c r="C41" s="8" t="inlineStr">
        <is>
          <t>DB Supabase local reset sạch; dùng fixture history_data; patient P có health_data; family F liên kết active, sharing=true và family_sharing của P còn hiệu lực.</t>
        </is>
      </c>
      <c r="D41" s="8" t="inlineStr">
        <is>
          <t>1. Chạy backend/tests/integration/test_adherence_history_api.py::test_late_sync_worker_log_and_retry_keep_one_occurrence__AC15_AC20.
2. Kiểm một occurrence, client_uuid và status sau Worker + retry.</t>
        </is>
      </c>
      <c r="E41" s="8" t="inlineStr">
        <is>
          <t>taken +90; sync sau +120; cùng client_uuid hai lần</t>
        </is>
      </c>
      <c r="F41" s="8" t="inlineStr">
        <is>
          <t>Một dose_log và một occurrence; giữ xác nhận hợp lệ; lịch sử phản ánh liều trễ.</t>
        </is>
      </c>
      <c r="G41" s="8" t="inlineStr"/>
      <c r="H41" s="7" t="inlineStr">
        <is>
          <t>Pending</t>
        </is>
      </c>
      <c r="I41" s="8" t="inlineStr">
        <is>
          <t>PB21 · AC2,AC3 · Đoán lỗi (idempotency) · test_late_sync_worker_log_and_retry_keep_one_occurrence · evidence/test-history.log · Pending: test dừng tại schema adherence thiếu trong contract; chưa chạy hết các assertion hành vi.</t>
        </is>
      </c>
    </row>
    <row r="42" ht="123.5" customHeight="1">
      <c r="A42" s="7" t="inlineStr">
        <is>
          <t>TC-FADH-34</t>
        </is>
      </c>
      <c r="B42" s="7" t="inlineStr">
        <is>
          <t>Giữ xác nhận khi Worker chạy đua</t>
        </is>
      </c>
      <c r="C42" s="8" t="inlineStr">
        <is>
          <t>DB Supabase local reset sạch; dùng fixture history_data; patient P có health_data; family F liên kết active, sharing=true và family_sharing của P còn hiệu lực.</t>
        </is>
      </c>
      <c r="D42" s="8" t="inlineStr">
        <is>
          <t>1. Chạy backend/tests/integration/test_adherence_history_api.py::test_worker_insert_races_with_valid_late_confirmation__AC15_AC20_AC22.
2. Thử worker/confirmation ghi trước; kiểm một liều và trạng thái cuối.</t>
        </is>
      </c>
      <c r="E42" s="8" t="inlineStr">
        <is>
          <t>first_writer=worker/confirmation; taken hợp lệ +90</t>
        </is>
      </c>
      <c r="F42" s="8" t="inlineStr">
        <is>
          <t>Một occurrence/dose_log; uong_tre; không ghi đè xác nhận hợp lệ.</t>
        </is>
      </c>
      <c r="G42" s="8" t="inlineStr"/>
      <c r="H42" s="7" t="inlineStr">
        <is>
          <t>Pending</t>
        </is>
      </c>
      <c r="I42" s="8" t="inlineStr">
        <is>
          <t>PB21 · AC2,AC3 · Đoán lỗi (race) · test_worker_insert_races_with_valid_late_confirmation · evidence/test-history.log · Pending: test dừng tại schema adherence thiếu trong contract; chưa chạy hết các assertion hành vi.</t>
        </is>
      </c>
    </row>
    <row r="43" ht="107" customHeight="1">
      <c r="A43" s="7" t="inlineStr">
        <is>
          <t>TC-FADH-35</t>
        </is>
      </c>
      <c r="B43" s="7" t="inlineStr">
        <is>
          <t>Kiểm biên xác nhận ngay trước −30 phút</t>
        </is>
      </c>
      <c r="C43" s="8" t="inlineStr">
        <is>
          <t>DB Supabase local reset sạch; dùng fixture history_data; patient P có health_data; family F liên kết active, sharing=true và family_sharing của P còn hiệu lực.</t>
        </is>
      </c>
      <c r="D43" s="8" t="inlineStr">
        <is>
          <t>1. Tạo patient/family và lịch 08:00 qua fixture history_data.
2. Gọi GET /adherence?patient_id=P&amp;from=2026-10-19&amp;to=2026-10-19 bằng app session của F.
3. Đối chiếu response, dose_logs và access_logs bằng assertion của test nêu ở Comments.</t>
        </is>
      </c>
      <c r="E43" s="8" t="inlineStr">
        <is>
          <t>scheduled=08:00; taken=07:29:59.999999 +07</t>
        </is>
      </c>
      <c r="F43" s="8" t="inlineStr">
        <is>
          <t>Bị từ chối theo cửa sổ xác nhận QD-03; không tạo xác nhận hợp lệ.</t>
        </is>
      </c>
      <c r="G43" s="8" t="inlineStr"/>
      <c r="H43" s="7" t="inlineStr">
        <is>
          <t>Pending</t>
        </is>
      </c>
      <c r="I43" s="8" t="inlineStr">
        <is>
          <t>PB21 · AC2,AC3 · BVA (min-1) · Pending: Chưa có ca 3.25 chạy biên này; thiếu contract 3.23 để bổ sung integration theo P5.</t>
        </is>
      </c>
    </row>
    <row r="44" ht="107" customHeight="1">
      <c r="A44" s="7" t="inlineStr">
        <is>
          <t>TC-FADH-36</t>
        </is>
      </c>
      <c r="B44" s="7" t="inlineStr">
        <is>
          <t>Kiểm biên ngay trước +30 phút</t>
        </is>
      </c>
      <c r="C44" s="8" t="inlineStr">
        <is>
          <t>DB Supabase local reset sạch; dùng fixture history_data; patient P có health_data; family F liên kết active, sharing=true và family_sharing của P còn hiệu lực.</t>
        </is>
      </c>
      <c r="D44" s="8" t="inlineStr">
        <is>
          <t>1. Tạo patient/family và lịch 08:00 qua fixture history_data.
2. Gọi GET /adherence?patient_id=P&amp;from=2026-10-19&amp;to=2026-10-19 bằng app session của F.
3. Đối chiếu response, dose_logs và access_logs bằng assertion của test nêu ở Comments.</t>
        </is>
      </c>
      <c r="E44" s="8" t="inlineStr">
        <is>
          <t>scheduled=08:00; taken=08:29:59.999999 +07</t>
        </is>
      </c>
      <c r="F44" s="8" t="inlineStr">
        <is>
          <t>da_uong; tỷ lệ có liều hợp lệ ngay khi xác nhận.</t>
        </is>
      </c>
      <c r="G44" s="8" t="inlineStr"/>
      <c r="H44" s="7" t="inlineStr">
        <is>
          <t>Pending</t>
        </is>
      </c>
      <c r="I44" s="8" t="inlineStr">
        <is>
          <t>PB21 · AC2,AC3 · BVA (+30-1) · Pending: Chưa chạy đúng mốc này trong bộ 3.25; chưa đủ điều kiện mở rộng P5.</t>
        </is>
      </c>
    </row>
    <row r="45" ht="123.5" customHeight="1">
      <c r="A45" s="7" t="inlineStr">
        <is>
          <t>TC-FADH-37</t>
        </is>
      </c>
      <c r="B45" s="7" t="inlineStr">
        <is>
          <t>Loại liều hủy và biểu diễn xung đột/đối soát</t>
        </is>
      </c>
      <c r="C45" s="8" t="inlineStr">
        <is>
          <t>DB Supabase local reset sạch; dùng fixture history_data; patient P có health_data; family F liên kết active, sharing=true và family_sharing của P còn hiệu lực.</t>
        </is>
      </c>
      <c r="D45" s="8" t="inlineStr">
        <is>
          <t>1. Đối chiếu contract 3.23 với QD-42.
2. Khi schema hỗ trợ, tạo liều hủy/xung đột/đối soát theo fixture thật.
3. Gọi GET /adherence?patient_id=P&amp;from=2026-10-19&amp;to=2026-10-19 bằng app session của F.
4. Đối chiếu response, dose_logs và access_logs bằng assertion của test nêu ở Comments.</t>
        </is>
      </c>
      <c r="E45" s="8" t="inlineStr">
        <is>
          <t>Liều hủy; liều xung đột; liều đối soát</t>
        </is>
      </c>
      <c r="F45" s="8" t="inlineStr">
        <is>
          <t>Loại liều hủy; nhãn tạm thời, tính lại và thời điểm/phiên bản cập nhật theo QD-42 được đặc tả và kiểm chứng.</t>
        </is>
      </c>
      <c r="G45" s="8" t="inlineStr"/>
      <c r="H45" s="7" t="inlineStr">
        <is>
          <t>Pending</t>
        </is>
      </c>
      <c r="I45" s="8" t="inlineStr">
        <is>
          <t>PB21 · AC8 · Chuyển trạng thái (đối soát) · Pending: Contract thiếu /adherence và schema; dữ liệu/field đối soát chưa được đặc tả; không tạo oracle giả.</t>
        </is>
      </c>
    </row>
    <row r="46" ht="107" customHeight="1">
      <c r="A46" s="7" t="inlineStr">
        <is>
          <t>TC-FADH-38</t>
        </is>
      </c>
      <c r="B46" s="7" t="inlineStr">
        <is>
          <t>Kiểm tỷ lệ đúng giờ riêng theo QD-42</t>
        </is>
      </c>
      <c r="C46" s="8" t="inlineStr">
        <is>
          <t>DB Supabase local reset sạch; dùng fixture history_data; patient P có health_data; family F liên kết active, sharing=true và family_sharing của P còn hiệu lực.</t>
        </is>
      </c>
      <c r="D46" s="8" t="inlineStr">
        <is>
          <t>1. Đọc định nghĩa tử số/mẫu số và field trong contract 3.23.
2. Tạo liều đúng giờ, trễ, pending và missed; GET /adherence.
3. So tỷ lệ với công thức đã chốt.</t>
        </is>
      </c>
      <c r="E46" s="8" t="inlineStr">
        <is>
          <t>1 taken,1 late,1 missed,1 pending</t>
        </is>
      </c>
      <c r="F46" s="8" t="inlineStr">
        <is>
          <t>Có công thức và response biểu diễn tỷ lệ đúng giờ riêng đã được chủ sở hữu chốt.</t>
        </is>
      </c>
      <c r="G46" s="8" t="inlineStr"/>
      <c r="H46" s="7" t="inlineStr">
        <is>
          <t>Pending</t>
        </is>
      </c>
      <c r="I46" s="8" t="inlineStr">
        <is>
          <t>PB21 · AC8 · EP (2,3) · Pending: Contract hiện chưa biểu diễn tỷ lệ riêng; không suy ra công thức.</t>
        </is>
      </c>
    </row>
    <row r="47" ht="90.5" customHeight="1">
      <c r="A47" s="7" t="inlineStr">
        <is>
          <t>TC-FADH-39</t>
        </is>
      </c>
      <c r="B47" s="7" t="inlineStr">
        <is>
          <t>Xóa dữ liệu phiên khi đổi bệnh nhân</t>
        </is>
      </c>
      <c r="C47" s="8" t="inlineStr">
        <is>
          <t>Cần màn production 3.24; family F đã mở lịch sử P.</t>
        </is>
      </c>
      <c r="D47" s="8" t="inlineStr">
        <is>
          <t>1. Mở app test và chọn P trong Người thân.
2. Mở lịch sử, xác nhận có liều.
3. Thực hiện đổi bệnh nhân.
4. Kiểm không hiển thị dữ liệu cũ, không lưu bền, response cũ không phục hồi dữ liệu.</t>
        </is>
      </c>
      <c r="E47" s="8" t="inlineStr">
        <is>
          <t>P có liều 08:00; Q không có dữ liệu của P; sự kiện=đổi bệnh nhân</t>
        </is>
      </c>
      <c r="F47" s="8" t="inlineStr">
        <is>
          <t>Dữ liệu sức khỏe cũ bị xóa khỏi RAM/UI; không có cache bền; không phục hồi bởi response đến muộn.</t>
        </is>
      </c>
      <c r="G47" s="8" t="inlineStr"/>
      <c r="H47" s="7" t="inlineStr">
        <is>
          <t>Pending</t>
        </is>
      </c>
      <c r="I47" s="8" t="inlineStr">
        <is>
          <t>PB21 · AC6 · Chuyển trạng thái (session) · manual · Pending: UI/controller/repository 3.24 chưa có, chỉ .gitkeep; chưa chạy app hoặc widget test.</t>
        </is>
      </c>
    </row>
    <row r="48" ht="90.5" customHeight="1">
      <c r="A48" s="7" t="inlineStr">
        <is>
          <t>TC-FADH-40</t>
        </is>
      </c>
      <c r="B48" s="7" t="inlineStr">
        <is>
          <t>Xóa dữ liệu phiên khi mất mạng</t>
        </is>
      </c>
      <c r="C48" s="8" t="inlineStr">
        <is>
          <t>Cần màn production 3.24; family F đã mở lịch sử P.</t>
        </is>
      </c>
      <c r="D48" s="8" t="inlineStr">
        <is>
          <t>1. Mở app test và chọn P trong Người thân.
2. Mở lịch sử, xác nhận có liều.
3. Thực hiện mất mạng.
4. Kiểm không hiển thị dữ liệu cũ, không lưu bền, response cũ không phục hồi dữ liệu.</t>
        </is>
      </c>
      <c r="E48" s="8" t="inlineStr">
        <is>
          <t>P có liều 08:00; Q không có dữ liệu của P; sự kiện=mất mạng</t>
        </is>
      </c>
      <c r="F48" s="8" t="inlineStr">
        <is>
          <t>Dữ liệu sức khỏe cũ bị xóa khỏi RAM/UI; không có cache bền; không phục hồi bởi response đến muộn.</t>
        </is>
      </c>
      <c r="G48" s="8" t="inlineStr"/>
      <c r="H48" s="7" t="inlineStr">
        <is>
          <t>Pending</t>
        </is>
      </c>
      <c r="I48" s="8" t="inlineStr">
        <is>
          <t>PB21 · AC6 · Chuyển trạng thái (session) · manual · Pending: UI/controller/repository 3.24 chưa có, chỉ .gitkeep; chưa chạy app hoặc widget test.</t>
        </is>
      </c>
    </row>
    <row r="49" ht="90.5" customHeight="1">
      <c r="A49" s="7" t="inlineStr">
        <is>
          <t>TC-FADH-41</t>
        </is>
      </c>
      <c r="B49" s="7" t="inlineStr">
        <is>
          <t>Xóa dữ liệu phiên khi đưa app vào nền</t>
        </is>
      </c>
      <c r="C49" s="8" t="inlineStr">
        <is>
          <t>Cần màn production 3.24; family F đã mở lịch sử P.</t>
        </is>
      </c>
      <c r="D49" s="8" t="inlineStr">
        <is>
          <t>1. Mở app test và chọn P trong Người thân.
2. Mở lịch sử, xác nhận có liều.
3. Thực hiện đưa app vào nền.
4. Kiểm không hiển thị dữ liệu cũ, không lưu bền, response cũ không phục hồi dữ liệu.</t>
        </is>
      </c>
      <c r="E49" s="8" t="inlineStr">
        <is>
          <t>P có liều 08:00; Q không có dữ liệu của P; sự kiện=đưa app vào nền</t>
        </is>
      </c>
      <c r="F49" s="8" t="inlineStr">
        <is>
          <t>Dữ liệu sức khỏe cũ bị xóa khỏi RAM/UI; không có cache bền; không phục hồi bởi response đến muộn.</t>
        </is>
      </c>
      <c r="G49" s="8" t="inlineStr"/>
      <c r="H49" s="7" t="inlineStr">
        <is>
          <t>Pending</t>
        </is>
      </c>
      <c r="I49" s="8" t="inlineStr">
        <is>
          <t>PB21 · AC6 · Chuyển trạng thái (session) · manual · Pending: UI/controller/repository 3.24 chưa có, chỉ .gitkeep; chưa chạy app hoặc widget test.</t>
        </is>
      </c>
    </row>
    <row r="50" ht="90.5" customHeight="1">
      <c r="A50" s="7" t="inlineStr">
        <is>
          <t>TC-FADH-42</t>
        </is>
      </c>
      <c r="B50" s="7" t="inlineStr">
        <is>
          <t>Xóa dữ liệu phiên khi đăng xuất</t>
        </is>
      </c>
      <c r="C50" s="8" t="inlineStr">
        <is>
          <t>Cần màn production 3.24; family F đã mở lịch sử P.</t>
        </is>
      </c>
      <c r="D50" s="8" t="inlineStr">
        <is>
          <t>1. Mở app test và chọn P trong Người thân.
2. Mở lịch sử, xác nhận có liều.
3. Thực hiện đăng xuất.
4. Kiểm không hiển thị dữ liệu cũ, không lưu bền, response cũ không phục hồi dữ liệu.</t>
        </is>
      </c>
      <c r="E50" s="8" t="inlineStr">
        <is>
          <t>P có liều 08:00; Q không có dữ liệu của P; sự kiện=đăng xuất</t>
        </is>
      </c>
      <c r="F50" s="8" t="inlineStr">
        <is>
          <t>Dữ liệu sức khỏe cũ bị xóa khỏi RAM/UI; không có cache bền; không phục hồi bởi response đến muộn.</t>
        </is>
      </c>
      <c r="G50" s="8" t="inlineStr"/>
      <c r="H50" s="7" t="inlineStr">
        <is>
          <t>Pending</t>
        </is>
      </c>
      <c r="I50" s="8" t="inlineStr">
        <is>
          <t>PB21 · AC6 · Chuyển trạng thái (session) · manual · Pending: UI/controller/repository 3.24 chưa có, chỉ .gitkeep; chưa chạy app hoặc widget test.</t>
        </is>
      </c>
    </row>
    <row r="51" ht="90.5" customHeight="1">
      <c r="A51" s="7" t="inlineStr">
        <is>
          <t>TC-FADH-43</t>
        </is>
      </c>
      <c r="B51" s="7" t="inlineStr">
        <is>
          <t>Xóa dữ liệu phiên khi nhận 403</t>
        </is>
      </c>
      <c r="C51" s="8" t="inlineStr">
        <is>
          <t>Cần màn production 3.24; family F đã mở lịch sử P.</t>
        </is>
      </c>
      <c r="D51" s="8" t="inlineStr">
        <is>
          <t>1. Mở app test và chọn P trong Người thân.
2. Mở lịch sử, xác nhận có liều.
3. Thực hiện nhận 403.
4. Kiểm không hiển thị dữ liệu cũ, không lưu bền, response cũ không phục hồi dữ liệu.</t>
        </is>
      </c>
      <c r="E51" s="8" t="inlineStr">
        <is>
          <t>P có liều 08:00; Q không có dữ liệu của P; sự kiện=nhận 403</t>
        </is>
      </c>
      <c r="F51" s="8" t="inlineStr">
        <is>
          <t>Dữ liệu sức khỏe cũ bị xóa khỏi RAM/UI; không có cache bền; không phục hồi bởi response đến muộn.</t>
        </is>
      </c>
      <c r="G51" s="8" t="inlineStr"/>
      <c r="H51" s="7" t="inlineStr">
        <is>
          <t>Pending</t>
        </is>
      </c>
      <c r="I51" s="8" t="inlineStr">
        <is>
          <t>PB21 · AC6 · Chuyển trạng thái (session) · manual · Pending: UI/controller/repository 3.24 chưa có, chỉ .gitkeep; chưa chạy app hoặc widget test.</t>
        </is>
      </c>
    </row>
    <row r="52" ht="90.5" customHeight="1">
      <c r="A52" s="7" t="inlineStr">
        <is>
          <t>TC-FADH-44</t>
        </is>
      </c>
      <c r="B52" s="7" t="inlineStr">
        <is>
          <t>Chỉ xem lịch sử trên Mobile và chạy E2E thu hồi</t>
        </is>
      </c>
      <c r="C52" s="8" t="inlineStr">
        <is>
          <t>UI 3.24 và Android test package riêng cùng local API/DB.</t>
        </is>
      </c>
      <c r="D52" s="8" t="inlineStr">
        <is>
          <t>1. Chọn P; mở lịch sử; tìm thao tác sửa lịch/xác nhận hộ.
2. Bệnh nhân thu hồi quyền; refresh lịch sử bằng cùng phiên.
3. Đổi sang Q và kiểm không còn dữ liệu P.</t>
        </is>
      </c>
      <c r="E52" s="8" t="inlineStr">
        <is>
          <t>Family F; linked P; unlinked Q</t>
        </is>
      </c>
      <c r="F52" s="8" t="inlineStr">
        <is>
          <t>Không có thao tác ghi hộ; request sau thu hồi 403, không còn dữ liệu cũ; DB có denied.</t>
        </is>
      </c>
      <c r="G52" s="8" t="inlineStr"/>
      <c r="H52" s="7" t="inlineStr">
        <is>
          <t>Pending</t>
        </is>
      </c>
      <c r="I52" s="8" t="inlineStr">
        <is>
          <t>PB21 · AC1,AC4,AC5,AC6 · manual/E2E · Pending: Không có màn production hoặc Flutter integration test 3.24; chưa viết/chạy runner thay màn giả.</t>
        </is>
      </c>
    </row>
    <row r="53" ht="156.5" customHeight="1">
      <c r="A53" s="7" t="inlineStr">
        <is>
          <t>TC-FADH-45</t>
        </is>
      </c>
      <c r="B53" s="7" t="inlineStr">
        <is>
          <t>Truy vết PB21 và gộp test case tổng</t>
        </is>
      </c>
      <c r="C53" s="8" t="inlineStr">
        <is>
          <t>Báo cáo test và workbook đã được dựng bằng script chuẩn.</t>
        </is>
      </c>
      <c r="D53" s="8" t="inlineStr">
        <is>
          <t>1. Đối chiếu AC1–AC9 với test, XML và log.
2. Chạy testcase_xlsx.py validate/build/merge 3.25.
3. So sheet cũ và đếm trạng thái/Bug Report; đọc báo cáo để phân biệt lỗi với Pending.</t>
        </is>
      </c>
      <c r="E53" s="8" t="inlineStr">
        <is>
          <t>PB21; code FADH; task 3.25</t>
        </is>
      </c>
      <c r="F53" s="8" t="inlineStr">
        <is>
          <t>Mỗi AC có ca; một sheet FADH; các sheet chức năng cũ giữ nguyên; Fail có bug, Pending không được báo Pass.</t>
        </is>
      </c>
      <c r="G53" s="8" t="inlineStr">
        <is>
          <t>Đã đối chiếu AC1–AC9, log/XML phiên hiện tại, validate/build/merge exit 0. Kiểm giữ nguyên 20 sheet chức năng, đúng 45 ID và một bug FADH; các ca thiếu bằng chứng giữ Pending. evidence/testcase-verify.log; evidence/testcase-xlsx.log; 05-test-report.md. Scope cuối exit 0 sau commit riêng unit implement được người dùng cho phép; chưa kiểm native Excel.</t>
        </is>
      </c>
      <c r="H53" s="7" t="inlineStr">
        <is>
          <t>Pass</t>
        </is>
      </c>
      <c r="I53" s="8" t="inlineStr">
        <is>
          <t>PB21 · AC9 · manual (đối chiếu artifact) · evidence/testcase-verify.log · evidence/testcase-xlsx.log</t>
        </is>
      </c>
    </row>
    <row r="54"/>
    <row r="55"/>
    <row r="56">
      <c r="G56" s="12" t="inlineStr">
        <is>
          <t>Pass</t>
        </is>
      </c>
      <c r="H56" s="13">
        <f>COUNTIF(H9:H53,"Pass")</f>
        <v/>
      </c>
    </row>
    <row r="57">
      <c r="G57" s="12" t="inlineStr">
        <is>
          <t>Fail</t>
        </is>
      </c>
      <c r="H57" s="13">
        <f>COUNTIF(H9:H53,"Fail")</f>
        <v/>
      </c>
    </row>
    <row r="58">
      <c r="G58" s="12" t="inlineStr">
        <is>
          <t>Pending</t>
        </is>
      </c>
      <c r="H58" s="13">
        <f>COUNTIF(H9:H53,"Pending")</f>
        <v/>
      </c>
    </row>
    <row r="59">
      <c r="G59" s="12" t="inlineStr">
        <is>
          <t>Total</t>
        </is>
      </c>
      <c r="H59" s="13">
        <f>SUM(H56:H58)</f>
        <v/>
      </c>
    </row>
  </sheetData>
  <autoFilter ref="A8:I53"/>
  <conditionalFormatting sqref="H9:H53">
    <cfRule type="cellIs" priority="1" operator="equal" dxfId="0">
      <formula>"Fail"</formula>
    </cfRule>
  </conditionalFormatting>
  <dataValidations count="1">
    <dataValidation sqref="H9:H53" showDropDown="0" showInputMessage="0" showErrorMessage="0" allowBlank="0" type="list">
      <formula1>"Pass,Fail,Pending"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f>
        <v/>
      </c>
      <c r="D3" s="11">
        <f>'Chọn thuốc danh mục'!$H$40+'Hồi quy xác nhận liều'!$H$12+'Cảnh báo người thân'!$H$84+'FCM token Android'!$H$24+'Redeem flow E2E'!$H$34+'Lịch sử tuân thủ người thân'!$H$56</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f>
        <v/>
      </c>
      <c r="D4" s="11">
        <f>'Chọn thuốc danh mục'!$H$41+'Hồi quy xác nhận liều'!$H$13+'Cảnh báo người thân'!$H$85+'FCM token Android'!$H$25+'Redeem flow E2E'!$H$35+'Lịch sử tuân thủ người thân'!$H$57</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f>
        <v/>
      </c>
      <c r="D6" s="11">
        <f>'Chọn thuốc danh mục'!$H$42+'Hồi quy xác nhận liều'!$H$14+'Cảnh báo người thân'!$H$86+'FCM token Android'!$H$26+'Redeem flow E2E'!$H$36+'Lịch sử tuân thủ người thân'!$H$58</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Android LM_G710: nhập mã, double tap, retry và QR sai đã đạt UI/API/DB. QR hợp lệ Fail F1; camera thật Pending. Phase 401 đạt khi chạy lại sau một lần timeout.</t>
        </is>
      </c>
      <c r="I30" s="11" t="inlineStr">
        <is>
          <t>phucnguyenngoc</t>
        </is>
      </c>
    </row>
    <row r="31" ht="107" customHeight="1">
      <c r="A31" s="11" t="inlineStr">
        <is>
          <t>Lịch sử tuân thủ cho người thân</t>
        </is>
      </c>
      <c r="B31" s="10" t="inlineStr">
        <is>
          <t>PB21: lịch sử, quyền truy cập, thu hồi, audit, tỷ lệ và dữ liệu phiên.</t>
        </is>
      </c>
      <c r="C31" s="11" t="inlineStr">
        <is>
          <t>Lịch sử tuân thủ người thân</t>
        </is>
      </c>
      <c r="D31" s="18">
        <f>IFERROR(('Lịch sử tuân thủ người thân'!$H$59-'Lịch sử tuân thủ người thân'!$H$58)/'Lịch sử tuân thủ người thân'!$H$59,0)</f>
        <v/>
      </c>
      <c r="E31" s="18">
        <f>IFERROR('Lịch sử tuân thủ người thân'!$H$56/'Lịch sử tuân thủ người thân'!$H$59,0)</f>
        <v/>
      </c>
      <c r="F31" s="18">
        <f>IFERROR('Lịch sử tuân thủ người thân'!$H$57/'Lịch sử tuân thủ người thân'!$H$59,0)</f>
        <v/>
      </c>
      <c r="G31" s="11" t="inlineStr">
        <is>
          <t>High</t>
        </is>
      </c>
      <c r="H31" s="10" t="inlineStr">
        <is>
          <t>BUG-3.25-01 Medium tại xác nhận sớm −30 phút. Pending contract 3.23/UI 3.24. Pass unit không chứng minh DB/API; chi tiết trong từng ca và 05-test-report.md.</t>
        </is>
      </c>
      <c r="I31" s="11" t="inlineStr">
        <is>
          <t>phucnguyenngoc</t>
        </is>
      </c>
    </row>
    <row r="54">
      <c r="A54" s="19" t="inlineStr">
        <is>
          <t>Bug Report</t>
        </is>
      </c>
    </row>
    <row r="55">
      <c r="A55" s="20" t="inlineStr">
        <is>
          <t>Bug ID</t>
        </is>
      </c>
      <c r="B55" s="20" t="inlineStr">
        <is>
          <t>Description</t>
        </is>
      </c>
      <c r="C55" s="20" t="inlineStr">
        <is>
          <t>Steps to Reproduce</t>
        </is>
      </c>
      <c r="D55" s="20" t="inlineStr">
        <is>
          <t>Input Data</t>
        </is>
      </c>
      <c r="E55" s="20" t="inlineStr">
        <is>
          <t>Expected Result</t>
        </is>
      </c>
      <c r="F55" s="20" t="inlineStr">
        <is>
          <t>Actual Result</t>
        </is>
      </c>
      <c r="G55" s="20" t="inlineStr">
        <is>
          <t>Severity</t>
        </is>
      </c>
      <c r="H55" s="20" t="inlineStr">
        <is>
          <t>Name of Tester</t>
        </is>
      </c>
      <c r="I55" s="20" t="inlineStr">
        <is>
          <t>Logs</t>
        </is>
      </c>
    </row>
    <row r="56" ht="123.5" customHeight="1">
      <c r="A56" s="22" t="inlineStr">
        <is>
          <t>BUG-LOGIN-08</t>
        </is>
      </c>
      <c r="B56" s="22" t="inlineStr">
        <is>
          <t>Gửi số điện thoại có ký tự xuống dòng ở cuối</t>
        </is>
      </c>
      <c r="C56" s="22" t="inlineStr">
        <is>
          <t>1. POST /auth/mobile/otp {phone: "0900000001\n"}
2. POST /auth/mobile/verify {phone: "0900000001\n", token: 123456}</t>
        </is>
      </c>
      <c r="D56" s="22" t="inlineStr">
        <is>
          <t>phone: 0900000001 + ký tự \n</t>
        </is>
      </c>
      <c r="E56" s="22" t="inlineStr">
        <is>
          <t>422 {"detail":"invalid_phone"} (theo AC6 của 01-requirement)</t>
        </is>
      </c>
      <c r="F56" s="22" t="inlineStr">
        <is>
          <t>OTP 204, verify 200 và cấp phiên (backend bỏ ký tự trắng hai đầu)</t>
        </is>
      </c>
      <c r="G56" s="22" t="inlineStr">
        <is>
          <t>Low</t>
        </is>
      </c>
      <c r="H56" s="22" t="inlineStr">
        <is>
          <t>zannguyen</t>
        </is>
      </c>
      <c r="I56"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7" ht="123.5" customHeight="1">
      <c r="A57" s="22" t="inlineStr">
        <is>
          <t>BUG-LOGIN-11</t>
        </is>
      </c>
      <c r="B57" s="22" t="inlineStr">
        <is>
          <t>Gửi số điện thoại viết bằng chữ số Unicode</t>
        </is>
      </c>
      <c r="C57" s="22" t="inlineStr">
        <is>
          <t>1. POST /auth/mobile/otp {phone}
2. POST /auth/mobile/verify {phone, token: 123456}</t>
        </is>
      </c>
      <c r="D57" s="22" t="inlineStr">
        <is>
          <t>+８４９０００００００１ (full-width) | +٨٤٩٠٠٠٠٠٠٠١ (chữ số Ả Rập)</t>
        </is>
      </c>
      <c r="E57" s="22" t="inlineStr">
        <is>
          <t>422 {"detail":"invalid_phone"}, không gọi Supabase</t>
        </is>
      </c>
      <c r="F57" s="22" t="inlineStr">
        <is>
          <t>OTP 503 {"detail":"auth_provider_unavailable"}, verify 401 {"detail":"Invalid credentials"} — request đã tới Supabase</t>
        </is>
      </c>
      <c r="G57" s="22" t="inlineStr">
        <is>
          <t>Low</t>
        </is>
      </c>
      <c r="H57" s="22" t="inlineStr">
        <is>
          <t>zannguyen</t>
        </is>
      </c>
      <c r="I57"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8" ht="189.5" customHeight="1">
      <c r="A58" s="22" t="inlineStr">
        <is>
          <t>BUG-LOGIN-25</t>
        </is>
      </c>
      <c r="B58" s="22" t="inlineStr">
        <is>
          <t>Lưu họ tên có ký tự NUL</t>
        </is>
      </c>
      <c r="C58" s="22" t="inlineStr">
        <is>
          <t>1. POST /auth/profile {ho_ten: "abc\u0000def", ngày sinh, giới tính hợp lệ}</t>
        </is>
      </c>
      <c r="D58" s="22" t="inlineStr">
        <is>
          <t>ho_ten: abc\u0000def</t>
        </is>
      </c>
      <c r="E58" s="22" t="inlineStr">
        <is>
          <t>Không 5xx (từ chối 422 hoặc lưu được); không lộ chi tiết nội bộ</t>
        </is>
      </c>
      <c r="F58" s="22" t="inlineStr">
        <is>
          <t>500 Internal Server Error</t>
        </is>
      </c>
      <c r="G58" s="22" t="inlineStr">
        <is>
          <t>Medium</t>
        </is>
      </c>
      <c r="H58" s="22" t="inlineStr">
        <is>
          <t>zannguyen</t>
        </is>
      </c>
      <c r="I58"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9" ht="90.5" customHeight="1">
      <c r="A59" s="22" t="inlineStr">
        <is>
          <t>BUG-LOGIN-30</t>
        </is>
      </c>
      <c r="B59" s="22" t="inlineStr">
        <is>
          <t>Lưu họ tên dài 256 ký tự</t>
        </is>
      </c>
      <c r="C59" s="22" t="inlineStr">
        <is>
          <t>1. POST /auth/profile {ho_ten: A*256}</t>
        </is>
      </c>
      <c r="D59" s="22" t="inlineStr">
        <is>
          <t>A*256</t>
        </is>
      </c>
      <c r="E59" s="22" t="inlineStr">
        <is>
          <t>422; hồ sơ không đổi (giới hạn 255 theo Q4 của 01-requirement)</t>
        </is>
      </c>
      <c r="F59" s="22" t="inlineStr">
        <is>
          <t>204, đã lưu</t>
        </is>
      </c>
      <c r="G59" s="22" t="inlineStr">
        <is>
          <t>Low</t>
        </is>
      </c>
      <c r="H59" s="22" t="inlineStr">
        <is>
          <t>zannguyen</t>
        </is>
      </c>
      <c r="I59" s="22" t="inlineStr">
        <is>
          <t>Không có giới hạn độ dài họ tên: `_validate_profile` (sign_in.py) chỉ kiểm rỗng; cột users.full_name kiểu text không giới hạn
Log: evidence/test-integration.log</t>
        </is>
      </c>
    </row>
    <row r="60" ht="90.5" customHeight="1">
      <c r="A60" s="22" t="inlineStr">
        <is>
          <t>BUG-LOGIN-32</t>
        </is>
      </c>
      <c r="B60" s="22" t="inlineStr">
        <is>
          <t>Lưu ngày sinh trước 1900-01-01</t>
        </is>
      </c>
      <c r="C60" s="22" t="inlineStr">
        <is>
          <t>1. POST /auth/profile {ngay_sinh}</t>
        </is>
      </c>
      <c r="D60" s="22" t="inlineStr">
        <is>
          <t>1899-12-31 | 0001-01-01</t>
        </is>
      </c>
      <c r="E60" s="22" t="inlineStr">
        <is>
          <t>422; hồ sơ không đổi (cận dưới 1900-01-01 theo Q4)</t>
        </is>
      </c>
      <c r="F60" s="22" t="inlineStr">
        <is>
          <t>204 ở cả hai giá trị, đã lưu</t>
        </is>
      </c>
      <c r="G60" s="22" t="inlineStr">
        <is>
          <t>Low</t>
        </is>
      </c>
      <c r="H60" s="22" t="inlineStr">
        <is>
          <t>zannguyen</t>
        </is>
      </c>
      <c r="I60" s="22" t="inlineStr">
        <is>
          <t>`_validate_birth_date` (sign_in.py:229–231) chỉ chặn ngày tương lai, không có cận dưới. App mobile đã giới hạn date picker từ 1900 nên chỉ gặp khi gọi API trực tiếp
Log: evidence/test-integration.log</t>
        </is>
      </c>
    </row>
    <row r="61" ht="123.5" customHeight="1">
      <c r="A61" s="22" t="inlineStr">
        <is>
          <t>BUG-LOGIN-35</t>
        </is>
      </c>
      <c r="B61" s="22" t="inlineStr">
        <is>
          <t>Lưu ngày sinh là hôm nay lúc 00:30 giờ Việt Nam</t>
        </is>
      </c>
      <c r="C61" s="22" t="inlineStr">
        <is>
          <t>1. POST /auth/profile {ngay_sinh: "2026-10-08"}</t>
        </is>
      </c>
      <c r="D61" s="22" t="inlineStr">
        <is>
          <t>ngay_sinh: 2026-10-08</t>
        </is>
      </c>
      <c r="E61" s="22" t="inlineStr">
        <is>
          <t>204 (hôm nay theo giờ Asia/Ho_Chi_Minh — bất biến 7)</t>
        </is>
      </c>
      <c r="F61" s="22" t="inlineStr">
        <is>
          <t>422 {"detail":"invalid_date_of_birth"}</t>
        </is>
      </c>
      <c r="G61" s="22" t="inlineStr">
        <is>
          <t>Medium</t>
        </is>
      </c>
      <c r="H61" s="22" t="inlineStr">
        <is>
          <t>zannguyen</t>
        </is>
      </c>
      <c r="I61"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2" ht="173" customHeight="1">
      <c r="A62" s="22" t="inlineStr">
        <is>
          <t>BUG-LOGIN-42</t>
        </is>
      </c>
      <c r="B62" s="22" t="inlineStr">
        <is>
          <t>Chạm lại ô OTP sau khi nhập sai để sửa mã</t>
        </is>
      </c>
      <c r="C62" s="22" t="inlineStr">
        <is>
          <t>1. Chạm vào ô mã OTP
2. Theo dõi request backend nhận được</t>
        </is>
      </c>
      <c r="D62" s="22" t="inlineStr">
        <is>
          <t>Ô đang chứa 000000</t>
        </is>
      </c>
      <c r="E62" s="22" t="inlineStr">
        <is>
          <t>Không gửi xác thực cho tới khi người dùng nhập mã mới đủ 6 số</t>
        </is>
      </c>
      <c r="F62" s="22" t="inlineStr">
        <is>
          <t>Backend nhận thêm một POST /auth/mobile/verify 401 với mã cũ ngay khi chạm ô (chuỗi request: otp 204, verify 401, verify 401, verify 200)</t>
        </is>
      </c>
      <c r="G62" s="22" t="inlineStr">
        <is>
          <t>Low</t>
        </is>
      </c>
      <c r="H62" s="22" t="inlineStr">
        <is>
          <t>zannguyen</t>
        </is>
      </c>
      <c r="I62"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3" ht="222.5" customHeight="1">
      <c r="A63" s="22" t="inlineStr">
        <is>
          <t>BUG-LINKCODE-28</t>
        </is>
      </c>
      <c r="B63" s="22" t="inlineStr">
        <is>
          <t>Toàn bộ unit test, architecture test và ruff toàn repo pass</t>
        </is>
      </c>
      <c r="C63" s="22" t="inlineStr">
        <is>
          <t>1. pytest tests/unit tests/architecture -q
2. ruff check .
3. So với baseline trước khi sửa code</t>
        </is>
      </c>
      <c r="D63" s="22" t="inlineStr">
        <is>
          <t>-</t>
        </is>
      </c>
      <c r="E63" s="22" t="inlineStr">
        <is>
          <t>pytest và ruff đều pass</t>
        </is>
      </c>
      <c r="F63"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3" s="22" t="inlineStr">
        <is>
          <t>Low</t>
        </is>
      </c>
      <c r="H63" s="22" t="inlineStr">
        <is>
          <t>zannguyen</t>
        </is>
      </c>
      <c r="I63"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4" ht="239" customHeight="1">
      <c r="A64" s="22" t="inlineStr">
        <is>
          <t>BUG-REGDOSE-01</t>
        </is>
      </c>
      <c r="B64" s="22" t="inlineStr">
        <is>
          <t>Đối chiếu scheduled_at có giây khi xác nhận liều</t>
        </is>
      </c>
      <c r="C64"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4" s="22" t="inlineStr">
        <is>
          <t>client_uuid: UUID mới; schedule_id: fixture; scheduled_at=2026-10-02T01:00:59.999Z; taken_at=2026-10-02T01:05:59.999Z</t>
        </is>
      </c>
      <c r="E64" s="22" t="inlineStr">
        <is>
          <t>Theo test hiện có: HTTP 200, synced, da_uong và scheduled_at=2026-10-02T01:00:00Z.</t>
        </is>
      </c>
      <c r="F64" s="22" t="inlineStr">
        <is>
          <t>HTTP 200, synced, da_uong; scheduled_at=2026-10-02T01:00:59.999000Z. Fail trong suite DB và lặp lại khi chạy riêng (1 failed trong 1.67s).</t>
        </is>
      </c>
      <c r="G64" s="22" t="inlineStr">
        <is>
          <t>Medium</t>
        </is>
      </c>
      <c r="H64" s="22" t="inlineStr">
        <is>
          <t>phucnguyenngoc</t>
        </is>
      </c>
      <c r="I64"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5" ht="156.5" customHeight="1">
      <c r="A65" s="22" t="inlineStr">
        <is>
          <t>BUG-FALERT-19</t>
        </is>
      </c>
      <c r="B65" s="22" t="inlineStr">
        <is>
          <t>Lọc hộp thư mixed patient và từ chối patient_id trong PATCH</t>
        </is>
      </c>
      <c r="C65" s="22" t="inlineStr">
        <is>
          <t>1. Tạo hai notification cho F: P được phép và Q không có liên kết.
2. GET /notifications?patient_id=P&amp;user_id=Q; kiểm item và count.
3. PATCH notification Q với JSON {is_read:true,patient_id:P}.</t>
        </is>
      </c>
      <c r="D65" s="22" t="inlineStr">
        <is>
          <t>P/F là UUID synthetic mới mỗi lần; ID notification lấy từ DB fixture; giờ 2026-10-20T01:00:00Z.</t>
        </is>
      </c>
      <c r="E65" s="22" t="inlineStr">
        <is>
          <t>List chỉ trả P, total=unread_count=1 và Q có denied; PATCH field lạ phải trả 422.</t>
        </is>
      </c>
      <c r="F65" s="22" t="inlineStr">
        <is>
          <t>HTTP 503 notification_access_unavailable thay vì 422; assertion fail.</t>
        </is>
      </c>
      <c r="G65" s="22" t="inlineStr">
        <is>
          <t>Medium</t>
        </is>
      </c>
      <c r="H65" s="22" t="inlineStr">
        <is>
          <t>phucnguyenngoc</t>
        </is>
      </c>
      <c r="I65"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6" ht="123.5" customHeight="1">
      <c r="A66" s="22" t="inlineStr">
        <is>
          <t>BUG-FALERT-36</t>
        </is>
      </c>
      <c r="B66" s="22" t="inlineStr">
        <is>
          <t>Từ chối tham số phân trang ngoài biên [params0]</t>
        </is>
      </c>
      <c r="C66" s="22" t="inlineStr">
        <is>
          <t>1. Đăng nhập F có notification và quyền hợp lệ.
2. GET /notifications với limit=0, limit=101 hoặc offset=-1 theo Test Data.
3. Kiểm HTTP status và Cache-Control.</t>
        </is>
      </c>
      <c r="D66" s="22" t="inlineStr">
        <is>
          <t>limit=0; offset=0</t>
        </is>
      </c>
      <c r="E66" s="22" t="inlineStr">
        <is>
          <t>422 validation, Cache-Control:no-store; không trả dữ liệu notification.</t>
        </is>
      </c>
      <c r="F66" s="22" t="inlineStr">
        <is>
          <t>HTTP 503 notification_access_unavailable thay vì 422; assertion fail.</t>
        </is>
      </c>
      <c r="G66" s="22" t="inlineStr">
        <is>
          <t>Medium</t>
        </is>
      </c>
      <c r="H66" s="22" t="inlineStr">
        <is>
          <t>phucnguyenngoc</t>
        </is>
      </c>
      <c r="I66"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7" ht="123.5" customHeight="1">
      <c r="A67" s="22" t="inlineStr">
        <is>
          <t>BUG-FALERT-37</t>
        </is>
      </c>
      <c r="B67" s="22" t="inlineStr">
        <is>
          <t>Từ chối tham số phân trang ngoài biên [params1]</t>
        </is>
      </c>
      <c r="C67" s="22" t="inlineStr">
        <is>
          <t>1. Đăng nhập F có notification và quyền hợp lệ.
2. GET /notifications với limit=0, limit=101 hoặc offset=-1 theo Test Data.
3. Kiểm HTTP status và Cache-Control.</t>
        </is>
      </c>
      <c r="D67" s="22" t="inlineStr">
        <is>
          <t>limit=101; offset=0</t>
        </is>
      </c>
      <c r="E67" s="22" t="inlineStr">
        <is>
          <t>422 validation, Cache-Control:no-store; không trả dữ liệu notification.</t>
        </is>
      </c>
      <c r="F67" s="22" t="inlineStr">
        <is>
          <t>HTTP 503 notification_access_unavailable thay vì 422; assertion fail.</t>
        </is>
      </c>
      <c r="G67" s="22" t="inlineStr">
        <is>
          <t>Medium</t>
        </is>
      </c>
      <c r="H67" s="22" t="inlineStr">
        <is>
          <t>phucnguyenngoc</t>
        </is>
      </c>
      <c r="I67"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8" ht="123.5" customHeight="1">
      <c r="A68" s="22" t="inlineStr">
        <is>
          <t>BUG-FALERT-38</t>
        </is>
      </c>
      <c r="B68" s="22" t="inlineStr">
        <is>
          <t>Từ chối tham số phân trang ngoài biên [params2]</t>
        </is>
      </c>
      <c r="C68" s="22" t="inlineStr">
        <is>
          <t>1. Đăng nhập F có notification và quyền hợp lệ.
2. GET /notifications với limit=0, limit=101 hoặc offset=-1 theo Test Data.
3. Kiểm HTTP status và Cache-Control.</t>
        </is>
      </c>
      <c r="D68" s="22" t="inlineStr">
        <is>
          <t>limit=20; offset=-1</t>
        </is>
      </c>
      <c r="E68" s="22" t="inlineStr">
        <is>
          <t>422 validation, Cache-Control:no-store; không trả dữ liệu notification.</t>
        </is>
      </c>
      <c r="F68" s="22" t="inlineStr">
        <is>
          <t>HTTP 503 notification_access_unavailable thay vì 422; assertion fail.</t>
        </is>
      </c>
      <c r="G68" s="22" t="inlineStr">
        <is>
          <t>Medium</t>
        </is>
      </c>
      <c r="H68" s="22" t="inlineStr">
        <is>
          <t>phucnguyenngoc</t>
        </is>
      </c>
      <c r="I68"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9" ht="140" customHeight="1">
      <c r="A69" s="22" t="inlineStr">
        <is>
          <t>BUG-REDEEMFLOW-02</t>
        </is>
      </c>
      <c r="B69" s="22" t="inlineStr">
        <is>
          <t>Quét QR hợp lệ và chờ xác nhận trước khi gửi</t>
        </is>
      </c>
      <c r="C69" s="22" t="inlineStr">
        <is>
          <t>1. Cấp qr_payload cho scanner callback.
2. Kiểm số POST trước khi bấm xác nhận.
3. Bấm xác nhận và kiểm pending.</t>
        </is>
      </c>
      <c r="D69" s="22" t="inlineStr">
        <is>
          <t>qr_payload=body.qr_payload của GET /family/link-code</t>
        </is>
      </c>
      <c r="E69" s="22" t="inlineStr">
        <is>
          <t>Mã được điền; 0 POST trước xác nhận; sau xác nhận một POST 201 và một pending.</t>
        </is>
      </c>
      <c r="F69" s="22" t="inlineStr">
        <is>
          <t>Widget và Android LM_G710: 1 POST trước xác nhận (Expected 0, Actual 1); evidence/test-widget-redeem.log và evidence/test-android-remaining-phases.log.</t>
        </is>
      </c>
      <c r="G69" s="22" t="inlineStr">
        <is>
          <t>Medium</t>
        </is>
      </c>
      <c r="H69" s="22" t="inlineStr">
        <is>
          <t>phucnguyenngoc</t>
        </is>
      </c>
      <c r="I69" s="22" t="inlineStr">
        <is>
          <t>scan_link_qr_screen.dart đặt autoSubmit=true, enter_link_code_screen.dart tự submit sau frame đầu.
Log: evidence/test-widget-redeem.log</t>
        </is>
      </c>
    </row>
    <row r="70" ht="140" customHeight="1">
      <c r="A70" s="22" t="inlineStr">
        <is>
          <t>BUG-FADH-20</t>
        </is>
      </c>
      <c r="B70" s="22" t="inlineStr">
        <is>
          <t>Tính ngay xác nhận tại -30 phút</t>
        </is>
      </c>
      <c r="C70" s="22" t="inlineStr">
        <is>
          <t>1. Chạy test tại backend/tests/unit/test_get_adherence_history.py với delay0, cả group_by=date và medication.
2. Quan sát ở đúng taken_at; kiểm summary, nhóm và một dose.</t>
        </is>
      </c>
      <c r="D70" s="22" t="inlineStr">
        <is>
          <t>scheduled_at=08:00 +07; delay=-30 phút; status=da_uong</t>
        </is>
      </c>
      <c r="E70" s="22" t="inlineStr">
        <is>
          <t>total=1, counted=1, rate=100.00; taken/late đúng trạng thái; đúng một liều ngay khi xác nhận.</t>
        </is>
      </c>
      <c r="F70" s="22" t="inlineStr">
        <is>
          <t>Cả date và medication trả total/taken/counted=0, rate=None, groups rỗng tại 07:30; 2 assertion fail. evidence/test-unit.log</t>
        </is>
      </c>
      <c r="G70" s="22" t="inlineStr">
        <is>
          <t>Medium</t>
        </is>
      </c>
      <c r="H70" s="22" t="inlineStr">
        <is>
          <t>phucnguyenngoc</t>
        </is>
      </c>
      <c r="I70" s="22" t="inlineStr">
        <is>
          <t>BUG-3.25-01: build_history lọc scheduled_at &lt;= as_of nên loại xác nhận sớm hợp lệ; SQL reader cũng có cùng bộ lọc. Chưa chứng minh DB/API cho ca này.
Log: evidence/test-unit.log</t>
        </is>
      </c>
    </row>
  </sheetData>
  <mergeCells count="2">
    <mergeCell ref="A1:G1"/>
    <mergeCell ref="A3:A5"/>
  </mergeCells>
  <conditionalFormatting sqref="F11:F31">
    <cfRule type="cellIs" priority="1" operator="greaterThan" dxfId="0">
      <formula>0.2</formula>
    </cfRule>
  </conditionalFormatting>
  <conditionalFormatting sqref="G11:G31">
    <cfRule type="expression" priority="2" dxfId="0">
      <formula>OR(G11="Critical",G11="High")</formula>
    </cfRule>
  </conditionalFormatting>
  <conditionalFormatting sqref="G56:G70">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1" showDropDown="0" showInputMessage="0" showErrorMessage="0" allowBlank="1" type="list">
      <formula1>"Critical,High,Medium,Low"</formula1>
    </dataValidation>
    <dataValidation sqref="G56:G70"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2026-10-24T16:28:47Z</dcterms:modified>
  <cp:lastModifiedBy>Người dùng Khách</cp:lastModifiedBy>
</cp:coreProperties>
</file>