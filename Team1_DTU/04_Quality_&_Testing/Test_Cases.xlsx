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Android build" sheetId="1" state="visible" r:id="rId1"/>
    <sheet name="Đăng nhập người dùng" sheetId="2" state="visible" r:id="rId2"/>
    <sheet name="Lịch uống thuốc" sheetId="3" state="visible" r:id="rId3"/>
    <sheet name="Tải lịch uống" sheetId="4" state="visible" r:id="rId4"/>
    <sheet name="Tương tác thuốc-thuốc" sheetId="5" state="visible" r:id="rId5"/>
    <sheet name="Tương tác thuốc-thực phẩm" sheetId="6" state="visible" r:id="rId6"/>
    <sheet name="Tra cứu hoạt chất" sheetId="7" state="visible" r:id="rId7"/>
    <sheet name="Mã liên kết người thân" sheetId="8" state="visible" r:id="rId8"/>
    <sheet name="Chọn thuốc danh mục" sheetId="9" state="visible" r:id="rId9"/>
    <sheet name="Hồi quy xác nhận liều" sheetId="10" state="visible" r:id="rId10"/>
    <sheet name="Landing page" sheetId="11" state="visible" r:id="rId11"/>
    <sheet name="Yêu cầu liên kết người thân" sheetId="12" state="visible" r:id="rId12"/>
    <sheet name="Theo dõi người thân (app)" sheetId="13" state="visible" r:id="rId13"/>
    <sheet name="Link mời người thân" sheetId="14" state="visible" r:id="rId14"/>
    <sheet name="Khung điều hướng app" sheetId="15" state="visible" r:id="rId15"/>
    <sheet name="Duyệt yêu cầu liên kết" sheetId="16" state="visible" r:id="rId16"/>
    <sheet name="Người giám sát" sheetId="17" state="visible" r:id="rId17"/>
    <sheet name="Cảnh báo người thân" sheetId="18" state="visible" r:id="rId18"/>
    <sheet name="FCM token Android" sheetId="19" state="visible" r:id="rId19"/>
    <sheet name="Report" sheetId="20" state="visible" r:id="rId20"/>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thân'!$A$8:$I$44</definedName>
    <definedName name="_xlnm._FilterDatabase" localSheetId="8" hidden="1">'Chọn thuốc danh mục'!$A$8:$I$37</definedName>
    <definedName name="_xlnm._FilterDatabase" localSheetId="9" hidden="1">'Hồi quy xác nhận liều'!$A$8:$I$9</definedName>
    <definedName name="_xlnm._FilterDatabase" localSheetId="10" hidden="1">'Landing page'!$A$8:$I$40</definedName>
    <definedName name="_xlnm._FilterDatabase" localSheetId="11" hidden="1">'Yêu cầu liên kết người thân'!$A$8:$I$69</definedName>
    <definedName name="_xlnm._FilterDatabase" localSheetId="12" hidden="1">'Theo dõi người thân (app)'!$A$8:$I$43</definedName>
    <definedName name="_xlnm._FilterDatabase" localSheetId="13" hidden="1">'Link mời người thân'!$A$8:$I$21</definedName>
    <definedName name="_xlnm._FilterDatabase" localSheetId="14" hidden="1">'Khung điều hướng app'!$A$8:$I$13</definedName>
    <definedName name="_xlnm._FilterDatabase" localSheetId="15" hidden="1">'Duyệt yêu cầu liên kết'!$A$8:$I$35</definedName>
    <definedName name="_xlnm._FilterDatabase" localSheetId="16" hidden="1">'Người giám sát'!$A$8:$I$36</definedName>
    <definedName name="_xlnm._FilterDatabase" localSheetId="17" hidden="1">'Cảnh báo người thân'!$A$8:$I$81</definedName>
    <definedName name="_xlnm._FilterDatabase" localSheetId="18" hidden="1">'FCM token Android'!$A$8:$I$21</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p>
            <a:pPr>
              <a:defRPr/>
            </a:pPr>
            <a:r>
              <a:t>Kết quả theo chức năng</a:t>
            </a:r>
          </a:p>
        </rich>
      </tx>
    </title>
    <plotArea>
      <barChart>
        <barDir val="col"/>
        <grouping val="clustered"/>
        <ser>
          <idx val="0"/>
          <order val="0"/>
          <tx>
            <strRef>
              <f>'Report'!D10</f>
            </strRef>
          </tx>
          <spPr>
            <a:ln>
              <a:prstDash val="solid"/>
            </a:ln>
          </spPr>
          <cat>
            <numRef>
              <f>'Report'!$A$11:$A$29</f>
            </numRef>
          </cat>
          <val>
            <numRef>
              <f>'Report'!$D$11:$D$29</f>
            </numRef>
          </val>
        </ser>
        <ser>
          <idx val="1"/>
          <order val="1"/>
          <tx>
            <strRef>
              <f>'Report'!E10</f>
            </strRef>
          </tx>
          <spPr>
            <a:ln>
              <a:prstDash val="solid"/>
            </a:ln>
          </spPr>
          <cat>
            <numRef>
              <f>'Report'!$A$11:$A$29</f>
            </numRef>
          </cat>
          <val>
            <numRef>
              <f>'Report'!$E$11:$E$29</f>
            </numRef>
          </val>
        </ser>
        <ser>
          <idx val="2"/>
          <order val="2"/>
          <tx>
            <strRef>
              <f>'Report'!F10</f>
            </strRef>
          </tx>
          <spPr>
            <a:ln>
              <a:prstDash val="solid"/>
            </a:ln>
          </spPr>
          <cat>
            <numRef>
              <f>'Report'!$A$11:$A$29</f>
            </numRef>
          </cat>
          <val>
            <numRef>
              <f>'Report'!$F$11:$F$29</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Tổng Pass / Fail</a:t>
            </a:r>
          </a:p>
        </rich>
      </tx>
    </title>
    <plotArea>
      <pieChart>
        <varyColors val="1"/>
        <ser>
          <idx val="0"/>
          <order val="0"/>
          <spPr>
            <a:l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31</row>
      <rowOff>0</rowOff>
    </from>
    <ext cx="43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0.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TC-LINKCODE-01</t>
        </is>
      </c>
      <c r="B9" s="7" t="inlineStr">
        <is>
          <t>Lấy mã liên kết lần đầu khi user chưa có mã</t>
        </is>
      </c>
      <c r="C9" s="8" t="inlineStr">
        <is>
          <t>User thường đã đăng nhập (phiên mobile), chưa có dòng link_codes; đã đồng ý family_sharing (BS-05, từ 3.13)</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(1,2) · Decision Table (R5)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4
5
6
7
8</t>
        </is>
      </c>
      <c r="Q9" s="10" t="inlineStr">
        <is>
          <t>Phiên hợp lệ, tài khoản còn?</t>
        </is>
      </c>
      <c r="R9" s="11" t="inlineStr">
        <is>
          <t>No</t>
        </is>
      </c>
      <c r="S9" s="11" t="inlineStr">
        <is>
          <t>Yes</t>
        </is>
      </c>
      <c r="T9" s="11" t="inlineStr">
        <is>
          <t>Yes</t>
        </is>
      </c>
      <c r="U9" s="11" t="inlineStr">
        <is>
          <t>Yes</t>
        </is>
      </c>
      <c r="V9" s="11" t="inlineStr">
        <is>
          <t>Yes</t>
        </is>
      </c>
    </row>
    <row r="10" ht="57.5" customHeight="1">
      <c r="A10" s="7" t="inlineStr">
        <is>
          <t>TC-LINKCODE-02</t>
        </is>
      </c>
      <c r="B10" s="7" t="inlineStr">
        <is>
          <t>Gọi lại nhiều lần trả đúng mã cũ</t>
        </is>
      </c>
      <c r="C10" s="8" t="inlineStr">
        <is>
          <t>User U đã có mã C (đã gọi endpoint một lần); đã đồng ý family_sharing (BS-05, từ 3.13)</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(R4) · test_repeated_calls_return_same_code__AC2</t>
        </is>
      </c>
      <c r="K10" s="9" t="inlineStr">
        <is>
          <t>Consent family_sharing của người gọi</t>
        </is>
      </c>
      <c r="L10" s="10" t="inlineStr">
        <is>
          <t>Đang đồng ý</t>
        </is>
      </c>
      <c r="M10" s="10" t="inlineStr">
        <is>
          <t>2</t>
        </is>
      </c>
      <c r="N10" s="10" t="inlineStr">
        <is>
          <t>Chưa từng đồng ý
Đã rút</t>
        </is>
      </c>
      <c r="O10" s="10" t="inlineStr">
        <is>
          <t>9
10</t>
        </is>
      </c>
      <c r="Q10" s="10" t="inlineStr">
        <is>
          <t>Tài khoản admin?</t>
        </is>
      </c>
      <c r="R10" s="11" t="inlineStr">
        <is>
          <t>-</t>
        </is>
      </c>
      <c r="S10" s="11" t="inlineStr">
        <is>
          <t>Yes</t>
        </is>
      </c>
      <c r="T10" s="11" t="inlineStr">
        <is>
          <t>No</t>
        </is>
      </c>
      <c r="U10" s="11" t="inlineStr">
        <is>
          <t>No</t>
        </is>
      </c>
      <c r="V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 đã đồng ý family_sharing (BS-05, từ 3.13)</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K11" s="9" t="inlineStr">
        <is>
          <t>Mã liên kết (code)</t>
        </is>
      </c>
      <c r="L11" s="10" t="inlineStr">
        <is>
          <t>10 ký tự thuộc A–Z, 2–9, bỏ 0 O 1 I L</t>
        </is>
      </c>
      <c r="M11" s="10" t="inlineStr">
        <is>
          <t>3</t>
        </is>
      </c>
      <c r="N11" s="10" t="inlineStr">
        <is>
          <t>Có ký tự dễ nhầm 0, O, 1, I, L
Chữ thường
Độ dài khác 10</t>
        </is>
      </c>
      <c r="O11" s="10" t="inlineStr">
        <is>
          <t>11
12
13</t>
        </is>
      </c>
      <c r="Q11" s="10" t="inlineStr">
        <is>
          <t>Đang đồng ý family_sharing?</t>
        </is>
      </c>
      <c r="R11" s="11" t="inlineStr">
        <is>
          <t>-</t>
        </is>
      </c>
      <c r="S11" s="11" t="inlineStr">
        <is>
          <t>-</t>
        </is>
      </c>
      <c r="T11" s="11" t="inlineStr">
        <is>
          <t>No</t>
        </is>
      </c>
      <c r="U11" s="11" t="inlineStr">
        <is>
          <t>Yes</t>
        </is>
      </c>
      <c r="V11" s="11" t="inlineStr">
        <is>
          <t>Yes</t>
        </is>
      </c>
    </row>
    <row r="12" ht="57.5" customHeight="1">
      <c r="A12" s="7" t="inlineStr">
        <is>
          <t>TC-LINKCODE-04</t>
        </is>
      </c>
      <c r="B12" s="7" t="inlineStr">
        <is>
          <t>Hai request đầu tiên gửi đồng thời nhận cùng một mã</t>
        </is>
      </c>
      <c r="C12" s="8" t="inlineStr">
        <is>
          <t>User U chưa có mã; đã đồng ý family_sharing (BS-05, từ 3.13)</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10" t="inlineStr">
        <is>
          <t>User đã có mã?</t>
        </is>
      </c>
      <c r="R12" s="11" t="inlineStr">
        <is>
          <t>-</t>
        </is>
      </c>
      <c r="S12" s="11" t="inlineStr">
        <is>
          <t>-</t>
        </is>
      </c>
      <c r="T12" s="11" t="inlineStr">
        <is>
          <t>-</t>
        </is>
      </c>
      <c r="U12" s="11" t="inlineStr">
        <is>
          <t>Yes</t>
        </is>
      </c>
      <c r="V12" s="11" t="inlineStr">
        <is>
          <t>No</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(3) · test_generate_code_length_and_alphabet__AC4</t>
        </is>
      </c>
      <c r="Q13" s="6" t="inlineStr">
        <is>
          <t>Action</t>
        </is>
      </c>
      <c r="R13" s="5" t="inlineStr">
        <is>
          <t>R1</t>
        </is>
      </c>
      <c r="S13" s="5" t="inlineStr">
        <is>
          <t>R2</t>
        </is>
      </c>
      <c r="T13" s="5" t="inlineStr">
        <is>
          <t>R3</t>
        </is>
      </c>
      <c r="U13" s="5" t="inlineStr">
        <is>
          <t>R4</t>
        </is>
      </c>
      <c r="V13" s="5" t="inlineStr">
        <is>
          <t>R5</t>
        </is>
      </c>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(11) · test_alphabet_excludes_confusable_characters__AC4</t>
        </is>
      </c>
      <c r="Q14" s="10" t="inlineStr">
        <is>
          <t>401, không ghi gì</t>
        </is>
      </c>
      <c r="R14" s="11" t="inlineStr">
        <is>
          <t>X</t>
        </is>
      </c>
      <c r="S14" s="11" t="inlineStr"/>
      <c r="T14" s="11" t="inlineStr"/>
      <c r="U14" s="11" t="inlineStr"/>
      <c r="V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403 khong_co_quyen, không ghi gì</t>
        </is>
      </c>
      <c r="R15" s="11" t="inlineStr"/>
      <c r="S15" s="11" t="inlineStr">
        <is>
          <t>X</t>
        </is>
      </c>
      <c r="T15" s="11" t="inlineStr"/>
      <c r="U15" s="11" t="inlineStr"/>
      <c r="V15" s="11" t="inlineStr"/>
    </row>
    <row r="16" ht="57.5" customHeight="1">
      <c r="A16" s="7" t="inlineStr">
        <is>
          <t>TC-LINKCODE-08</t>
        </is>
      </c>
      <c r="B16" s="7" t="inlineStr">
        <is>
          <t>Tách mã từ qr_payload được đúng code</t>
        </is>
      </c>
      <c r="C16" s="8" t="inlineStr">
        <is>
          <t>User thường đã đăng nhập; đã đồng ý family_sharing (BS-05, từ 3.13)</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403 family_sharing_consent_required, không sinh mã</t>
        </is>
      </c>
      <c r="R16" s="11" t="inlineStr"/>
      <c r="S16" s="11" t="inlineStr"/>
      <c r="T16" s="11" t="inlineStr">
        <is>
          <t>X</t>
        </is>
      </c>
      <c r="U16" s="11" t="inlineStr"/>
      <c r="V16" s="11" t="inlineStr"/>
    </row>
    <row r="17" ht="90.5" customHeight="1">
      <c r="A17" s="7" t="inlineStr">
        <is>
          <t>TC-LINKCODE-09</t>
        </is>
      </c>
      <c r="B17" s="7" t="inlineStr">
        <is>
          <t>Không lấy được hoặc tạo mã cho user khác bằng tham số query</t>
        </is>
      </c>
      <c r="C17" s="8" t="inlineStr">
        <is>
          <t>Hai user thường U, V; V chưa có mã; đã đồng ý family_sharing (BS-05, từ 3.13)</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c r="Q17" s="10" t="inlineStr">
        <is>
          <t>200, trả mã cũ, không ghi gì</t>
        </is>
      </c>
      <c r="R17" s="11" t="inlineStr"/>
      <c r="S17" s="11" t="inlineStr"/>
      <c r="T17" s="11" t="inlineStr"/>
      <c r="U17" s="11" t="inlineStr">
        <is>
          <t>X</t>
        </is>
      </c>
      <c r="V17" s="11" t="inlineStr"/>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c r="Q18" s="10" t="inlineStr">
        <is>
          <t>200, sinh và lưu một mã mới</t>
        </is>
      </c>
      <c r="R18" s="11" t="inlineStr"/>
      <c r="S18" s="11" t="inlineStr"/>
      <c r="T18" s="11" t="inlineStr"/>
      <c r="U18" s="11" t="inlineStr"/>
      <c r="V18" s="11" t="inlineStr">
        <is>
          <t>X</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(4)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(5)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(6)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(7) · test_unknown_user_token_401</t>
        </is>
      </c>
    </row>
    <row r="24" ht="107"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 admin bị chặn trước khi kiểm consent</t>
        </is>
      </c>
      <c r="G24" s="8" t="inlineStr">
        <is>
          <t>403 {"detail": "khong_co_quyen"}; không có dòng mới</t>
        </is>
      </c>
      <c r="H24" s="7" t="inlineStr">
        <is>
          <t>Pass</t>
        </is>
      </c>
      <c r="I24" s="8" t="inlineStr">
        <is>
          <t>AC9 · EP (8) · Decision Table (R2) · test_admin_403_khong_co_quyen_no_row__AC9, test_admin_forbidden_before_any_query__AC9, test_admin_checked_before_consent__AC32</t>
        </is>
      </c>
    </row>
    <row r="25" ht="57.5" customHeight="1">
      <c r="A25" s="7" t="inlineStr">
        <is>
          <t>TC-LINKCODE-17</t>
        </is>
      </c>
      <c r="B25" s="7" t="inlineStr">
        <is>
          <t>Mã và qr_payload không xuất hiện trong log ứng dụng</t>
        </is>
      </c>
      <c r="C25" s="8" t="inlineStr">
        <is>
          <t>Logger drugtime ở mức DEBUG; đã đồng ý family_sharing (BS-05, từ 3.13)</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 · kết quả của task 3.10 (2026-10-13), 3.13 không chạy lại</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57.5"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(13) · scratch/check_link_code_310.py (chạy lại ở 3.13)</t>
        </is>
      </c>
    </row>
    <row r="35" ht="57.5"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(3) · scratch/check_link_code_310.py (chạy lại ở 3.13)</t>
        </is>
      </c>
    </row>
    <row r="36" ht="57.5"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(13) · scratch/check_link_code_310.py (chạy lại ở 3.13)</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(11,12) · scratch/check_link_code_310.py (chạy lại ở 3.13)</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 · kết quả của task 3.10 (2026-10-13), 3.13 không chạy lại</t>
        </is>
      </c>
    </row>
    <row r="39" ht="123.5" customHeight="1">
      <c r="A39" s="7" t="inlineStr">
        <is>
          <t>TC-LINKCODE-28</t>
        </is>
      </c>
      <c r="B39" s="7" t="inlineStr">
        <is>
          <t>Toàn bộ unit test, architecture test và ruff toàn repo pass</t>
        </is>
      </c>
      <c r="C39" s="8" t="inlineStr">
        <is>
          <t>backend trên nhánh feat/3.13-backend-post-links; venv backend/.venv</t>
        </is>
      </c>
      <c r="D39" s="8" t="inlineStr">
        <is>
          <t>1. pytest tests/unit tests/architecture -q
2. ruff check .
3. So với baseline trước khi sửa code</t>
        </is>
      </c>
      <c r="E39" s="8" t="inlineStr">
        <is>
          <t>-</t>
        </is>
      </c>
      <c r="F39" s="8" t="inlineStr">
        <is>
          <t>pytest và ruff đều pass</t>
        </is>
      </c>
      <c r="G39" s="8"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H39" s="7" t="inlineStr">
        <is>
          <t>Fail</t>
        </is>
      </c>
      <c r="I39" s="8" t="inlineStr">
        <is>
          <t>AC16 (3.10) · implement-baseline-unit.log, test-unit-2.log, implement-final-backend.log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(11,12,13) · BVA (min-1, max+1) · test_code_format_check_rejects_invalid_code__AC11</t>
        </is>
      </c>
    </row>
    <row r="41" ht="123.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 (chạy ở 3.10, trước BS-05: user chưa cần consent family_sharing)</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 · kết quả của task 3.10 (2026-10-13), 3.13 không chạy lại</t>
        </is>
      </c>
    </row>
    <row r="42" ht="90.5" customHeight="1">
      <c r="A42" s="7" t="inlineStr">
        <is>
          <t>TC-LINKCODE-31</t>
        </is>
      </c>
      <c r="B42" s="7" t="inlineStr">
        <is>
          <t>Từ chối lấy mã khi user chưa từng đồng ý family_sharing</t>
        </is>
      </c>
      <c r="C42" s="8" t="inlineStr">
        <is>
          <t>User thường đã đăng nhập, chỉ có consent health_data, chưa có mã</t>
        </is>
      </c>
      <c r="D42" s="8" t="inlineStr">
        <is>
          <t>1. GET /family/link-code với phiên của user
2. Đếm dòng link_codes trước và sau</t>
        </is>
      </c>
      <c r="E42" s="8" t="inlineStr">
        <is>
          <t>Authorization: Bearer &lt;phiên mobile của U&gt;</t>
        </is>
      </c>
      <c r="F42" s="8" t="inlineStr">
        <is>
          <t>403 {"detail": "family_sharing_consent_required"}; không sinh dòng link_codes nào</t>
        </is>
      </c>
      <c r="G42" s="8" t="inlineStr">
        <is>
          <t>403 {"detail": "family_sharing_consent_required"}; số dòng link_codes không đổi</t>
        </is>
      </c>
      <c r="H42" s="7" t="inlineStr">
        <is>
          <t>Pass</t>
        </is>
      </c>
      <c r="I42" s="8" t="inlineStr">
        <is>
          <t>AC32 (3.13) · BS-05 · EP (9) · Decision Table (R3) · test_without_family_sharing_403__AC32[never], test_missing_family_sharing_forbidden__AC32</t>
        </is>
      </c>
    </row>
    <row r="43" ht="107" customHeight="1">
      <c r="A43" s="7" t="inlineStr">
        <is>
          <t>TC-LINKCODE-32</t>
        </is>
      </c>
      <c r="B43" s="7" t="inlineStr">
        <is>
          <t>Từ chối lấy mã khi user đã rút family_sharing</t>
        </is>
      </c>
      <c r="C43" s="8" t="inlineStr">
        <is>
          <t>User thường đã đồng ý rồi rút consent family_sharing</t>
        </is>
      </c>
      <c r="D43" s="8" t="inlineStr">
        <is>
          <t>1. GET /family/link-code với phiên của user
2. Đếm dòng link_codes trước và sau</t>
        </is>
      </c>
      <c r="E43" s="8" t="inlineStr">
        <is>
          <t>consent family_sharing: status thu_hoi</t>
        </is>
      </c>
      <c r="F43" s="8" t="inlineStr">
        <is>
          <t>403 {"detail": "family_sharing_consent_required"}; không sinh dòng link_codes nào</t>
        </is>
      </c>
      <c r="G43" s="8" t="inlineStr">
        <is>
          <t>403 {"detail": "family_sharing_consent_required"}; số dòng link_codes không đổi</t>
        </is>
      </c>
      <c r="H43" s="7" t="inlineStr">
        <is>
          <t>Pass</t>
        </is>
      </c>
      <c r="I43" s="8" t="inlineStr">
        <is>
          <t>AC32 (3.13) · BS-05 · EP (10) · Decision Table (R3) · test_without_family_sharing_403__AC32[withdrawn], test_existing_code_hidden_without_family_sharing__AC32</t>
        </is>
      </c>
    </row>
    <row r="44" ht="123.5" customHeight="1">
      <c r="A44" s="7" t="inlineStr">
        <is>
          <t>TC-LINKCODE-33</t>
        </is>
      </c>
      <c r="B44" s="7" t="inlineStr">
        <is>
          <t>Đồng ý family_sharing qua API thì lấy được mã; rút rồi đồng ý lại vẫn là mã cũ</t>
        </is>
      </c>
      <c r="C44" s="8" t="inlineStr">
        <is>
          <t>User thường chưa có consent family_sharing</t>
        </is>
      </c>
      <c r="D44" s="8" t="inlineStr">
        <is>
          <t>1. POST /consents {"purpose": "family_sharing", "document_version": "2026-10-v1"}
2. GET /family/link-code
3. POST /consents/family_sharing/withdraw
4. GET /family/link-code
5. POST /consents như bước 1
6. GET /family/link-code</t>
        </is>
      </c>
      <c r="E44" s="8" t="inlineStr">
        <is>
          <t>document_version = "2026-10-v1"</t>
        </is>
      </c>
      <c r="F44" s="8" t="inlineStr">
        <is>
          <t>Bước 1, 5: 201; bước 2: 200 với mã C; bước 3: 200; bước 4: 403 family_sharing_consent_required; bước 6: 200 với đúng mã C; DB chỉ 1 dòng link_codes</t>
        </is>
      </c>
      <c r="G44" s="8" t="inlineStr">
        <is>
          <t>Đúng như mong đợi: mã ở bước 6 trùng bước 2, 1 dòng link_codes</t>
        </is>
      </c>
      <c r="H44" s="7" t="inlineStr">
        <is>
          <t>Pass</t>
        </is>
      </c>
      <c r="I44" s="8" t="inlineStr">
        <is>
          <t>AC32 (3.13) · QD-04 · Chuyển trạng thái (consent đồng ý → rút → đồng ý) · test_after_consent_returns_same_code__AC32</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7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 t="inlineStr">
        <is>
          <t>Project Name</t>
        </is>
      </c>
      <c r="B1" s="2" t="inlineStr">
        <is>
          <t>DrugTime</t>
        </is>
      </c>
    </row>
    <row r="2">
      <c r="A2" s="1" t="inlineStr">
        <is>
          <t>Module Name</t>
        </is>
      </c>
      <c r="B2" s="2" t="inlineStr">
        <is>
          <t>Gửi yêu cầu liên kết người thân (LINKREQ)</t>
        </is>
      </c>
    </row>
    <row r="3">
      <c r="A3" s="1" t="inlineStr">
        <is>
          <t>Created By</t>
        </is>
      </c>
      <c r="B3" s="2" t="inlineStr">
        <is>
          <t>zannguyen</t>
        </is>
      </c>
    </row>
    <row r="4">
      <c r="A4" s="1" t="inlineStr">
        <is>
          <t>Creation Date</t>
        </is>
      </c>
      <c r="B4" s="21" t="n">
        <v>46314</v>
      </c>
    </row>
    <row r="5">
      <c r="A5" s="1" t="inlineStr">
        <is>
          <t>Reviewed By</t>
        </is>
      </c>
      <c r="B5" s="2" t="inlineStr"/>
    </row>
    <row r="6">
      <c r="A6" s="1" t="inlineStr">
        <is>
          <t>Reviewed Date</t>
        </is>
      </c>
      <c r="B6" s="2" t="n"/>
    </row>
    <row r="7">
      <c r="K7" s="4" t="inlineStr">
        <is>
          <t>Equivalence Partitioning</t>
        </is>
      </c>
      <c r="Q7" s="4" t="inlineStr">
        <is>
          <t>Kết quả POST /family/link-requests (theo thứ tự kiểm)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c r="Y8" s="5" t="inlineStr">
        <is>
          <t>R8</t>
        </is>
      </c>
      <c r="Z8" s="5" t="inlineStr">
        <is>
          <t>R9</t>
        </is>
      </c>
      <c r="AA8" s="5" t="inlineStr">
        <is>
          <t>R10</t>
        </is>
      </c>
      <c r="AB8" s="5" t="inlineStr">
        <is>
          <t>R11</t>
        </is>
      </c>
    </row>
    <row r="9" ht="107" customHeight="1">
      <c r="A9" s="7" t="inlineStr">
        <is>
          <t>TC-LINKREQ-01</t>
        </is>
      </c>
      <c r="B9" s="7" t="inlineStr">
        <is>
          <t>Gửi yêu cầu liên kết bằng mã hợp lệ</t>
        </is>
      </c>
      <c r="C9" s="8" t="inlineStr">
        <is>
          <t>Người bệnh P đã đồng ý family_sharing và lấy mã C qua GET /family/link-code; người thân F (tài khoản cá nhân, không có consent nào) chưa có dòng với P</t>
        </is>
      </c>
      <c r="D9" s="8" t="inlineStr">
        <is>
          <t>1. POST /family/link-requests với phiên của F, body {client_uuid, code}
2. Đọc caregiver_links của cặp (P, F) và link_codes của P
3. Người thân F2 khác gửi cùng mã C</t>
        </is>
      </c>
      <c r="E9" s="8" t="inlineStr">
        <is>
          <t>code = C; client_uuid = UUID mới</t>
        </is>
      </c>
      <c r="F9" s="8" t="inlineStr">
        <is>
          <t>201; body đúng 3 field id, status = "pending", requested_at; không có id, tên, email của P; 1 dòng caregiver_links (P, F, pending, sharing_enabled = false); link_codes của P không đổi; F2 cũng nhận 201</t>
        </is>
      </c>
      <c r="G9" s="8" t="inlineStr">
        <is>
          <t>201, body 3 field, status pending; 1 dòng pending, sharing_enabled false; link_codes không đổi; F2 nhận 201</t>
        </is>
      </c>
      <c r="H9" s="7" t="inlineStr">
        <is>
          <t>Pass</t>
        </is>
      </c>
      <c r="I9" s="8" t="inlineStr">
        <is>
          <t>AC1 · AC34 · QD-04 · QD-34 (b) · EP (1,2,4,6) · Decision Table (R11) · test_creates_pending_without_profile__AC1, test_creates_pending__AC1</t>
        </is>
      </c>
      <c r="K9" s="9" t="inlineStr">
        <is>
          <t>Phiên gọi (header Authorization)</t>
        </is>
      </c>
      <c r="L9" s="10" t="inlineStr">
        <is>
          <t>Phiên mobile của tài khoản cá nhân</t>
        </is>
      </c>
      <c r="M9" s="10" t="inlineStr">
        <is>
          <t>1</t>
        </is>
      </c>
      <c r="N9" s="10" t="inlineStr">
        <is>
          <t>Không có header
Token sai
Phiên của tài khoản admin</t>
        </is>
      </c>
      <c r="O9" s="10" t="inlineStr">
        <is>
          <t>7
8
9</t>
        </is>
      </c>
      <c r="Q9" s="10" t="inlineStr">
        <is>
          <t>Tài khoản admin?</t>
        </is>
      </c>
      <c r="R9" s="11" t="inlineStr">
        <is>
          <t>Yes</t>
        </is>
      </c>
      <c r="S9" s="11" t="inlineStr">
        <is>
          <t>No</t>
        </is>
      </c>
      <c r="T9" s="11" t="inlineStr">
        <is>
          <t>No</t>
        </is>
      </c>
      <c r="U9" s="11" t="inlineStr">
        <is>
          <t>No</t>
        </is>
      </c>
      <c r="V9" s="11" t="inlineStr">
        <is>
          <t>No</t>
        </is>
      </c>
      <c r="W9" s="11" t="inlineStr">
        <is>
          <t>No</t>
        </is>
      </c>
      <c r="X9" s="11" t="inlineStr">
        <is>
          <t>No</t>
        </is>
      </c>
      <c r="Y9" s="11" t="inlineStr">
        <is>
          <t>No</t>
        </is>
      </c>
      <c r="Z9" s="11" t="inlineStr">
        <is>
          <t>No</t>
        </is>
      </c>
      <c r="AA9" s="11" t="inlineStr">
        <is>
          <t>No</t>
        </is>
      </c>
      <c r="AB9" s="11" t="inlineStr">
        <is>
          <t>No</t>
        </is>
      </c>
    </row>
    <row r="10" ht="90.5" customHeight="1">
      <c r="A10" s="7" t="inlineStr">
        <is>
          <t>TC-LINKREQ-02</t>
        </is>
      </c>
      <c r="B10" s="7" t="inlineStr">
        <is>
          <t>Yêu cầu đang chờ không cấp quyền xem dữ liệu sức khỏe</t>
        </is>
      </c>
      <c r="C10" s="8" t="inlineStr">
        <is>
          <t>Người bệnh P đã đồng ý family_sharing và lấy mã C qua GET /family/link-code; P có consent health_data; F vừa gửi yêu cầu (pending)</t>
        </is>
      </c>
      <c r="D10" s="8" t="inlineStr">
        <is>
          <t>1. POST /family/link-requests với phiên của F, body {client_uuid, code}
2. F gọi GET /patients/{P}/schedules
3. Đọc access_logs của P</t>
        </is>
      </c>
      <c r="E10" s="8" t="inlineStr">
        <is>
          <t>patient_id = P</t>
        </is>
      </c>
      <c r="F10" s="8" t="inlineStr">
        <is>
          <t>403 {"detail": "khong_co_quyen"}; access_logs có 1 dòng của F với result = denied</t>
        </is>
      </c>
      <c r="G10" s="8" t="inlineStr">
        <is>
          <t>403 khong_co_quyen; 1 dòng access_logs (F, denied)</t>
        </is>
      </c>
      <c r="H10" s="7" t="inlineStr">
        <is>
          <t>Pass</t>
        </is>
      </c>
      <c r="I10" s="8" t="inlineStr">
        <is>
          <t>AC2 · QD-28 · Kịch bản chất lượng (truy cập chéo khi chưa có liên kết active) · test_pending_link_grants_no_access__AC2</t>
        </is>
      </c>
      <c r="K10" s="9" t="inlineStr">
        <is>
          <t>Mã liên kết (code)</t>
        </is>
      </c>
      <c r="L10" s="10" t="inlineStr">
        <is>
          <t>10 ký tự thuộc A–H J K M N P–Z 2–9
Có khoảng trắng hai đầu hoặc chữ thường, hợp lệ sau chuẩn hóa</t>
        </is>
      </c>
      <c r="M10" s="10" t="inlineStr">
        <is>
          <t>2
3</t>
        </is>
      </c>
      <c r="N10" s="10" t="inlineStr">
        <is>
          <t>Thiếu
Không phải chuỗi
Có O, I, L, 0, 1
9 ký tự
11 ký tự</t>
        </is>
      </c>
      <c r="O10" s="10" t="inlineStr">
        <is>
          <t>10
11
12
13
14</t>
        </is>
      </c>
      <c r="Q10" s="10" t="inlineStr">
        <is>
          <t>client_uuid đã thành công?</t>
        </is>
      </c>
      <c r="R10" s="11" t="inlineStr">
        <is>
          <t>-</t>
        </is>
      </c>
      <c r="S10" s="11" t="inlineStr">
        <is>
          <t>Yes</t>
        </is>
      </c>
      <c r="T10" s="11" t="inlineStr">
        <is>
          <t>No</t>
        </is>
      </c>
      <c r="U10" s="11" t="inlineStr">
        <is>
          <t>No</t>
        </is>
      </c>
      <c r="V10" s="11" t="inlineStr">
        <is>
          <t>No</t>
        </is>
      </c>
      <c r="W10" s="11" t="inlineStr">
        <is>
          <t>No</t>
        </is>
      </c>
      <c r="X10" s="11" t="inlineStr">
        <is>
          <t>No</t>
        </is>
      </c>
      <c r="Y10" s="11" t="inlineStr">
        <is>
          <t>No</t>
        </is>
      </c>
      <c r="Z10" s="11" t="inlineStr">
        <is>
          <t>No</t>
        </is>
      </c>
      <c r="AA10" s="11" t="inlineStr">
        <is>
          <t>No</t>
        </is>
      </c>
      <c r="AB10" s="11" t="inlineStr">
        <is>
          <t>No</t>
        </is>
      </c>
    </row>
    <row r="11" ht="74" customHeight="1">
      <c r="A11" s="7" t="inlineStr">
        <is>
          <t>TC-LINKREQ-03</t>
        </is>
      </c>
      <c r="B11" s="7" t="inlineStr">
        <is>
          <t>Gửi yêu cầu không có header Authorization</t>
        </is>
      </c>
      <c r="C11" s="8" t="inlineStr">
        <is>
          <t>Người bệnh P đã đồng ý family_sharing và lấy mã C qua GET /family/link-code</t>
        </is>
      </c>
      <c r="D11" s="8" t="inlineStr">
        <is>
          <t>1. POST /family/link-requests không có header Authorization
2. Đếm caregiver_links của P và link_request_attempts</t>
        </is>
      </c>
      <c r="E11" s="8" t="inlineStr">
        <is>
          <t>(blank)</t>
        </is>
      </c>
      <c r="F11" s="8" t="inlineStr">
        <is>
          <t>401; không có dòng caregiver_links hay lượt sai nào được tạo</t>
        </is>
      </c>
      <c r="G11" s="8" t="inlineStr">
        <is>
          <t>401; không có dòng mới</t>
        </is>
      </c>
      <c r="H11" s="7" t="inlineStr">
        <is>
          <t>Pass</t>
        </is>
      </c>
      <c r="I11" s="8" t="inlineStr">
        <is>
          <t>AC3 · QD-34 (a) · EP (7) · test_unauthenticated_401__AC3[headers0]</t>
        </is>
      </c>
      <c r="K11" s="9" t="inlineStr">
        <is>
          <t>client_uuid</t>
        </is>
      </c>
      <c r="L11" s="10" t="inlineStr">
        <is>
          <t>UUID mới
UUID của request đã thành công (gửi lại)</t>
        </is>
      </c>
      <c r="M11" s="10" t="inlineStr">
        <is>
          <t>4
5</t>
        </is>
      </c>
      <c r="N11" s="10" t="inlineStr">
        <is>
          <t>Thiếu
Không phải UUID</t>
        </is>
      </c>
      <c r="O11" s="10" t="inlineStr">
        <is>
          <t>15
16</t>
        </is>
      </c>
      <c r="Q11" s="10" t="inlineStr">
        <is>
          <t>Đang bị khóa?</t>
        </is>
      </c>
      <c r="R11" s="11" t="inlineStr">
        <is>
          <t>-</t>
        </is>
      </c>
      <c r="S11" s="11" t="inlineStr">
        <is>
          <t>-</t>
        </is>
      </c>
      <c r="T11" s="11" t="inlineStr">
        <is>
          <t>Yes</t>
        </is>
      </c>
      <c r="U11" s="11" t="inlineStr">
        <is>
          <t>No</t>
        </is>
      </c>
      <c r="V11" s="11" t="inlineStr">
        <is>
          <t>No</t>
        </is>
      </c>
      <c r="W11" s="11" t="inlineStr">
        <is>
          <t>No</t>
        </is>
      </c>
      <c r="X11" s="11" t="inlineStr">
        <is>
          <t>No</t>
        </is>
      </c>
      <c r="Y11" s="11" t="inlineStr">
        <is>
          <t>No</t>
        </is>
      </c>
      <c r="Z11" s="11" t="inlineStr">
        <is>
          <t>No</t>
        </is>
      </c>
      <c r="AA11" s="11" t="inlineStr">
        <is>
          <t>No</t>
        </is>
      </c>
      <c r="AB11" s="11" t="inlineStr">
        <is>
          <t>No</t>
        </is>
      </c>
    </row>
    <row r="12" ht="74" customHeight="1">
      <c r="A12" s="7" t="inlineStr">
        <is>
          <t>TC-LINKREQ-04</t>
        </is>
      </c>
      <c r="B12" s="7" t="inlineStr">
        <is>
          <t>Gửi yêu cầu với token sai</t>
        </is>
      </c>
      <c r="C12" s="8" t="inlineStr">
        <is>
          <t>Người bệnh P đã đồng ý family_sharing và lấy mã C qua GET /family/link-code</t>
        </is>
      </c>
      <c r="D12" s="8" t="inlineStr">
        <is>
          <t>1. POST /family/link-requests với Authorization: Bearer not-a-valid-token</t>
        </is>
      </c>
      <c r="E12" s="8" t="inlineStr">
        <is>
          <t>Bearer not-a-valid-token</t>
        </is>
      </c>
      <c r="F12" s="8" t="inlineStr">
        <is>
          <t>401; không có dòng mới</t>
        </is>
      </c>
      <c r="G12" s="8" t="inlineStr">
        <is>
          <t>401; không có dòng mới</t>
        </is>
      </c>
      <c r="H12" s="7" t="inlineStr">
        <is>
          <t>Pass</t>
        </is>
      </c>
      <c r="I12" s="8" t="inlineStr">
        <is>
          <t>AC3 · EP (8) · test_unauthenticated_401__AC3[headers1]</t>
        </is>
      </c>
      <c r="K12" s="9" t="inlineStr">
        <is>
          <t>Chủ mã</t>
        </is>
      </c>
      <c r="L12" s="10" t="inlineStr">
        <is>
          <t>Người khác, đang đồng ý family_sharing</t>
        </is>
      </c>
      <c r="M12" s="10" t="inlineStr">
        <is>
          <t>6</t>
        </is>
      </c>
      <c r="N12" s="10" t="inlineStr">
        <is>
          <t>Không có (mã không tồn tại)
Chưa đồng ý hoặc đã rút family_sharing
Chính người gọi</t>
        </is>
      </c>
      <c r="O12" s="10" t="inlineStr">
        <is>
          <t>17
18
19</t>
        </is>
      </c>
      <c r="Q12" s="10" t="inlineStr">
        <is>
          <t>Đủ 10 yêu cầu hôm nay?</t>
        </is>
      </c>
      <c r="R12" s="11" t="inlineStr">
        <is>
          <t>-</t>
        </is>
      </c>
      <c r="S12" s="11" t="inlineStr">
        <is>
          <t>-</t>
        </is>
      </c>
      <c r="T12" s="11" t="inlineStr">
        <is>
          <t>-</t>
        </is>
      </c>
      <c r="U12" s="11" t="inlineStr">
        <is>
          <t>Yes</t>
        </is>
      </c>
      <c r="V12" s="11" t="inlineStr">
        <is>
          <t>No</t>
        </is>
      </c>
      <c r="W12" s="11" t="inlineStr">
        <is>
          <t>No</t>
        </is>
      </c>
      <c r="X12" s="11" t="inlineStr">
        <is>
          <t>No</t>
        </is>
      </c>
      <c r="Y12" s="11" t="inlineStr">
        <is>
          <t>No</t>
        </is>
      </c>
      <c r="Z12" s="11" t="inlineStr">
        <is>
          <t>No</t>
        </is>
      </c>
      <c r="AA12" s="11" t="inlineStr">
        <is>
          <t>No</t>
        </is>
      </c>
      <c r="AB12" s="11" t="inlineStr">
        <is>
          <t>No</t>
        </is>
      </c>
    </row>
    <row r="13" ht="74" customHeight="1">
      <c r="A13" s="7" t="inlineStr">
        <is>
          <t>TC-LINKREQ-05</t>
        </is>
      </c>
      <c r="B13" s="7" t="inlineStr">
        <is>
          <t>Tài khoản admin bị từ chối gửi yêu cầu</t>
        </is>
      </c>
      <c r="C13" s="8" t="inlineStr">
        <is>
          <t>Người bệnh P đã đồng ý family_sharing và lấy mã C qua GET /family/link-code; tài khoản admin có phiên admin_web</t>
        </is>
      </c>
      <c r="D13" s="8" t="inlineStr">
        <is>
          <t>1. POST /family/link-requests với phiên admin
2. Đọc caregiver_links và lượt sai của admin</t>
        </is>
      </c>
      <c r="E13" s="8" t="inlineStr">
        <is>
          <t>Phiên admin_web</t>
        </is>
      </c>
      <c r="F13" s="8" t="inlineStr">
        <is>
          <t>403 {"detail": "khong_co_quyen"}; không tạo dòng, không ghi lượt sai</t>
        </is>
      </c>
      <c r="G13" s="8" t="inlineStr">
        <is>
          <t>403 khong_co_quyen; không có dòng nào</t>
        </is>
      </c>
      <c r="H13" s="7" t="inlineStr">
        <is>
          <t>Pass</t>
        </is>
      </c>
      <c r="I13" s="8" t="inlineStr">
        <is>
          <t>AC16 · QD-44 · EP (9) · Decision Table (R1) · test_admin_403__AC16, test_admin_forbidden_before_queries__AC16</t>
        </is>
      </c>
      <c r="K13" s="9" t="inlineStr">
        <is>
          <t>Body</t>
        </is>
      </c>
      <c r="L13" s="10" t="inlineStr"/>
      <c r="M13" s="10" t="inlineStr"/>
      <c r="N13" s="10" t="inlineStr">
        <is>
          <t>Có field lạ (ví dụ patient_user_id)</t>
        </is>
      </c>
      <c r="O13" s="10" t="inlineStr">
        <is>
          <t>20</t>
        </is>
      </c>
      <c r="Q13" s="10" t="inlineStr">
        <is>
          <t>Mã có chủ?</t>
        </is>
      </c>
      <c r="R13" s="11" t="inlineStr">
        <is>
          <t>-</t>
        </is>
      </c>
      <c r="S13" s="11" t="inlineStr">
        <is>
          <t>-</t>
        </is>
      </c>
      <c r="T13" s="11" t="inlineStr">
        <is>
          <t>-</t>
        </is>
      </c>
      <c r="U13" s="11" t="inlineStr">
        <is>
          <t>-</t>
        </is>
      </c>
      <c r="V13" s="11" t="inlineStr">
        <is>
          <t>No</t>
        </is>
      </c>
      <c r="W13" s="11" t="inlineStr">
        <is>
          <t>Yes</t>
        </is>
      </c>
      <c r="X13" s="11" t="inlineStr">
        <is>
          <t>Yes</t>
        </is>
      </c>
      <c r="Y13" s="11" t="inlineStr">
        <is>
          <t>Yes</t>
        </is>
      </c>
      <c r="Z13" s="11" t="inlineStr">
        <is>
          <t>Yes</t>
        </is>
      </c>
      <c r="AA13" s="11" t="inlineStr">
        <is>
          <t>Yes</t>
        </is>
      </c>
      <c r="AB13" s="11" t="inlineStr">
        <is>
          <t>Yes</t>
        </is>
      </c>
    </row>
    <row r="14" ht="74" customHeight="1">
      <c r="A14" s="7" t="inlineStr">
        <is>
          <t>TC-LINKREQ-06</t>
        </is>
      </c>
      <c r="B14" s="7" t="inlineStr">
        <is>
          <t>Gửi mã không thuộc ai</t>
        </is>
      </c>
      <c r="C14" s="8" t="inlineStr">
        <is>
          <t>Người thân F đăng nhập, chưa sai lần nào</t>
        </is>
      </c>
      <c r="D14" s="8" t="inlineStr">
        <is>
          <t>1. POST /family/link-requests với phiên của F, body {client_uuid, code}
2. Đọc link_request_attempts của F</t>
        </is>
      </c>
      <c r="E14" s="8" t="inlineStr">
        <is>
          <t>code = mã ngẫu nhiên đúng định dạng, không có trong link_codes</t>
        </is>
      </c>
      <c r="F14" s="8" t="inlineStr">
        <is>
          <t>404 {"detail": "link_code_not_found"} (body chỉ có detail); 1 dòng lượt sai của F với client_uuid của request; không tạo caregiver_links</t>
        </is>
      </c>
      <c r="G14" s="8" t="inlineStr">
        <is>
          <t>404 link_code_not_found; 1 lượt sai đúng client_uuid; không có dòng liên kết</t>
        </is>
      </c>
      <c r="H14" s="7" t="inlineStr">
        <is>
          <t>Pass</t>
        </is>
      </c>
      <c r="I14" s="8" t="inlineStr">
        <is>
          <t>AC4 · EP (17) · Decision Table (R5) · test_unknown_code_404_counted__AC4</t>
        </is>
      </c>
      <c r="Q14" s="10" t="inlineStr">
        <is>
          <t>Chủ mã là người gọi?</t>
        </is>
      </c>
      <c r="R14" s="11" t="inlineStr">
        <is>
          <t>-</t>
        </is>
      </c>
      <c r="S14" s="11" t="inlineStr">
        <is>
          <t>-</t>
        </is>
      </c>
      <c r="T14" s="11" t="inlineStr">
        <is>
          <t>-</t>
        </is>
      </c>
      <c r="U14" s="11" t="inlineStr">
        <is>
          <t>-</t>
        </is>
      </c>
      <c r="V14" s="11" t="inlineStr">
        <is>
          <t>-</t>
        </is>
      </c>
      <c r="W14" s="11" t="inlineStr">
        <is>
          <t>Yes</t>
        </is>
      </c>
      <c r="X14" s="11" t="inlineStr">
        <is>
          <t>No</t>
        </is>
      </c>
      <c r="Y14" s="11" t="inlineStr">
        <is>
          <t>No</t>
        </is>
      </c>
      <c r="Z14" s="11" t="inlineStr">
        <is>
          <t>No</t>
        </is>
      </c>
      <c r="AA14" s="11" t="inlineStr">
        <is>
          <t>No</t>
        </is>
      </c>
      <c r="AB14" s="11" t="inlineStr">
        <is>
          <t>No</t>
        </is>
      </c>
    </row>
    <row r="15" ht="74" customHeight="1">
      <c r="A15" s="7" t="inlineStr">
        <is>
          <t>TC-LINKREQ-07</t>
        </is>
      </c>
      <c r="B15" s="7" t="inlineStr">
        <is>
          <t>Lượt sai vẫn được lưu dù request trả lỗi</t>
        </is>
      </c>
      <c r="C15" s="8" t="inlineStr">
        <is>
          <t>Người thân F; app cố định giờ lúc T</t>
        </is>
      </c>
      <c r="D15" s="8" t="inlineStr">
        <is>
          <t>1. POST /family/link-requests với phiên của F, body {client_uuid, code} với mã không tồn tại
2. Mở kết nối DB khác, đọc link_request_attempts của F</t>
        </is>
      </c>
      <c r="E15" s="8" t="inlineStr">
        <is>
          <t>T = 12:00 giờ VN hôm nay</t>
        </is>
      </c>
      <c r="F15" s="8" t="inlineStr">
        <is>
          <t>404; kết nối khác thấy đúng 1 dòng (client_uuid, attempted_at = T, account_locked_until = NULL) dù transaction của request đã rollback</t>
        </is>
      </c>
      <c r="G15" s="8" t="inlineStr">
        <is>
          <t>Đúng 1 dòng (client_uuid, T, NULL)</t>
        </is>
      </c>
      <c r="H15" s="7" t="inlineStr">
        <is>
          <t>Pass</t>
        </is>
      </c>
      <c r="I15" s="8" t="inlineStr">
        <is>
          <t>AC12 · Đoán lỗi (rollback) · test_failure_persisted_after_rollback__AC12, test_record_failure_uses_own_unit_of_work__AC12</t>
        </is>
      </c>
      <c r="Q15" s="10" t="inlineStr">
        <is>
          <t>Chủ mã đồng ý family_sharing?</t>
        </is>
      </c>
      <c r="R15" s="11" t="inlineStr">
        <is>
          <t>-</t>
        </is>
      </c>
      <c r="S15" s="11" t="inlineStr">
        <is>
          <t>-</t>
        </is>
      </c>
      <c r="T15" s="11" t="inlineStr">
        <is>
          <t>-</t>
        </is>
      </c>
      <c r="U15" s="11" t="inlineStr">
        <is>
          <t>-</t>
        </is>
      </c>
      <c r="V15" s="11" t="inlineStr">
        <is>
          <t>-</t>
        </is>
      </c>
      <c r="W15" s="11" t="inlineStr">
        <is>
          <t>-</t>
        </is>
      </c>
      <c r="X15" s="11" t="inlineStr">
        <is>
          <t>No</t>
        </is>
      </c>
      <c r="Y15" s="11" t="inlineStr">
        <is>
          <t>Yes</t>
        </is>
      </c>
      <c r="Z15" s="11" t="inlineStr">
        <is>
          <t>Yes</t>
        </is>
      </c>
      <c r="AA15" s="11" t="inlineStr">
        <is>
          <t>Yes</t>
        </is>
      </c>
      <c r="AB15" s="11" t="inlineStr">
        <is>
          <t>Yes</t>
        </is>
      </c>
    </row>
    <row r="16" ht="74" customHeight="1">
      <c r="A16" s="7" t="inlineStr">
        <is>
          <t>TC-LINKREQ-08</t>
        </is>
      </c>
      <c r="B16" s="7" t="inlineStr">
        <is>
          <t>Không gửi được bằng mã của chính mình</t>
        </is>
      </c>
      <c r="C16" s="8" t="inlineStr">
        <is>
          <t>Người bệnh P đã đồng ý family_sharing và lấy mã C qua GET /family/link-code</t>
        </is>
      </c>
      <c r="D16" s="8" t="inlineStr">
        <is>
          <t>1. POST /family/link-requests với phiên của P và mã C của P</t>
        </is>
      </c>
      <c r="E16" s="8" t="inlineStr">
        <is>
          <t>code = C (mã của người gọi)</t>
        </is>
      </c>
      <c r="F16" s="8" t="inlineStr">
        <is>
          <t>422 {"detail": "self_link_not_allowed"}; không tạo dòng, không tính lần sai</t>
        </is>
      </c>
      <c r="G16" s="8" t="inlineStr">
        <is>
          <t>422 self_link_not_allowed; không có dòng nào</t>
        </is>
      </c>
      <c r="H16" s="7" t="inlineStr">
        <is>
          <t>Pass</t>
        </is>
      </c>
      <c r="I16" s="8" t="inlineStr">
        <is>
          <t>AC5 · EP (19) · Decision Table (R6) · test_self_code_422__AC5, test_self_code_422_not_counted__AC5</t>
        </is>
      </c>
      <c r="Q16" s="10" t="inlineStr">
        <is>
          <t>Cặp đang mở?</t>
        </is>
      </c>
      <c r="R16" s="11" t="inlineStr">
        <is>
          <t>-</t>
        </is>
      </c>
      <c r="S16" s="11" t="inlineStr">
        <is>
          <t>-</t>
        </is>
      </c>
      <c r="T16" s="11" t="inlineStr">
        <is>
          <t>-</t>
        </is>
      </c>
      <c r="U16" s="11" t="inlineStr">
        <is>
          <t>-</t>
        </is>
      </c>
      <c r="V16" s="11" t="inlineStr">
        <is>
          <t>-</t>
        </is>
      </c>
      <c r="W16" s="11" t="inlineStr">
        <is>
          <t>-</t>
        </is>
      </c>
      <c r="X16" s="11" t="inlineStr">
        <is>
          <t>-</t>
        </is>
      </c>
      <c r="Y16" s="11" t="inlineStr">
        <is>
          <t>Pending</t>
        </is>
      </c>
      <c r="Z16" s="11" t="inlineStr">
        <is>
          <t>Active</t>
        </is>
      </c>
      <c r="AA16" s="11" t="inlineStr">
        <is>
          <t>No</t>
        </is>
      </c>
      <c r="AB16" s="11" t="inlineStr">
        <is>
          <t>No</t>
        </is>
      </c>
    </row>
    <row r="17" ht="74" customHeight="1">
      <c r="A17" s="7" t="inlineStr">
        <is>
          <t>TC-LINKREQ-09</t>
        </is>
      </c>
      <c r="B17" s="7" t="inlineStr">
        <is>
          <t>Từ chối khi cặp đã có yêu cầu đang chờ</t>
        </is>
      </c>
      <c r="C17" s="8" t="inlineStr">
        <is>
          <t>Người bệnh P đã đồng ý family_sharing và lấy mã C qua GET /family/link-code; cặp (P, F) đã có dòng pending</t>
        </is>
      </c>
      <c r="D17" s="8" t="inlineStr">
        <is>
          <t>1. POST /family/link-requests với phiên của F, body {client_uuid, code}
2. Đọc caregiver_links của cặp và lượt sai của F</t>
        </is>
      </c>
      <c r="E17" s="8" t="inlineStr">
        <is>
          <t>code = C</t>
        </is>
      </c>
      <c r="F17" s="8" t="inlineStr">
        <is>
          <t>409 {"detail": "link_request_pending"}; số dòng của cặp không đổi; không tính lần sai</t>
        </is>
      </c>
      <c r="G17" s="8" t="inlineStr">
        <is>
          <t>409 link_request_pending; dòng không đổi; không có lượt sai</t>
        </is>
      </c>
      <c r="H17" s="7" t="inlineStr">
        <is>
          <t>Pass</t>
        </is>
      </c>
      <c r="I17" s="8" t="inlineStr">
        <is>
          <t>AC6 · QD-34 (f) · Decision Table (R8) · test_open_pair_409__AC6[pending-link_request_pending]</t>
        </is>
      </c>
      <c r="Q17" s="10" t="inlineStr">
        <is>
          <t>Đang bị chặn sau 5 lần từ chối?</t>
        </is>
      </c>
      <c r="R17" s="11" t="inlineStr">
        <is>
          <t>-</t>
        </is>
      </c>
      <c r="S17" s="11" t="inlineStr">
        <is>
          <t>-</t>
        </is>
      </c>
      <c r="T17" s="11" t="inlineStr">
        <is>
          <t>-</t>
        </is>
      </c>
      <c r="U17" s="11" t="inlineStr">
        <is>
          <t>-</t>
        </is>
      </c>
      <c r="V17" s="11" t="inlineStr">
        <is>
          <t>-</t>
        </is>
      </c>
      <c r="W17" s="11" t="inlineStr">
        <is>
          <t>-</t>
        </is>
      </c>
      <c r="X17" s="11" t="inlineStr">
        <is>
          <t>-</t>
        </is>
      </c>
      <c r="Y17" s="11" t="inlineStr">
        <is>
          <t>-</t>
        </is>
      </c>
      <c r="Z17" s="11" t="inlineStr">
        <is>
          <t>-</t>
        </is>
      </c>
      <c r="AA17" s="11" t="inlineStr">
        <is>
          <t>Yes</t>
        </is>
      </c>
      <c r="AB17" s="11" t="inlineStr">
        <is>
          <t>No</t>
        </is>
      </c>
    </row>
    <row r="18" ht="90.5" customHeight="1">
      <c r="A18" s="7" t="inlineStr">
        <is>
          <t>TC-LINKREQ-10</t>
        </is>
      </c>
      <c r="B18" s="7" t="inlineStr">
        <is>
          <t>Từ chối khi cặp đã liên kết (kể cả đã tắt chia sẻ)</t>
        </is>
      </c>
      <c r="C18" s="8" t="inlineStr">
        <is>
          <t>Người bệnh P đã đồng ý family_sharing và lấy mã C qua GET /family/link-code; cặp (P, F) có dòng active, sharing_enabled = false</t>
        </is>
      </c>
      <c r="D18" s="8" t="inlineStr">
        <is>
          <t>1. POST /family/link-requests với phiên của F, body {client_uuid, code}
2. Đọc caregiver_links của cặp</t>
        </is>
      </c>
      <c r="E18" s="8" t="inlineStr">
        <is>
          <t>code = C</t>
        </is>
      </c>
      <c r="F18" s="8" t="inlineStr">
        <is>
          <t>409 {"detail": "already_linked"}; số dòng không đổi; không tính lần sai</t>
        </is>
      </c>
      <c r="G18" s="8" t="inlineStr">
        <is>
          <t>409 already_linked; dòng không đổi; không có lượt sai</t>
        </is>
      </c>
      <c r="H18" s="7" t="inlineStr">
        <is>
          <t>Pass</t>
        </is>
      </c>
      <c r="I18" s="8" t="inlineStr">
        <is>
          <t>AC6 · Decision Table (R9) · test_open_pair_409__AC6[active-already_linked]</t>
        </is>
      </c>
      <c r="Q18" s="6" t="inlineStr">
        <is>
          <t>Action</t>
        </is>
      </c>
      <c r="R18" s="5" t="inlineStr">
        <is>
          <t>R1</t>
        </is>
      </c>
      <c r="S18" s="5" t="inlineStr">
        <is>
          <t>R2</t>
        </is>
      </c>
      <c r="T18" s="5" t="inlineStr">
        <is>
          <t>R3</t>
        </is>
      </c>
      <c r="U18" s="5" t="inlineStr">
        <is>
          <t>R4</t>
        </is>
      </c>
      <c r="V18" s="5" t="inlineStr">
        <is>
          <t>R5</t>
        </is>
      </c>
      <c r="W18" s="5" t="inlineStr">
        <is>
          <t>R6</t>
        </is>
      </c>
      <c r="X18" s="5" t="inlineStr">
        <is>
          <t>R7</t>
        </is>
      </c>
      <c r="Y18" s="5" t="inlineStr">
        <is>
          <t>R8</t>
        </is>
      </c>
      <c r="Z18" s="5" t="inlineStr">
        <is>
          <t>R9</t>
        </is>
      </c>
      <c r="AA18" s="5" t="inlineStr">
        <is>
          <t>R10</t>
        </is>
      </c>
      <c r="AB18" s="5" t="inlineStr">
        <is>
          <t>R11</t>
        </is>
      </c>
    </row>
    <row r="19" ht="107" customHeight="1">
      <c r="A19" s="7" t="inlineStr">
        <is>
          <t>TC-LINKREQ-11</t>
        </is>
      </c>
      <c r="B19" s="7" t="inlineStr">
        <is>
          <t>Gửi được khi đã có yêu cầu hoặc liên kết theo chiều ngược lại</t>
        </is>
      </c>
      <c r="C19" s="8" t="inlineStr">
        <is>
          <t>Người bệnh P đã đồng ý family_sharing và lấy mã C qua GET /family/link-code; F cũng là người bệnh; đã có dòng (patient = F, family = P) pending hoặc active</t>
        </is>
      </c>
      <c r="D19" s="8" t="inlineStr">
        <is>
          <t>1. POST /family/link-requests với phiên của F, body {client_uuid, code}
2. Đọc caregiver_links cả hai chiều</t>
        </is>
      </c>
      <c r="E19" s="8" t="inlineStr">
        <is>
          <t>code = C; chạy với pending và với active</t>
        </is>
      </c>
      <c r="F19" s="8" t="inlineStr">
        <is>
          <t>201; chiều (P, F) có 1 dòng pending; chiều (F, P) giữ nguyên</t>
        </is>
      </c>
      <c r="G19" s="8" t="inlineStr">
        <is>
          <t>201 ở cả hai trường hợp; chiều ngược không đổi</t>
        </is>
      </c>
      <c r="H19" s="7" t="inlineStr">
        <is>
          <t>Pass</t>
        </is>
      </c>
      <c r="I19" s="8" t="inlineStr">
        <is>
          <t>AC7 · QD-44 · test_reverse_direction_201__AC7[pending], [active]</t>
        </is>
      </c>
      <c r="Q19" s="10" t="inlineStr">
        <is>
          <t>403 khong_co_quyen</t>
        </is>
      </c>
      <c r="R19" s="11" t="inlineStr">
        <is>
          <t>X</t>
        </is>
      </c>
      <c r="S19" s="11" t="inlineStr"/>
      <c r="T19" s="11" t="inlineStr"/>
      <c r="U19" s="11" t="inlineStr"/>
      <c r="V19" s="11" t="inlineStr"/>
      <c r="W19" s="11" t="inlineStr"/>
      <c r="X19" s="11" t="inlineStr"/>
      <c r="Y19" s="11" t="inlineStr"/>
      <c r="Z19" s="11" t="inlineStr"/>
      <c r="AA19" s="11" t="inlineStr"/>
      <c r="AB19" s="11" t="inlineStr"/>
    </row>
    <row r="20" ht="107" customHeight="1">
      <c r="A20" s="7" t="inlineStr">
        <is>
          <t>TC-LINKREQ-12</t>
        </is>
      </c>
      <c r="B20" s="7" t="inlineStr">
        <is>
          <t>Gửi lại được ngay sau khi bị từ chối 1 đến 4 lần</t>
        </is>
      </c>
      <c r="C20" s="8" t="inlineStr">
        <is>
          <t>Người bệnh P đã đồng ý family_sharing và lấy mã C qua GET /family/link-code; P đã từ chối F 1 lần (lượt chạy 1) hoặc 4 lần liên tiếp (lượt chạy 2)</t>
        </is>
      </c>
      <c r="D20" s="8" t="inlineStr">
        <is>
          <t>1. POST /family/link-requests với phiên của F, body {client_uuid, code}
2. Đọc caregiver_links của cặp</t>
        </is>
      </c>
      <c r="E20" s="8" t="inlineStr">
        <is>
          <t>Số lần từ chối: 1; 4</t>
        </is>
      </c>
      <c r="F20" s="8" t="inlineStr">
        <is>
          <t>201; thêm 1 dòng pending mới; các dòng rejected cũ giữ nguyên</t>
        </is>
      </c>
      <c r="G20" s="8" t="inlineStr">
        <is>
          <t>201 ở cả hai lượt; dòng rejected cũ không đổi, thêm 1 dòng pending</t>
        </is>
      </c>
      <c r="H20" s="7" t="inlineStr">
        <is>
          <t>Pass</t>
        </is>
      </c>
      <c r="I20" s="8" t="inlineStr">
        <is>
          <t>AC8 · BS-04 · BVA (min = 1, max-1 = 4) · test_rejected_1_to_4_times_can_resend__AC8[1], [4], test_streak_1_to_4_not_blocked__AC8</t>
        </is>
      </c>
      <c r="Q20" s="10" t="inlineStr">
        <is>
          <t>200, trả yêu cầu đã tạo</t>
        </is>
      </c>
      <c r="R20" s="11" t="inlineStr"/>
      <c r="S20" s="11" t="inlineStr">
        <is>
          <t>X</t>
        </is>
      </c>
      <c r="T20" s="11" t="inlineStr"/>
      <c r="U20" s="11" t="inlineStr"/>
      <c r="V20" s="11" t="inlineStr"/>
      <c r="W20" s="11" t="inlineStr"/>
      <c r="X20" s="11" t="inlineStr"/>
      <c r="Y20" s="11" t="inlineStr"/>
      <c r="Z20" s="11" t="inlineStr"/>
      <c r="AA20" s="11" t="inlineStr"/>
      <c r="AB20" s="11" t="inlineStr"/>
    </row>
    <row r="21" ht="90.5" customHeight="1">
      <c r="A21" s="7" t="inlineStr">
        <is>
          <t>TC-LINKREQ-13</t>
        </is>
      </c>
      <c r="B21" s="7" t="inlineStr">
        <is>
          <t>Gửi lại sau khi liên kết bị hủy tạo yêu cầu mới, không khôi phục chia sẻ</t>
        </is>
      </c>
      <c r="C21" s="8" t="inlineStr">
        <is>
          <t>Người bệnh P đã đồng ý family_sharing và lấy mã C qua GET /family/link-code; cặp (P, F) có dòng revoked, trước đó sharing_enabled = true</t>
        </is>
      </c>
      <c r="D21" s="8" t="inlineStr">
        <is>
          <t>1. POST /family/link-requests với phiên của F, body {client_uuid, code}
2. Đọc caregiver_links của cặp</t>
        </is>
      </c>
      <c r="E21" s="8" t="inlineStr">
        <is>
          <t>code = C</t>
        </is>
      </c>
      <c r="F21" s="8" t="inlineStr">
        <is>
          <t>201; dòng revoked cũ giữ nguyên; dòng mới pending, sharing_enabled = false</t>
        </is>
      </c>
      <c r="G21" s="8" t="inlineStr">
        <is>
          <t>201; dòng cũ không đổi; dòng mới pending, sharing_enabled false</t>
        </is>
      </c>
      <c r="H21" s="7" t="inlineStr">
        <is>
          <t>Pass</t>
        </is>
      </c>
      <c r="I21" s="8" t="inlineStr">
        <is>
          <t>AC9 · QD-30 · Chuyển trạng thái (revoked → yêu cầu mới) · test_resend_after_revoked_sharing_false__AC9</t>
        </is>
      </c>
      <c r="Q21" s="10" t="inlineStr">
        <is>
          <t>429 link_request_locked + Retry-After</t>
        </is>
      </c>
      <c r="R21" s="11" t="inlineStr"/>
      <c r="S21" s="11" t="inlineStr"/>
      <c r="T21" s="11" t="inlineStr">
        <is>
          <t>X</t>
        </is>
      </c>
      <c r="U21" s="11" t="inlineStr"/>
      <c r="V21" s="11" t="inlineStr"/>
      <c r="W21" s="11" t="inlineStr"/>
      <c r="X21" s="11" t="inlineStr"/>
      <c r="Y21" s="11" t="inlineStr"/>
      <c r="Z21" s="11" t="inlineStr"/>
      <c r="AA21" s="11" t="inlineStr"/>
      <c r="AB21" s="11" t="inlineStr"/>
    </row>
    <row r="22" ht="57.5" customHeight="1">
      <c r="A22" s="7" t="inlineStr">
        <is>
          <t>TC-LINKREQ-14</t>
        </is>
      </c>
      <c r="B22" s="7" t="inlineStr">
        <is>
          <t>Bỏ qua khoảng trắng hai đầu và chữ thường trong mã</t>
        </is>
      </c>
      <c r="C22" s="8" t="inlineStr">
        <is>
          <t>Người bệnh P đã đồng ý family_sharing và lấy mã C qua GET /family/link-code</t>
        </is>
      </c>
      <c r="D22" s="8" t="inlineStr">
        <is>
          <t>1. POST /family/link-requests với phiên của F, body {client_uuid, code}, code là C viết thường có khoảng trắng hai đầu</t>
        </is>
      </c>
      <c r="E22" s="8" t="inlineStr">
        <is>
          <t>code = "  &lt;c viết thường&gt; "</t>
        </is>
      </c>
      <c r="F22" s="8" t="inlineStr">
        <is>
          <t>201; tạo đúng 1 dòng cho cặp (P, F)</t>
        </is>
      </c>
      <c r="G22" s="8" t="inlineStr">
        <is>
          <t>201; 1 dòng</t>
        </is>
      </c>
      <c r="H22" s="7" t="inlineStr">
        <is>
          <t>Pass</t>
        </is>
      </c>
      <c r="I22" s="8" t="inlineStr">
        <is>
          <t>AC20 · EP (3) · test_code_normalized__AC20, test_request_body_normalizes_code__AC20</t>
        </is>
      </c>
      <c r="Q22" s="10" t="inlineStr">
        <is>
          <t>429 link_request_daily_limit + Retry-After</t>
        </is>
      </c>
      <c r="R22" s="11" t="inlineStr"/>
      <c r="S22" s="11" t="inlineStr"/>
      <c r="T22" s="11" t="inlineStr"/>
      <c r="U22" s="11" t="inlineStr">
        <is>
          <t>X</t>
        </is>
      </c>
      <c r="V22" s="11" t="inlineStr"/>
      <c r="W22" s="11" t="inlineStr"/>
      <c r="X22" s="11" t="inlineStr"/>
      <c r="Y22" s="11" t="inlineStr"/>
      <c r="Z22" s="11" t="inlineStr"/>
      <c r="AA22" s="11" t="inlineStr"/>
      <c r="AB22" s="11" t="inlineStr"/>
    </row>
    <row r="23" ht="57.5" customHeight="1">
      <c r="A23" s="7" t="inlineStr">
        <is>
          <t>TC-LINKREQ-15</t>
        </is>
      </c>
      <c r="B23" s="7" t="inlineStr">
        <is>
          <t>Từ chối body thiếu code</t>
        </is>
      </c>
      <c r="C23" s="8" t="inlineStr">
        <is>
          <t>Người thân F đăng nhập</t>
        </is>
      </c>
      <c r="D23" s="8" t="inlineStr">
        <is>
          <t>1. POST /family/link-requests với phiên của F, body {client_uuid, code} không có field code
2. Đọc lượt sai và caregiver_links của F</t>
        </is>
      </c>
      <c r="E23" s="8" t="inlineStr">
        <is>
          <t>body = {"client_uuid": "&lt;UUID&gt;"}</t>
        </is>
      </c>
      <c r="F23" s="8" t="inlineStr">
        <is>
          <t>422, detail là mảng lỗi field; không tính lần sai, không tạo dòng</t>
        </is>
      </c>
      <c r="G23" s="8" t="inlineStr">
        <is>
          <t>422 mảng lỗi; không có lượt sai, không có dòng</t>
        </is>
      </c>
      <c r="H23" s="7" t="inlineStr">
        <is>
          <t>Pass</t>
        </is>
      </c>
      <c r="I23" s="8" t="inlineStr">
        <is>
          <t>AC20 · EP (10) · test_validation_422_not_counted__AC20[thieu-code]</t>
        </is>
      </c>
      <c r="Q23" s="10" t="inlineStr">
        <is>
          <t>404 link_code_not_found, tính 1 lần sai</t>
        </is>
      </c>
      <c r="R23" s="11" t="inlineStr"/>
      <c r="S23" s="11" t="inlineStr"/>
      <c r="T23" s="11" t="inlineStr"/>
      <c r="U23" s="11" t="inlineStr"/>
      <c r="V23" s="11" t="inlineStr">
        <is>
          <t>X</t>
        </is>
      </c>
      <c r="W23" s="11" t="inlineStr"/>
      <c r="X23" s="11" t="inlineStr">
        <is>
          <t>X</t>
        </is>
      </c>
      <c r="Y23" s="11" t="inlineStr"/>
      <c r="Z23" s="11" t="inlineStr"/>
      <c r="AA23" s="11" t="inlineStr"/>
      <c r="AB23" s="11" t="inlineStr"/>
    </row>
    <row r="24" ht="57.5" customHeight="1">
      <c r="A24" s="7" t="inlineStr">
        <is>
          <t>TC-LINKREQ-16</t>
        </is>
      </c>
      <c r="B24" s="7" t="inlineStr">
        <is>
          <t>Từ chối code không phải chuỗi</t>
        </is>
      </c>
      <c r="C24" s="8" t="inlineStr">
        <is>
          <t>Người thân F đăng nhập</t>
        </is>
      </c>
      <c r="D24" s="8" t="inlineStr">
        <is>
          <t>1. POST /family/link-requests với phiên của F, body {client_uuid, code}</t>
        </is>
      </c>
      <c r="E24" s="8" t="inlineStr">
        <is>
          <t>code = 1234567890 (số)</t>
        </is>
      </c>
      <c r="F24" s="8" t="inlineStr">
        <is>
          <t>422 mảng lỗi field; không tính lần sai</t>
        </is>
      </c>
      <c r="G24" s="8" t="inlineStr">
        <is>
          <t>422 mảng lỗi; không có lượt sai</t>
        </is>
      </c>
      <c r="H24" s="7" t="inlineStr">
        <is>
          <t>Pass</t>
        </is>
      </c>
      <c r="I24" s="8" t="inlineStr">
        <is>
          <t>AC20 · EP (11) · test_validation_422_not_counted__AC20[code-khong-phai-chuoi]</t>
        </is>
      </c>
      <c r="Q24" s="10" t="inlineStr">
        <is>
          <t>422 self_link_not_allowed</t>
        </is>
      </c>
      <c r="R24" s="11" t="inlineStr"/>
      <c r="S24" s="11" t="inlineStr"/>
      <c r="T24" s="11" t="inlineStr"/>
      <c r="U24" s="11" t="inlineStr"/>
      <c r="V24" s="11" t="inlineStr"/>
      <c r="W24" s="11" t="inlineStr">
        <is>
          <t>X</t>
        </is>
      </c>
      <c r="X24" s="11" t="inlineStr"/>
      <c r="Y24" s="11" t="inlineStr"/>
      <c r="Z24" s="11" t="inlineStr"/>
      <c r="AA24" s="11" t="inlineStr"/>
      <c r="AB24" s="11" t="inlineStr"/>
    </row>
    <row r="25" ht="57.5" customHeight="1">
      <c r="A25" s="7" t="inlineStr">
        <is>
          <t>TC-LINKREQ-17</t>
        </is>
      </c>
      <c r="B25" s="7" t="inlineStr">
        <is>
          <t>Từ chối mã có ký tự dễ nhầm</t>
        </is>
      </c>
      <c r="C25" s="8" t="inlineStr">
        <is>
          <t>Người thân F đăng nhập</t>
        </is>
      </c>
      <c r="D25" s="8" t="inlineStr">
        <is>
          <t>1. POST /family/link-requests với phiên của F, body {client_uuid, code}, lần lượt 5 mã</t>
        </is>
      </c>
      <c r="E25" s="8" t="inlineStr">
        <is>
          <t>K7M2Q9XARO | K7M2Q9XARI | K7M2Q9XARL | K7M2Q9XAR0 | K7M2Q9XAR1</t>
        </is>
      </c>
      <c r="F25" s="8" t="inlineStr">
        <is>
          <t>Cả 5 lần 422 mảng lỗi field; không tính lần sai</t>
        </is>
      </c>
      <c r="G25" s="8" t="inlineStr">
        <is>
          <t>Cả 5 lần 422; không có lượt sai</t>
        </is>
      </c>
      <c r="H25" s="7" t="inlineStr">
        <is>
          <t>Pass</t>
        </is>
      </c>
      <c r="I25" s="8" t="inlineStr">
        <is>
          <t>AC20 · EP (12) · test_validation_422_not_counted__AC20[co-O], [co-I], [co-L], [co-0], [co-1]</t>
        </is>
      </c>
      <c r="Q25" s="10" t="inlineStr">
        <is>
          <t>409 link_request_pending</t>
        </is>
      </c>
      <c r="R25" s="11" t="inlineStr"/>
      <c r="S25" s="11" t="inlineStr"/>
      <c r="T25" s="11" t="inlineStr"/>
      <c r="U25" s="11" t="inlineStr"/>
      <c r="V25" s="11" t="inlineStr"/>
      <c r="W25" s="11" t="inlineStr"/>
      <c r="X25" s="11" t="inlineStr"/>
      <c r="Y25" s="11" t="inlineStr">
        <is>
          <t>X</t>
        </is>
      </c>
      <c r="Z25" s="11" t="inlineStr"/>
      <c r="AA25" s="11" t="inlineStr"/>
      <c r="AB25" s="11" t="inlineStr"/>
    </row>
    <row r="26" ht="57.5" customHeight="1">
      <c r="A26" s="7" t="inlineStr">
        <is>
          <t>TC-LINKREQ-18</t>
        </is>
      </c>
      <c r="B26" s="7" t="inlineStr">
        <is>
          <t>Từ chối body thiếu client_uuid</t>
        </is>
      </c>
      <c r="C26" s="8" t="inlineStr">
        <is>
          <t>Người thân F đăng nhập</t>
        </is>
      </c>
      <c r="D26" s="8" t="inlineStr">
        <is>
          <t>1. POST /family/link-requests với phiên của F, body {client_uuid, code} không có client_uuid</t>
        </is>
      </c>
      <c r="E26" s="8" t="inlineStr">
        <is>
          <t>body = {"code": "K7M2Q9XAR4"}</t>
        </is>
      </c>
      <c r="F26" s="8" t="inlineStr">
        <is>
          <t>422 mảng lỗi field; không tính lần sai</t>
        </is>
      </c>
      <c r="G26" s="8" t="inlineStr">
        <is>
          <t>422 mảng lỗi; không có lượt sai</t>
        </is>
      </c>
      <c r="H26" s="7" t="inlineStr">
        <is>
          <t>Pass</t>
        </is>
      </c>
      <c r="I26" s="8" t="inlineStr">
        <is>
          <t>AC20 · EP (15) · test_validation_422_not_counted__AC20[thieu-client-uuid]</t>
        </is>
      </c>
      <c r="Q26" s="10" t="inlineStr">
        <is>
          <t>409 already_linked</t>
        </is>
      </c>
      <c r="R26" s="11" t="inlineStr"/>
      <c r="S26" s="11" t="inlineStr"/>
      <c r="T26" s="11" t="inlineStr"/>
      <c r="U26" s="11" t="inlineStr"/>
      <c r="V26" s="11" t="inlineStr"/>
      <c r="W26" s="11" t="inlineStr"/>
      <c r="X26" s="11" t="inlineStr"/>
      <c r="Y26" s="11" t="inlineStr"/>
      <c r="Z26" s="11" t="inlineStr">
        <is>
          <t>X</t>
        </is>
      </c>
      <c r="AA26" s="11" t="inlineStr"/>
      <c r="AB26" s="11" t="inlineStr"/>
    </row>
    <row r="27" ht="57.5" customHeight="1">
      <c r="A27" s="7" t="inlineStr">
        <is>
          <t>TC-LINKREQ-19</t>
        </is>
      </c>
      <c r="B27" s="7" t="inlineStr">
        <is>
          <t>Từ chối client_uuid không phải UUID</t>
        </is>
      </c>
      <c r="C27" s="8" t="inlineStr">
        <is>
          <t>Người thân F đăng nhập</t>
        </is>
      </c>
      <c r="D27" s="8" t="inlineStr">
        <is>
          <t>1. POST /family/link-requests với phiên của F, body {client_uuid, code}</t>
        </is>
      </c>
      <c r="E27" s="8" t="inlineStr">
        <is>
          <t>client_uuid = "not-a-uuid"</t>
        </is>
      </c>
      <c r="F27" s="8" t="inlineStr">
        <is>
          <t>422 mảng lỗi field; không tính lần sai</t>
        </is>
      </c>
      <c r="G27" s="8" t="inlineStr">
        <is>
          <t>422 mảng lỗi; không có lượt sai</t>
        </is>
      </c>
      <c r="H27" s="7" t="inlineStr">
        <is>
          <t>Pass</t>
        </is>
      </c>
      <c r="I27" s="8" t="inlineStr">
        <is>
          <t>AC20 · EP (16) · test_validation_422_not_counted__AC20[client-uuid-sai]</t>
        </is>
      </c>
      <c r="Q27" s="10" t="inlineStr">
        <is>
          <t>429 link_request_cooldown + Retry-After</t>
        </is>
      </c>
      <c r="R27" s="11" t="inlineStr"/>
      <c r="S27" s="11" t="inlineStr"/>
      <c r="T27" s="11" t="inlineStr"/>
      <c r="U27" s="11" t="inlineStr"/>
      <c r="V27" s="11" t="inlineStr"/>
      <c r="W27" s="11" t="inlineStr"/>
      <c r="X27" s="11" t="inlineStr"/>
      <c r="Y27" s="11" t="inlineStr"/>
      <c r="Z27" s="11" t="inlineStr"/>
      <c r="AA27" s="11" t="inlineStr">
        <is>
          <t>X</t>
        </is>
      </c>
      <c r="AB27" s="11" t="inlineStr"/>
    </row>
    <row r="28" ht="74" customHeight="1">
      <c r="A28" s="7" t="inlineStr">
        <is>
          <t>TC-LINKREQ-20</t>
        </is>
      </c>
      <c r="B28" s="7" t="inlineStr">
        <is>
          <t>Từ chối body có field lạ</t>
        </is>
      </c>
      <c r="C28" s="8" t="inlineStr">
        <is>
          <t>Người thân F đăng nhập</t>
        </is>
      </c>
      <c r="D28" s="8" t="inlineStr">
        <is>
          <t>1. POST /family/link-requests với phiên của F, body {client_uuid, code} kèm field patient_user_id</t>
        </is>
      </c>
      <c r="E28" s="8" t="inlineStr">
        <is>
          <t>patient_user_id = "x"</t>
        </is>
      </c>
      <c r="F28" s="8" t="inlineStr">
        <is>
          <t>422 mảng lỗi field; không tính lần sai, không tạo dòng</t>
        </is>
      </c>
      <c r="G28" s="8" t="inlineStr">
        <is>
          <t>422 mảng lỗi; không có lượt sai, không có dòng</t>
        </is>
      </c>
      <c r="H28" s="7" t="inlineStr">
        <is>
          <t>Pass</t>
        </is>
      </c>
      <c r="I28" s="8" t="inlineStr">
        <is>
          <t>AC20 · EP (20) · Đoán lỗi (truy cập dữ liệu người khác) · test_validation_422_not_counted__AC20[field-la]</t>
        </is>
      </c>
      <c r="Q28" s="10" t="inlineStr">
        <is>
          <t>201, tạo yêu cầu pending</t>
        </is>
      </c>
      <c r="R28" s="11" t="inlineStr"/>
      <c r="S28" s="11" t="inlineStr"/>
      <c r="T28" s="11" t="inlineStr"/>
      <c r="U28" s="11" t="inlineStr"/>
      <c r="V28" s="11" t="inlineStr"/>
      <c r="W28" s="11" t="inlineStr"/>
      <c r="X28" s="11" t="inlineStr"/>
      <c r="Y28" s="11" t="inlineStr"/>
      <c r="Z28" s="11" t="inlineStr"/>
      <c r="AA28" s="11" t="inlineStr"/>
      <c r="AB28" s="11" t="inlineStr">
        <is>
          <t>X</t>
        </is>
      </c>
    </row>
    <row r="29" ht="123.5" customHeight="1">
      <c r="A29" s="7" t="inlineStr">
        <is>
          <t>TC-LINKREQ-21</t>
        </is>
      </c>
      <c r="B29" s="7" t="inlineStr">
        <is>
          <t>Gửi lại cùng client_uuid trả yêu cầu đã tạo với trạng thái hiện tại</t>
        </is>
      </c>
      <c r="C29" s="8" t="inlineStr">
        <is>
          <t>Người bệnh P đã đồng ý family_sharing và lấy mã C qua GET /family/link-code; F đã gửi thành công với client_uuid K (201)</t>
        </is>
      </c>
      <c r="D29" s="8" t="inlineStr">
        <is>
          <t>1. POST /family/link-requests với phiên của F, body {client_uuid, code} với cùng K
2. Đổi dòng của yêu cầu sang active bằng kết nối quản trị
3. POST /family/link-requests với phiên của F, body {client_uuid, code} với cùng K lần nữa
4. Đọc caregiver_links của cặp</t>
        </is>
      </c>
      <c r="E29" s="8" t="inlineStr">
        <is>
          <t>client_uuid = K</t>
        </is>
      </c>
      <c r="F29" s="8" t="inlineStr">
        <is>
          <t>Lần 2: 200, body giống hệt lần đầu; lần 3: 200, cùng id và requested_at, status = active; DB vẫn 1 dòng</t>
        </is>
      </c>
      <c r="G29" s="8" t="inlineStr">
        <is>
          <t>200 giống lần đầu; sau khi đổi trạng thái: 200 với status active; 1 dòng</t>
        </is>
      </c>
      <c r="H29" s="7" t="inlineStr">
        <is>
          <t>Pass</t>
        </is>
      </c>
      <c r="I29" s="8" t="inlineStr">
        <is>
          <t>AC29 · EP (5) · Decision Table (R2) · Kịch bản chất lượng (gửi lại cùng client_uuid → một bản ghi) · test_replay_200_current_status__AC29, test_replay_returns_existing_not_created__AC29</t>
        </is>
      </c>
    </row>
    <row r="30" ht="90.5" customHeight="1">
      <c r="A30" s="7" t="inlineStr">
        <is>
          <t>TC-LINKREQ-22</t>
        </is>
      </c>
      <c r="B30" s="7" t="inlineStr">
        <is>
          <t>Gửi lại cùng client_uuid vẫn nhận 200 khi đang bị khóa</t>
        </is>
      </c>
      <c r="C30" s="8" t="inlineStr">
        <is>
          <t>Người bệnh P đã đồng ý family_sharing và lấy mã C qua GET /family/link-code; F đã gửi thành công với K, sau đó sai 5 lần nên bị khóa</t>
        </is>
      </c>
      <c r="D30" s="8" t="inlineStr">
        <is>
          <t>1. POST /family/link-requests với phiên của F, body {client_uuid, code} với mã của người bệnh khác (xác nhận đang bị khóa)
2. POST /family/link-requests với phiên của F, body {client_uuid, code} với K và mã C</t>
        </is>
      </c>
      <c r="E30" s="8" t="inlineStr">
        <is>
          <t>client_uuid = K</t>
        </is>
      </c>
      <c r="F30" s="8" t="inlineStr">
        <is>
          <t>Request mới: 429 link_request_locked; request với K: 200, body như lần đầu; không thêm dòng</t>
        </is>
      </c>
      <c r="G30" s="8" t="inlineStr">
        <is>
          <t>429 link_request_locked; rồi 200 giống lần đầu; số dòng không đổi</t>
        </is>
      </c>
      <c r="H30" s="7" t="inlineStr">
        <is>
          <t>Pass</t>
        </is>
      </c>
      <c r="I30" s="8" t="inlineStr">
        <is>
          <t>AC29 · Decision Table (R2) · test_replay_200_while_locked_or_daily_limit__AC29[link_request_locked], test_replay_allowed_while_locked__AC29</t>
        </is>
      </c>
    </row>
    <row r="31" ht="90.5" customHeight="1">
      <c r="A31" s="7" t="inlineStr">
        <is>
          <t>TC-LINKREQ-23</t>
        </is>
      </c>
      <c r="B31" s="7" t="inlineStr">
        <is>
          <t>Gửi lại cùng client_uuid vẫn nhận 200 khi đã đủ 10 yêu cầu trong ngày</t>
        </is>
      </c>
      <c r="C31" s="8" t="inlineStr">
        <is>
          <t>Người bệnh P đã đồng ý family_sharing và lấy mã C qua GET /family/link-code; F đã gửi thành công với K và đã có tổng 10 yêu cầu hôm nay</t>
        </is>
      </c>
      <c r="D31" s="8" t="inlineStr">
        <is>
          <t>1. POST /family/link-requests với phiên của F, body {client_uuid, code} với mã của người bệnh khác (xác nhận đủ giới hạn)
2. POST /family/link-requests với phiên của F, body {client_uuid, code} với K và mã C</t>
        </is>
      </c>
      <c r="E31" s="8" t="inlineStr">
        <is>
          <t>client_uuid = K</t>
        </is>
      </c>
      <c r="F31" s="8" t="inlineStr">
        <is>
          <t>Request mới: 429 link_request_daily_limit; request với K: 200, body như lần đầu</t>
        </is>
      </c>
      <c r="G31" s="8" t="inlineStr">
        <is>
          <t>429 link_request_daily_limit; rồi 200 giống lần đầu</t>
        </is>
      </c>
      <c r="H31" s="7" t="inlineStr">
        <is>
          <t>Pass</t>
        </is>
      </c>
      <c r="I31" s="8" t="inlineStr">
        <is>
          <t>AC29 · Decision Table (R2) · test_replay_200_while_locked_or_daily_limit__AC29[link_request_daily_limit]</t>
        </is>
      </c>
    </row>
    <row r="32" ht="90.5" customHeight="1">
      <c r="A32" s="7" t="inlineStr">
        <is>
          <t>TC-LINKREQ-24</t>
        </is>
      </c>
      <c r="B32" s="7" t="inlineStr">
        <is>
          <t>Gửi lại cùng client_uuid kèm mã khác thì body lần sau bị bỏ qua</t>
        </is>
      </c>
      <c r="C32" s="8" t="inlineStr">
        <is>
          <t>Người bệnh P đã đồng ý family_sharing và lấy mã C qua GET /family/link-code; P2 có mã C2; F đã gửi thành công C với K</t>
        </is>
      </c>
      <c r="D32" s="8" t="inlineStr">
        <is>
          <t>1. POST /family/link-requests với phiên của F, body {client_uuid, code} với K và mã C2
2. Đọc caregiver_links của cặp (P2, F)</t>
        </is>
      </c>
      <c r="E32" s="8" t="inlineStr">
        <is>
          <t>client_uuid = K; code = C2</t>
        </is>
      </c>
      <c r="F32" s="8" t="inlineStr">
        <is>
          <t>200 với yêu cầu đã tạo bằng C; không có dòng nào cho (P2, F)</t>
        </is>
      </c>
      <c r="G32" s="8" t="inlineStr">
        <is>
          <t>200 giống lần đầu; (P2, F) không có dòng</t>
        </is>
      </c>
      <c r="H32" s="7" t="inlineStr">
        <is>
          <t>Pass</t>
        </is>
      </c>
      <c r="I32" s="8" t="inlineStr">
        <is>
          <t>AC30 · test_replay_ignores_other_code__AC30, test_replay_ignores_new_code__AC30</t>
        </is>
      </c>
    </row>
    <row r="33" ht="57.5" customHeight="1">
      <c r="A33" s="7" t="inlineStr">
        <is>
          <t>TC-LINKREQ-25</t>
        </is>
      </c>
      <c r="B33" s="7" t="inlineStr">
        <is>
          <t>client_uuid của hai tài khoản khác nhau được xử lý độc lập</t>
        </is>
      </c>
      <c r="C33" s="8" t="inlineStr">
        <is>
          <t>Người bệnh P đã đồng ý family_sharing và lấy mã C qua GET /family/link-code</t>
        </is>
      </c>
      <c r="D33" s="8" t="inlineStr">
        <is>
          <t>1. F1 gửi C với K
2. F2 gửi C với cùng K</t>
        </is>
      </c>
      <c r="E33" s="8" t="inlineStr">
        <is>
          <t>client_uuid = K cho cả hai</t>
        </is>
      </c>
      <c r="F33" s="8" t="inlineStr">
        <is>
          <t>Cả hai 201, id khác nhau; dòng của F2 có client_uuid = K</t>
        </is>
      </c>
      <c r="G33" s="8" t="inlineStr">
        <is>
          <t>Cả hai 201, id khác nhau</t>
        </is>
      </c>
      <c r="H33" s="7" t="inlineStr">
        <is>
          <t>Pass</t>
        </is>
      </c>
      <c r="I33" s="8" t="inlineStr">
        <is>
          <t>AC30 · test_replay_isolated_per_user__AC30</t>
        </is>
      </c>
    </row>
    <row r="34" ht="90.5" customHeight="1">
      <c r="A34" s="7" t="inlineStr">
        <is>
          <t>TC-LINKREQ-26</t>
        </is>
      </c>
      <c r="B34" s="7" t="inlineStr">
        <is>
          <t>App tự gửi lại request sai mã không làm tăng số lần sai</t>
        </is>
      </c>
      <c r="C34" s="8" t="inlineStr">
        <is>
          <t>Người thân F đăng nhập</t>
        </is>
      </c>
      <c r="D34" s="8" t="inlineStr">
        <is>
          <t>1. POST /family/link-requests với phiên của F, body {client_uuid, code} với mã sai và client_uuid K
2. Gửi lại đúng request đó
3. Đọc lượt sai của F</t>
        </is>
      </c>
      <c r="E34" s="8" t="inlineStr">
        <is>
          <t>client_uuid = K; cùng một mã sai</t>
        </is>
      </c>
      <c r="F34" s="8" t="inlineStr">
        <is>
          <t>Cả hai lần 404 link_code_not_found; chỉ 1 dòng lượt sai (client_uuid K)</t>
        </is>
      </c>
      <c r="G34" s="8" t="inlineStr">
        <is>
          <t>404 hai lần; 1 dòng lượt sai</t>
        </is>
      </c>
      <c r="H34" s="7" t="inlineStr">
        <is>
          <t>Pass</t>
        </is>
      </c>
      <c r="I34" s="8" t="inlineStr">
        <is>
          <t>AC31 · Đoán lỗi (mất mạng, gửi lại) · test_replay_failed_not_double_counted__AC31, test_record_failure_on_conflict_do_nothing__AC31</t>
        </is>
      </c>
    </row>
    <row r="35" ht="107" customHeight="1">
      <c r="A35" s="7" t="inlineStr">
        <is>
          <t>TC-LINKREQ-27</t>
        </is>
      </c>
      <c r="B35" s="7" t="inlineStr">
        <is>
          <t>Hai request cùng client_uuid tới đồng thời chỉ tạo một yêu cầu</t>
        </is>
      </c>
      <c r="C35" s="8" t="inlineStr">
        <is>
          <t>Người bệnh P đã đồng ý family_sharing và lấy mã C qua GET /family/link-code</t>
        </is>
      </c>
      <c r="D35" s="8" t="inlineStr">
        <is>
          <t>1. Giữ khóa người gửi của F bằng kết nối quản trị
2. Gửi 2 request cùng K, mã C trong 2 thread; chờ cả hai đang đợi khóa (pg_stat_activity)
3. Nhả khóa, đợi hai request trả về
4. Đọc caregiver_links của cặp</t>
        </is>
      </c>
      <c r="E35" s="8" t="inlineStr">
        <is>
          <t>client_uuid = K cho cả hai</t>
        </is>
      </c>
      <c r="F35" s="8" t="inlineStr">
        <is>
          <t>Một request 201, request còn lại 200, cùng body; DB có đúng 1 dòng</t>
        </is>
      </c>
      <c r="G35" s="8" t="inlineStr">
        <is>
          <t>201 và 200, cùng body; 1 dòng. Chạy lặp 5 lần đều pass</t>
        </is>
      </c>
      <c r="H35" s="7" t="inlineStr">
        <is>
          <t>Pass</t>
        </is>
      </c>
      <c r="I35" s="8" t="inlineStr">
        <is>
          <t>AC31 · Đoán lỗi (chạy đua, bấm liên tục) · test_concurrent_same_client_uuid_201_and_200__AC31</t>
        </is>
      </c>
    </row>
    <row r="36" ht="156.5" customHeight="1">
      <c r="A36" s="7" t="inlineStr">
        <is>
          <t>TC-LINKREQ-28</t>
        </is>
      </c>
      <c r="B36" s="7" t="inlineStr">
        <is>
          <t>Mã của người bệnh đã rút family_sharing trả giống hệt mã không tồn tại</t>
        </is>
      </c>
      <c r="C36" s="8" t="inlineStr">
        <is>
          <t>Người bệnh P đã đồng ý family_sharing và lấy mã C qua GET /family/link-code; sau đó P rút consent family_sharing</t>
        </is>
      </c>
      <c r="D36" s="8" t="inlineStr">
        <is>
          <t>1. POST /family/link-requests với phiên của F, body {client_uuid, code} với mã không tồn tại (để so sánh)
2. POST /family/link-requests với phiên của F, body {client_uuid, code} với mã C
3. So status, body, content-type hai response; đọc lượt sai và caregiver_links
4. P đồng ý lại family_sharing; F gửi C với client_uuid mới</t>
        </is>
      </c>
      <c r="E36" s="8" t="inlineStr">
        <is>
          <t>code = C</t>
        </is>
      </c>
      <c r="F36" s="8" t="inlineStr">
        <is>
          <t>Cả hai 404 với body giống hệt từng byte; 2 lượt sai; không có dòng (P, F); sau khi P đồng ý lại: 201 (mã cũ dùng lại được)</t>
        </is>
      </c>
      <c r="G36" s="8" t="inlineStr">
        <is>
          <t>404 giống hệt; 2 lượt sai; không có dòng; sau khi đồng ý lại: 201</t>
        </is>
      </c>
      <c r="H36" s="7" t="inlineStr">
        <is>
          <t>Pass</t>
        </is>
      </c>
      <c r="I36" s="8" t="inlineStr">
        <is>
          <t>AC33 · BS-05 · QD-34 (b) · EP (18) · Decision Table (R7) · test_owner_revoked_consent_404__AC33, test_owner_without_consent_same_as_unknown__AC33</t>
        </is>
      </c>
    </row>
    <row r="37" ht="90.5" customHeight="1">
      <c r="A37" s="7" t="inlineStr">
        <is>
          <t>TC-LINKREQ-29</t>
        </is>
      </c>
      <c r="B37" s="7" t="inlineStr">
        <is>
          <t>Rút consent có hiệu lực ngay ở request kế tiếp</t>
        </is>
      </c>
      <c r="C37" s="8" t="inlineStr">
        <is>
          <t>Người bệnh P đã đồng ý family_sharing và lấy mã C qua GET /family/link-code; F1 đã gửi thành công (201)</t>
        </is>
      </c>
      <c r="D37" s="8" t="inlineStr">
        <is>
          <t>1. P gọi POST /consents/family_sharing/withdraw
2. F2 gửi C ngay sau đó
3. Đọc caregiver_links của (P, F2)</t>
        </is>
      </c>
      <c r="E37" s="8" t="inlineStr">
        <is>
          <t>code = C</t>
        </is>
      </c>
      <c r="F37" s="8" t="inlineStr">
        <is>
          <t>404 {"detail": "link_code_not_found"}; không có dòng (P, F2)</t>
        </is>
      </c>
      <c r="G37" s="8" t="inlineStr">
        <is>
          <t>Withdraw 200; F2 nhận 404 link_code_not_found; không có dòng</t>
        </is>
      </c>
      <c r="H37" s="7" t="inlineStr">
        <is>
          <t>Pass</t>
        </is>
      </c>
      <c r="I37" s="8" t="inlineStr">
        <is>
          <t>AC34 · Bất biến 4 · Kịch bản chất lượng (rút consent rồi gửi request ngay) · test_consent_revoked_takes_effect_next_request__AC34</t>
        </is>
      </c>
    </row>
    <row r="38" ht="74" customHeight="1">
      <c r="A38" s="7" t="inlineStr">
        <is>
          <t>TC-LINKREQ-30</t>
        </is>
      </c>
      <c r="B38" s="7" t="inlineStr">
        <is>
          <t>Mã liên kết không xuất hiện trong log ứng dụng</t>
        </is>
      </c>
      <c r="C38" s="8" t="inlineStr">
        <is>
          <t>Người bệnh P đã đồng ý family_sharing và lấy mã C qua GET /family/link-code; logger drugtime ở mức DEBUG</t>
        </is>
      </c>
      <c r="D38" s="8" t="inlineStr">
        <is>
          <t>1. Gửi lần lượt để đi qua 201, 409, 422 (mã của mình), 5 lần 404, rồi 429 (bị khóa)
2. Tìm mã C, c viết thường và 5 mã sai trong log bắt được</t>
        </is>
      </c>
      <c r="E38" s="8" t="inlineStr">
        <is>
          <t>caplog</t>
        </is>
      </c>
      <c r="F38" s="8" t="inlineStr">
        <is>
          <t>Mã trạng thái đúng thứ tự 201, 409, 422, 404 ×5, 429; không dòng log nào chứa mã đã gửi</t>
        </is>
      </c>
      <c r="G38" s="8" t="inlineStr">
        <is>
          <t>Đúng thứ tự; không có mã trong log</t>
        </is>
      </c>
      <c r="H38" s="7" t="inlineStr">
        <is>
          <t>Pass</t>
        </is>
      </c>
      <c r="I38" s="8" t="inlineStr">
        <is>
          <t>AC17 · Đoán lỗi (bí mật) · test_code_not_logged__AC17, test_error_messages_never_contain_code__AC17</t>
        </is>
      </c>
    </row>
    <row r="39" ht="74" customHeight="1">
      <c r="A39" s="7" t="inlineStr">
        <is>
          <t>TC-LINKREQ-31</t>
        </is>
      </c>
      <c r="B39" s="7" t="inlineStr">
        <is>
          <t>Người thân đang bị khóa không ảnh hưởng mã của người bệnh</t>
        </is>
      </c>
      <c r="C39" s="8" t="inlineStr">
        <is>
          <t>Người bệnh P đã đồng ý family_sharing và lấy mã C qua GET /family/link-code; F1 đang bị khóa vì sai 5 lần</t>
        </is>
      </c>
      <c r="D39" s="8" t="inlineStr">
        <is>
          <t>1. F1 gửi C (xác nhận 429)
2. F2 gửi C</t>
        </is>
      </c>
      <c r="E39" s="8" t="inlineStr">
        <is>
          <t>code = C</t>
        </is>
      </c>
      <c r="F39" s="8" t="inlineStr">
        <is>
          <t>F1: 429; F2: 201 và có dòng pending (P, F2)</t>
        </is>
      </c>
      <c r="G39" s="8" t="inlineStr">
        <is>
          <t>F1 429; F2 201, 1 dòng pending</t>
        </is>
      </c>
      <c r="H39" s="7" t="inlineStr">
        <is>
          <t>Pass</t>
        </is>
      </c>
      <c r="I39" s="8" t="inlineStr">
        <is>
          <t>AC15 · QD-34 (i) · test_locked_family_does_not_block_patient_code__AC15</t>
        </is>
      </c>
    </row>
    <row r="40" ht="107" customHeight="1">
      <c r="A40" s="7" t="inlineStr">
        <is>
          <t>TC-LINKREQ-32</t>
        </is>
      </c>
      <c r="B40" s="7" t="inlineStr">
        <is>
          <t>Mười request sai mã gửi đồng thời chỉ tính tối đa 5 lần sai</t>
        </is>
      </c>
      <c r="C40" s="8" t="inlineStr">
        <is>
          <t>Người thân F chưa sai lần nào; app cố định giờ</t>
        </is>
      </c>
      <c r="D40" s="8" t="inlineStr">
        <is>
          <t>1. Giữ khóa người gửi của F bằng kết nối quản trị
2. Gửi 10 request với 10 mã sai khác nhau trong 10 thread; chờ cả 10 đang đợi khóa
3. Nhả khóa, đợi các request trả về
4. Đếm lượt sai của F</t>
        </is>
      </c>
      <c r="E40" s="8" t="inlineStr">
        <is>
          <t>10 mã ngẫu nhiên không tồn tại</t>
        </is>
      </c>
      <c r="F40" s="8" t="inlineStr">
        <is>
          <t>Đúng 5 request 404 và 5 request 429 link_request_locked; DB có đúng 5 lượt sai</t>
        </is>
      </c>
      <c r="G40" s="8" t="inlineStr">
        <is>
          <t>5 × 404, 5 × 429 link_request_locked; 5 lượt sai. Chạy lặp 5 lần đều pass</t>
        </is>
      </c>
      <c r="H40" s="7" t="inlineStr">
        <is>
          <t>Pass</t>
        </is>
      </c>
      <c r="I40" s="8" t="inlineStr">
        <is>
          <t>AC13 · Đoán lỗi (chạy đua) · test_concurrent_wrong_codes_at_most_five_404__AC13, test_lock_sender_called_before_replay__AC13</t>
        </is>
      </c>
    </row>
    <row r="41" ht="90.5" customHeight="1">
      <c r="A41" s="7" t="inlineStr">
        <is>
          <t>TC-LINKREQ-33</t>
        </is>
      </c>
      <c r="B41" s="7" t="inlineStr">
        <is>
          <t>Bảng lượt sai không lưu mã đã thử</t>
        </is>
      </c>
      <c r="C41" s="8" t="inlineStr">
        <is>
          <t>Người thân F đăng nhập</t>
        </is>
      </c>
      <c r="D41" s="8" t="inlineStr">
        <is>
          <t>1. Gửi 3 mã sai
2. Đọc cột của link_request_attempts và toàn bộ giá trị các dòng của F</t>
        </is>
      </c>
      <c r="E41" s="8" t="inlineStr">
        <is>
          <t>3 mã ngẫu nhiên không tồn tại</t>
        </is>
      </c>
      <c r="F41" s="8" t="inlineStr">
        <is>
          <t>Cột chỉ gồm id, family_user_id, client_uuid, attempted_at, account_locked_until; không giá trị nào chứa mã đã thử (kể cả viết thường)</t>
        </is>
      </c>
      <c r="G41" s="8" t="inlineStr">
        <is>
          <t>Đúng 5 cột; không có mã trong dữ liệu</t>
        </is>
      </c>
      <c r="H41" s="7" t="inlineStr">
        <is>
          <t>Pass</t>
        </is>
      </c>
      <c r="I41" s="8" t="inlineStr">
        <is>
          <t>AC18 · Đoán lỗi (bí mật) · test_attempts_have_no_code_column__AC18, test_wrong_codes_not_stored__AC18, test_record_failure_params_have_no_code__AC18</t>
        </is>
      </c>
    </row>
    <row r="42" ht="74" customHeight="1">
      <c r="A42" s="7" t="inlineStr">
        <is>
          <t>TC-LINKREQ-34</t>
        </is>
      </c>
      <c r="B42" s="7" t="inlineStr">
        <is>
          <t>Xóa dữ liệu user xóa lượt sai và liên kết của user đó</t>
        </is>
      </c>
      <c r="C42" s="8" t="inlineStr">
        <is>
          <t>F có 2 lượt sai, 1 yêu cầu tới P và 1 liên kết với vai người bệnh; user khác G có lượt sai và yêu cầu riêng</t>
        </is>
      </c>
      <c r="D42" s="8" t="inlineStr">
        <is>
          <t>1. Chạy family.eraser.erase_user(F) bằng kết nối worker_role
2. Đọc link_request_attempts và caregiver_links của F và G</t>
        </is>
      </c>
      <c r="E42" s="8" t="inlineStr">
        <is>
          <t>-</t>
        </is>
      </c>
      <c r="F42" s="8" t="inlineStr">
        <is>
          <t>Không lỗi; F không còn lượt sai hay dòng caregiver_links nào (cả hai vai); dữ liệu của G giữ nguyên</t>
        </is>
      </c>
      <c r="G42" s="8" t="inlineStr">
        <is>
          <t>Đúng như mong đợi</t>
        </is>
      </c>
      <c r="H42" s="7" t="inlineStr">
        <is>
          <t>Pass</t>
        </is>
      </c>
      <c r="I42" s="8" t="inlineStr">
        <is>
          <t>AC19 · QD-35 · test_erase_user_deletes_attempts_and_links__AC19, test_erase_deletes_attempts__AC19</t>
        </is>
      </c>
    </row>
    <row r="43" ht="57.5" customHeight="1">
      <c r="A43" s="7" t="inlineStr">
        <is>
          <t>TC-LINKREQ-35</t>
        </is>
      </c>
      <c r="B43" s="7" t="inlineStr">
        <is>
          <t>DB từ chối dòng pending/active thứ hai cho cùng cặp</t>
        </is>
      </c>
      <c r="C43" s="8" t="inlineStr">
        <is>
          <t>Cặp (P, F) đã có 1 dòng pending hoặc active</t>
        </is>
      </c>
      <c r="D43" s="8" t="inlineStr">
        <is>
          <t>1. INSERT thêm dòng pending hoặc active cho cùng cặp (4 tổ hợp)</t>
        </is>
      </c>
      <c r="E43" s="8" t="inlineStr">
        <is>
          <t>pending+pending, pending+active, active+pending, active+active</t>
        </is>
      </c>
      <c r="F43" s="8" t="inlineStr">
        <is>
          <t>Cả 4 tổ hợp lỗi vi phạm caregiver_links_one_open_pair_idx; cặp vẫn 1 dòng</t>
        </is>
      </c>
      <c r="G43" s="8" t="inlineStr">
        <is>
          <t>Cả 4 bị từ chối bởi caregiver_links_one_open_pair_idx</t>
        </is>
      </c>
      <c r="H43" s="7" t="inlineStr">
        <is>
          <t>Pass</t>
        </is>
      </c>
      <c r="I43" s="8" t="inlineStr">
        <is>
          <t>AC22 · test_open_pair_unique__AC22[*]</t>
        </is>
      </c>
    </row>
    <row r="44" ht="41" customHeight="1">
      <c r="A44" s="7" t="inlineStr">
        <is>
          <t>TC-LINKREQ-36</t>
        </is>
      </c>
      <c r="B44" s="7" t="inlineStr">
        <is>
          <t>DB cho nhiều dòng rejected/revoked cùng cặp</t>
        </is>
      </c>
      <c r="C44" s="8" t="inlineStr">
        <is>
          <t>Cặp (P, F) chưa có dòng</t>
        </is>
      </c>
      <c r="D44" s="8" t="inlineStr">
        <is>
          <t>1. INSERT lần lượt rejected, rejected, revoked, revoked, rejected, pending</t>
        </is>
      </c>
      <c r="E44" s="8" t="inlineStr">
        <is>
          <t>6 dòng</t>
        </is>
      </c>
      <c r="F44" s="8" t="inlineStr">
        <is>
          <t>Cả 6 dòng được lưu theo đúng thứ tự</t>
        </is>
      </c>
      <c r="G44" s="8" t="inlineStr">
        <is>
          <t>6 dòng đúng thứ tự</t>
        </is>
      </c>
      <c r="H44" s="7" t="inlineStr">
        <is>
          <t>Pass</t>
        </is>
      </c>
      <c r="I44" s="8" t="inlineStr">
        <is>
          <t>AC22 · QD-30 · test_many_closed_rows_allowed__AC22</t>
        </is>
      </c>
    </row>
    <row r="45" ht="140" customHeight="1">
      <c r="A45" s="7" t="inlineStr">
        <is>
          <t>TC-LINKREQ-37</t>
        </is>
      </c>
      <c r="B45" s="7" t="inlineStr">
        <is>
          <t>Schema caregiver_links sau migration đúng thiết kế</t>
        </is>
      </c>
      <c r="C45" s="8" t="inlineStr">
        <is>
          <t>supabase db reset (12 migration)</t>
        </is>
      </c>
      <c r="D45" s="8" t="inlineStr">
        <is>
          <t>1. Đọc pg_constraint, pg_indexes, information_schema.columns của caregiver_links</t>
        </is>
      </c>
      <c r="E45" s="8" t="inlineStr">
        <is>
          <t>-</t>
        </is>
      </c>
      <c r="F45" s="8" t="inlineStr">
        <is>
          <t>Không còn UNIQUE (patient_user_id, family_user_id); có unique index một phần caregiver_links_one_open_pair_idx (pending, active) và caregiver_links_family_client_uuid_idx (client_uuid IS NOT NULL); có caregiver_links_pair_idx, caregiver_links_family_linked_at_idx; client_uuid cho phép NULL</t>
        </is>
      </c>
      <c r="G45" s="8" t="inlineStr">
        <is>
          <t>Đúng như mong đợi</t>
        </is>
      </c>
      <c r="H45" s="7" t="inlineStr">
        <is>
          <t>Pass</t>
        </is>
      </c>
      <c r="I45" s="8" t="inlineStr">
        <is>
          <t>AC22 · test_caregiver_links_schema_after_migration__AC22</t>
        </is>
      </c>
    </row>
    <row r="46" ht="57.5" customHeight="1">
      <c r="A46" s="7" t="inlineStr">
        <is>
          <t>TC-LINKREQ-38</t>
        </is>
      </c>
      <c r="B46" s="7" t="inlineStr">
        <is>
          <t>DB từ chối client_uuid trùng của cùng người thân</t>
        </is>
      </c>
      <c r="C46" s="8" t="inlineStr">
        <is>
          <t>F1 có dòng với client_uuid K</t>
        </is>
      </c>
      <c r="D46" s="8" t="inlineStr">
        <is>
          <t>1. INSERT dòng khác của F1 với K
2. INSERT dòng của F2 với K
3. INSERT các dòng client_uuid NULL</t>
        </is>
      </c>
      <c r="E46" s="8" t="inlineStr">
        <is>
          <t>client_uuid = K</t>
        </is>
      </c>
      <c r="F46" s="8" t="inlineStr">
        <is>
          <t>Dòng thứ hai của F1 lỗi vi phạm caregiver_links_family_client_uuid_idx; dòng của F2 và dòng NULL được lưu</t>
        </is>
      </c>
      <c r="G46" s="8" t="inlineStr">
        <is>
          <t>Đúng như mong đợi</t>
        </is>
      </c>
      <c r="H46" s="7" t="inlineStr">
        <is>
          <t>Pass</t>
        </is>
      </c>
      <c r="I46" s="8" t="inlineStr">
        <is>
          <t>AC22 · AC29 · test_client_uuid_unique_per_family__AC22</t>
        </is>
      </c>
    </row>
    <row r="47" ht="74" customHeight="1">
      <c r="A47" s="7" t="inlineStr">
        <is>
          <t>TC-LINKREQ-39</t>
        </is>
      </c>
      <c r="B47" s="7" t="inlineStr">
        <is>
          <t>Migration giữ nguyên dữ liệu caregiver_links có sẵn</t>
        </is>
      </c>
      <c r="C47" s="8" t="inlineStr">
        <is>
          <t>DB reset về 20261013040307 (trước migration); 4 cặp pending, active, revoked, rejected theo schema cũ</t>
        </is>
      </c>
      <c r="D47" s="8" t="inlineStr">
        <is>
          <t>1. supabase migration up --local
2. So dữ liệu trước và sau
3. Thử chèn pending cho từng cặp
4. supabase db reset lại đầy đủ</t>
        </is>
      </c>
      <c r="E47" s="8" t="inlineStr">
        <is>
          <t>4 cặp mẫu</t>
        </is>
      </c>
      <c r="F47" s="8" t="inlineStr">
        <is>
          <t>Dữ liệu giữ nguyên, client_uuid NULL; pending thứ hai cho cặp pending/active bị từ chối; cặp rejected/revoked tạo được pending mới</t>
        </is>
      </c>
      <c r="G47" s="8" t="inlineStr">
        <is>
          <t>11/11 OK</t>
        </is>
      </c>
      <c r="H47" s="7" t="inlineStr">
        <is>
          <t>Pass</t>
        </is>
      </c>
      <c r="I47" s="8" t="inlineStr">
        <is>
          <t>AC22 · Chuyển trạng thái (schema cũ → mới) · scratch/verify_caregiver_links_migration.py</t>
        </is>
      </c>
    </row>
    <row r="48" ht="57.5" customHeight="1">
      <c r="A48" s="7" t="inlineStr">
        <is>
          <t>TC-LINKREQ-40</t>
        </is>
      </c>
      <c r="B48" s="7" t="inlineStr">
        <is>
          <t>api_role chỉ đọc và thêm được lượt sai</t>
        </is>
      </c>
      <c r="C48" s="8" t="inlineStr">
        <is>
          <t>Kết nối bằng api_role; mỗi thao tác trong transaction riêng rồi rollback</t>
        </is>
      </c>
      <c r="D48" s="8" t="inlineStr">
        <is>
          <t>1. SELECT, INSERT, UPDATE, DELETE trên link_request_attempts bằng api_role</t>
        </is>
      </c>
      <c r="E48" s="8" t="inlineStr">
        <is>
          <t>-</t>
        </is>
      </c>
      <c r="F48" s="8" t="inlineStr">
        <is>
          <t>SELECT (thấy dòng, RLS không chặn), INSERT thành công; UPDATE, DELETE bị từ chối (permission denied)</t>
        </is>
      </c>
      <c r="G48" s="8" t="inlineStr">
        <is>
          <t>Đúng như mong đợi</t>
        </is>
      </c>
      <c r="H48" s="7" t="inlineStr">
        <is>
          <t>Pass</t>
        </is>
      </c>
      <c r="I48" s="8" t="inlineStr">
        <is>
          <t>AC23 · test_role_grants_on_attempts__AC23[api_role-*]</t>
        </is>
      </c>
    </row>
    <row r="49" ht="57.5" customHeight="1">
      <c r="A49" s="7" t="inlineStr">
        <is>
          <t>TC-LINKREQ-41</t>
        </is>
      </c>
      <c r="B49" s="7" t="inlineStr">
        <is>
          <t>worker_role chỉ đọc và xóa được lượt sai</t>
        </is>
      </c>
      <c r="C49" s="8" t="inlineStr">
        <is>
          <t>Kết nối bằng worker_role; mỗi thao tác trong transaction riêng rồi rollback</t>
        </is>
      </c>
      <c r="D49" s="8" t="inlineStr">
        <is>
          <t>1. SELECT, INSERT, UPDATE, DELETE trên link_request_attempts bằng worker_role</t>
        </is>
      </c>
      <c r="E49" s="8" t="inlineStr">
        <is>
          <t>-</t>
        </is>
      </c>
      <c r="F49" s="8" t="inlineStr">
        <is>
          <t>SELECT, DELETE thành công (đúng 1 dòng); INSERT, UPDATE bị từ chối (permission denied)</t>
        </is>
      </c>
      <c r="G49" s="8" t="inlineStr">
        <is>
          <t>Đúng như mong đợi</t>
        </is>
      </c>
      <c r="H49" s="7" t="inlineStr">
        <is>
          <t>Pass</t>
        </is>
      </c>
      <c r="I49" s="8" t="inlineStr">
        <is>
          <t>AC23 · test_role_grants_on_attempts__AC23[worker_role-*]</t>
        </is>
      </c>
    </row>
    <row r="50" ht="74" customHeight="1">
      <c r="A50" s="7" t="inlineStr">
        <is>
          <t>TC-LINKREQ-42</t>
        </is>
      </c>
      <c r="B50" s="7" t="inlineStr">
        <is>
          <t>anon, authenticated không có quyền trên bảng lượt sai; RLS bật</t>
        </is>
      </c>
      <c r="C50" s="8" t="inlineStr">
        <is>
          <t>supabase db reset</t>
        </is>
      </c>
      <c r="D50" s="8" t="inlineStr">
        <is>
          <t>1. Đọc relrowsecurity, has_table_privilege, pg_policies của link_request_attempts</t>
        </is>
      </c>
      <c r="E50" s="8" t="inlineStr">
        <is>
          <t>-</t>
        </is>
      </c>
      <c r="F50" s="8" t="inlineStr">
        <is>
          <t>RLS bật; anon, authenticated không có quyền nào; service_role không INSERT/UPDATE/DELETE/TRUNCATE; policy chỉ cho api_role, worker_role</t>
        </is>
      </c>
      <c r="G50" s="8" t="inlineStr">
        <is>
          <t>Đúng như mong đợi</t>
        </is>
      </c>
      <c r="H50" s="7" t="inlineStr">
        <is>
          <t>Pass</t>
        </is>
      </c>
      <c r="I50" s="8" t="inlineStr">
        <is>
          <t>AC23 · test_anon_authenticated_no_access__AC23, test_locked_until_must_follow_attempt__AC23</t>
        </is>
      </c>
    </row>
    <row r="51" ht="90.5" customHeight="1">
      <c r="A51" s="7" t="inlineStr">
        <is>
          <t>TC-LINKREQ-43</t>
        </is>
      </c>
      <c r="B51" s="7" t="inlineStr">
        <is>
          <t>OpenAPI của app khớp hợp đồng api_contract</t>
        </is>
      </c>
      <c r="C51" s="8" t="inlineStr">
        <is>
          <t>api_contract/openapi.json có POST /family/link-requests</t>
        </is>
      </c>
      <c r="D51" s="8" t="inlineStr">
        <is>
          <t>1. So operationId, tập response code, schema request/response và tham số giữa app và contract</t>
        </is>
      </c>
      <c r="E51" s="8" t="inlineStr">
        <is>
          <t>-</t>
        </is>
      </c>
      <c r="F51" s="8" t="inlineStr">
        <is>
          <t>operationId createLinkRequest; response 200/201/401/403/404/409/422/429 khớp; LinkRequestCreate và LinkRequest additionalProperties false; status enum đủ 4 giá trị; không có tham số header riêng</t>
        </is>
      </c>
      <c r="G51" s="8" t="inlineStr">
        <is>
          <t>Khớp</t>
        </is>
      </c>
      <c r="H51" s="7" t="inlineStr">
        <is>
          <t>Pass</t>
        </is>
      </c>
      <c r="I51" s="8" t="inlineStr">
        <is>
          <t>AC21 · test_create_link_request_matches_contract__AC21, test_link_request_schemas_match_contract__AC21, test_link_code_403_documented__AC32</t>
        </is>
      </c>
    </row>
    <row r="52" ht="90.5" customHeight="1">
      <c r="A52" s="7" t="inlineStr">
        <is>
          <t>TC-LINKREQ-44</t>
        </is>
      </c>
      <c r="B52" s="7" t="inlineStr">
        <is>
          <t>Unit test, architecture test và ruff trên file của task pass</t>
        </is>
      </c>
      <c r="C52" s="8" t="inlineStr">
        <is>
          <t>backend trên nhánh feat/3.13-backend-post-links</t>
        </is>
      </c>
      <c r="D52" s="8" t="inlineStr">
        <is>
          <t>1. pytest tests/unit tests/architecture -q
2. ruff check và ruff format --check trên file của task
3. lint-imports
4. So với baseline trước khi sửa code</t>
        </is>
      </c>
      <c r="E52" s="8" t="inlineStr">
        <is>
          <t>-</t>
        </is>
      </c>
      <c r="F52" s="8" t="inlineStr">
        <is>
          <t>Không có fail mới so với baseline (lỗi có sẵn trên main được loại trừ theo AC24); file của task pass ruff; ma trận ALLOWED không đổi</t>
        </is>
      </c>
      <c r="G52" s="8" t="inlineStr">
        <is>
          <t>885 passed, 18 failed: đúng 18 test profile đã fail ở baseline; ruff file của task đạt (trừ config.py dòng 13 có sẵn); contract import của family KEPT</t>
        </is>
      </c>
      <c r="H52" s="7" t="inlineStr">
        <is>
          <t>Pass</t>
        </is>
      </c>
      <c r="I52" s="8" t="inlineStr">
        <is>
          <t>AC24 · implement-baseline-unit.log, implement-final-backend.log</t>
        </is>
      </c>
    </row>
    <row r="53" ht="74" customHeight="1">
      <c r="A53" s="7" t="inlineStr">
        <is>
          <t>TC-LINKREQ-45</t>
        </is>
      </c>
      <c r="B53" s="7" t="inlineStr">
        <is>
          <t>Sổ quyết định có BS-04, BS-05 và ghi chú QD-34 (g)</t>
        </is>
      </c>
      <c r="C53" s="8" t="inlineStr">
        <is>
          <t>docs trên nhánh feat/3.13-backend-post-links</t>
        </is>
      </c>
      <c r="D53" s="8" t="inlineStr">
        <is>
          <t>1. git -C docs diff Team1_DTU/02_Requirements/drugtime_quyet_dinh_theo_chuc_nang.md
2. Đọc dòng QD-34, BS-04, BS-05 trong §8</t>
        </is>
      </c>
      <c r="E53" s="8" t="inlineStr">
        <is>
          <t>-</t>
        </is>
      </c>
      <c r="F53" s="8" t="inlineStr">
        <is>
          <t>Có 2 dòng 🆕 BS-04, BS-05 với nội dung khớp mục 4 của 01-requirement; dòng QD-34 ghi (g) thay bằng BS-04; diff chỉ trong §8</t>
        </is>
      </c>
      <c r="G53" s="8" t="inlineStr">
        <is>
          <t>Diff chỉ ở dòng 201–203 (trong §8, dòng 195–215); BS-04, BS-05 🆕 khớp mục 4 của 01; dòng QD-34 ghi phần chờ 24 giờ thay bằng BS-04; §18 không đổi</t>
        </is>
      </c>
      <c r="H53" s="7" t="inlineStr">
        <is>
          <t>Pass</t>
        </is>
      </c>
      <c r="I53" s="8" t="inlineStr">
        <is>
          <t>AC35 · manual</t>
        </is>
      </c>
    </row>
    <row r="54" ht="140" customHeight="1">
      <c r="A54" s="7" t="inlineStr">
        <is>
          <t>TC-LINKREQ-46</t>
        </is>
      </c>
      <c r="B54" s="7" t="inlineStr">
        <is>
          <t>Request nhập sai đồng thời vượt sức chứa pool không làm treo API</t>
        </is>
      </c>
      <c r="C54" s="8" t="inlineStr">
        <is>
          <t>Người thân F chưa sai lần nào; người dùng khác U đã đồng ý family_sharing; pool kết nối chính của API 5 + 10 = 15</t>
        </is>
      </c>
      <c r="D54" s="8" t="inlineStr">
        <is>
          <t>1. Giữ khóa người gửi của F bằng kết nối quản trị
2. Gửi 20 request với 20 mã sai khác nhau trong 20 thread; chờ tới khi 15 phiên api_role đang đợi khóa (pool chính đã hết)
3. Nhả khóa; ngay sau đó U gọi GET /family/link-code
4. Đợi các request trả về; đếm lượt sai</t>
        </is>
      </c>
      <c r="E54" s="8" t="inlineStr">
        <is>
          <t>20 mã ngẫu nhiên không tồn tại</t>
        </is>
      </c>
      <c r="F54" s="8" t="inlineStr">
        <is>
          <t>U nhận 200 dưới 10 giây; không request nào 500; đúng 5 × 404 và 15 × 429; DB có đúng 5 lượt sai</t>
        </is>
      </c>
      <c r="G54" s="8" t="inlineStr">
        <is>
          <t>Đúng như mong đợi; lặp 5 lần đều pass. Khi tạm trả record_failure về pool chính (như trước bản sửa), test fail: QueuePool limit of size 5 overflow 10 reached, timeout 30.00</t>
        </is>
      </c>
      <c r="H54" s="7" t="inlineStr">
        <is>
          <t>Pass</t>
        </is>
      </c>
      <c r="I54" s="8" t="inlineStr">
        <is>
          <t>AC13 · Hồi quy H1 của review · Đoán lỗi (bấm liên tục, tải cao) · test_burst_beyond_pool_no_500__AC13, test_failure_engine_is_separate_small_pool__AC13</t>
        </is>
      </c>
    </row>
    <row r="55" ht="74" customHeight="1">
      <c r="A55" s="7" t="inlineStr">
        <is>
          <t>TC-LINKREQ-BVA-01</t>
        </is>
      </c>
      <c r="B55" s="7" t="inlineStr">
        <is>
          <t>Sai lần thứ 4 trong 15 phút chưa khóa tài khoản</t>
        </is>
      </c>
      <c r="C55" s="8" t="inlineStr">
        <is>
          <t>Người thân F; app cố định giờ T</t>
        </is>
      </c>
      <c r="D55" s="8" t="inlineStr">
        <is>
          <t>1. POST /family/link-requests với phiên của F, body {client_uuid, code} 4 lần với mã sai (T, T+1, T+2, T+3 phút)
2. Đọc lượt sai của F</t>
        </is>
      </c>
      <c r="E55" s="8" t="inlineStr">
        <is>
          <t>4 mã sai</t>
        </is>
      </c>
      <c r="F55" s="8" t="inlineStr">
        <is>
          <t>Cả 4 lần 404; account_locked_until của 4 dòng đều NULL</t>
        </is>
      </c>
      <c r="G55" s="8" t="inlineStr">
        <is>
          <t>4 × 404; 4 dòng locked_until NULL</t>
        </is>
      </c>
      <c r="H55" s="7" t="inlineStr">
        <is>
          <t>Pass</t>
        </is>
      </c>
      <c r="I55" s="8" t="inlineStr">
        <is>
          <t>AC10 · BVA (max-1 = 4) · test_fifth_failure_locks_then_unlocks__AC10, test_fourth_failure_does_not_lock</t>
        </is>
      </c>
    </row>
    <row r="56" ht="107" customHeight="1">
      <c r="A56" s="7" t="inlineStr">
        <is>
          <t>TC-LINKREQ-BVA-02</t>
        </is>
      </c>
      <c r="B56" s="7" t="inlineStr">
        <is>
          <t>Sai lần thứ 5 trong 15 phút khóa tài khoản 15 phút</t>
        </is>
      </c>
      <c r="C56" s="8" t="inlineStr">
        <is>
          <t>F đã sai 4 lần trong 15 phút</t>
        </is>
      </c>
      <c r="D56" s="8" t="inlineStr">
        <is>
          <t>1. POST /family/link-requests với phiên của F, body {client_uuid, code} với mã sai lúc T5 = T+10 phút
2. Đọc lượt sai của F
3. Gửi mã đúng C lúc T5 + 1 phút</t>
        </is>
      </c>
      <c r="E56" s="8" t="inlineStr">
        <is>
          <t>Mã sai thứ 5; rồi mã đúng C</t>
        </is>
      </c>
      <c r="F56" s="8" t="inlineStr">
        <is>
          <t>Lần 5: 404, dòng có account_locked_until = T5 + 15 phút; mã đúng: 429 {"detail": "link_request_locked"}, Retry-After: 840, không tạo dòng, không tính thêm lần sai</t>
        </is>
      </c>
      <c r="G56" s="8" t="inlineStr">
        <is>
          <t>404; locked_until = T5+15'; 429 link_request_locked, Retry-After 840; vẫn 5 lượt sai</t>
        </is>
      </c>
      <c r="H56" s="7" t="inlineStr">
        <is>
          <t>Pass</t>
        </is>
      </c>
      <c r="I56" s="8" t="inlineStr">
        <is>
          <t>AC10 · BVA (max = 5) · Decision Table (R3) · test_fifth_failure_locks_then_unlocks__AC10, test_fifth_failure_locks_account__AC10, test_locked_until_is_15_min_after_fifth__AC10</t>
        </is>
      </c>
    </row>
    <row r="57" ht="74" customHeight="1">
      <c r="A57" s="7" t="inlineStr">
        <is>
          <t>TC-LINKREQ-BVA-03</t>
        </is>
      </c>
      <c r="B57" s="7" t="inlineStr">
        <is>
          <t>Còn khóa nửa giây trước khi hết 15 phút</t>
        </is>
      </c>
      <c r="C57" s="8" t="inlineStr">
        <is>
          <t>F bị khóa lúc T5</t>
        </is>
      </c>
      <c r="D57" s="8" t="inlineStr">
        <is>
          <t>1. POST /family/link-requests với phiên của F, body {client_uuid, code} với mã đúng lúc T5 + 899,5 giây</t>
        </is>
      </c>
      <c r="E57" s="8" t="inlineStr">
        <is>
          <t>Mã đúng C</t>
        </is>
      </c>
      <c r="F57" s="8" t="inlineStr">
        <is>
          <t>429 link_request_locked, Retry-After: 1 (làm tròn lên, tối thiểu 1)</t>
        </is>
      </c>
      <c r="G57" s="8" t="inlineStr">
        <is>
          <t>429, Retry-After 1</t>
        </is>
      </c>
      <c r="H57" s="7" t="inlineStr">
        <is>
          <t>Pass</t>
        </is>
      </c>
      <c r="I57" s="8" t="inlineStr">
        <is>
          <t>AC10 · BVA (max-1) · test_fifth_failure_locks_then_unlocks__AC10, test_retry_after_rounds_up_min_1</t>
        </is>
      </c>
    </row>
    <row r="58" ht="74" customHeight="1">
      <c r="A58" s="7" t="inlineStr">
        <is>
          <t>TC-LINKREQ-BVA-04</t>
        </is>
      </c>
      <c r="B58" s="7" t="inlineStr">
        <is>
          <t>Hết khóa đúng 15 phút sau lần sai thứ 5</t>
        </is>
      </c>
      <c r="C58" s="8" t="inlineStr">
        <is>
          <t>F bị khóa lúc T5</t>
        </is>
      </c>
      <c r="D58" s="8" t="inlineStr">
        <is>
          <t>1. POST /family/link-requests với phiên của F, body {client_uuid, code} với mã đúng lúc T5 + 15 phút</t>
        </is>
      </c>
      <c r="E58" s="8" t="inlineStr">
        <is>
          <t>Mã đúng C</t>
        </is>
      </c>
      <c r="F58" s="8" t="inlineStr">
        <is>
          <t>201, tạo yêu cầu pending</t>
        </is>
      </c>
      <c r="G58" s="8" t="inlineStr">
        <is>
          <t>201</t>
        </is>
      </c>
      <c r="H58" s="7" t="inlineStr">
        <is>
          <t>Pass</t>
        </is>
      </c>
      <c r="I58" s="8" t="inlineStr">
        <is>
          <t>AC10 · BVA (max) · test_fifth_failure_locks_then_unlocks__AC10, test_expired_lock_does_not_block__AC10</t>
        </is>
      </c>
    </row>
    <row r="59" ht="74" customHeight="1">
      <c r="A59" s="7" t="inlineStr">
        <is>
          <t>TC-LINKREQ-BVA-05</t>
        </is>
      </c>
      <c r="B59" s="7" t="inlineStr">
        <is>
          <t>Lần sai đã quá 15 phút không được tính</t>
        </is>
      </c>
      <c r="C59" s="8" t="inlineStr">
        <is>
          <t>F có 4 lần sai, lần đầu đã quá 15 phút (unit, fake repository)</t>
        </is>
      </c>
      <c r="D59" s="8" t="inlineStr">
        <is>
          <t>1. Tính on_failure cho một lần sai mới</t>
        </is>
      </c>
      <c r="E59" s="8" t="inlineStr">
        <is>
          <t>failures_in_window = 3 (lần đầu ngoài cửa sổ)</t>
        </is>
      </c>
      <c r="F59" s="8" t="inlineStr">
        <is>
          <t>Chưa khóa (None); adapter chỉ quét attempted_at &gt; now − 15 phút</t>
        </is>
      </c>
      <c r="G59" s="8" t="inlineStr">
        <is>
          <t>None; câu SQL lọc đúng mốc</t>
        </is>
      </c>
      <c r="H59" s="7" t="inlineStr">
        <is>
          <t>Pass</t>
        </is>
      </c>
      <c r="I59" s="8" t="inlineStr">
        <is>
          <t>AC11 · BVA (cửa sổ trượt) · test_old_failures_outside_window_not_counted__AC11, test_state_scans_only_window__AC11</t>
        </is>
      </c>
    </row>
    <row r="60" ht="107" customHeight="1">
      <c r="A60" s="7" t="inlineStr">
        <is>
          <t>TC-LINKREQ-BVA-06</t>
        </is>
      </c>
      <c r="B60" s="7" t="inlineStr">
        <is>
          <t>Yêu cầu thứ 10 trong ngày được tạo, thứ 11 bị chặn</t>
        </is>
      </c>
      <c r="C60" s="8" t="inlineStr">
        <is>
          <t>Người thân F có 9 yêu cầu tạo hôm nay (giờ VN), 1 yêu cầu lúc 23:59:59 hôm qua; app cố định lúc 12:00 giờ VN</t>
        </is>
      </c>
      <c r="D60" s="8" t="inlineStr">
        <is>
          <t>1. Gửi một yêu cầu bị 409 và một mã sai (404)
2. Gửi mã của người bệnh thứ 10
3. Gửi mã của người bệnh thứ 11</t>
        </is>
      </c>
      <c r="E60" s="8" t="inlineStr">
        <is>
          <t>Người bệnh thứ 10, 11 đều có mã và consent</t>
        </is>
      </c>
      <c r="F60" s="8" t="inlineStr">
        <is>
          <t>409 và 404 không tính; yêu cầu thứ 10: 201; thứ 11: 429 {"detail": "link_request_daily_limit"}, Retry-After = 43200 (tới 00:00 giờ VN hôm sau), không tạo dòng</t>
        </is>
      </c>
      <c r="G60" s="8" t="inlineStr">
        <is>
          <t>409, 404; 201; 429 link_request_daily_limit, Retry-After 43200; không có dòng</t>
        </is>
      </c>
      <c r="H60" s="7" t="inlineStr">
        <is>
          <t>Pass</t>
        </is>
      </c>
      <c r="I60" s="8" t="inlineStr">
        <is>
          <t>AC14 · QD-34 (e) · BVA (max = 10, max+1 = 11) · Decision Table (R4) · test_daily_limit__AC14, test_ninth_and_tenth_request_allowed__AC14, test_daily_limit_before_lookup__AC14</t>
        </is>
      </c>
    </row>
    <row r="61" ht="74" customHeight="1">
      <c r="A61" s="7" t="inlineStr">
        <is>
          <t>TC-LINKREQ-BVA-07</t>
        </is>
      </c>
      <c r="B61" s="7" t="inlineStr">
        <is>
          <t>Sang 00:00 giờ VN hôm sau gửi lại được</t>
        </is>
      </c>
      <c r="C61" s="8" t="inlineStr">
        <is>
          <t>Như BVA-06, F đã bị chặn ở yêu cầu thứ 11</t>
        </is>
      </c>
      <c r="D61" s="8" t="inlineStr">
        <is>
          <t>1. App chuyển sang 00:00 giờ VN hôm sau
2. Gửi lại mã của người bệnh thứ 11</t>
        </is>
      </c>
      <c r="E61" s="8" t="inlineStr">
        <is>
          <t>now = 00:00:00 giờ VN hôm sau</t>
        </is>
      </c>
      <c r="F61" s="8" t="inlineStr">
        <is>
          <t>201</t>
        </is>
      </c>
      <c r="G61" s="8" t="inlineStr">
        <is>
          <t>201</t>
        </is>
      </c>
      <c r="H61" s="7" t="inlineStr">
        <is>
          <t>Pass</t>
        </is>
      </c>
      <c r="I61" s="8" t="inlineStr">
        <is>
          <t>AC14 · BVA (ranh giới ngày 23:59:59 / 00:00:00) · test_daily_limit__AC14, test_vn_day_start_and_next_midnight__AC14</t>
        </is>
      </c>
    </row>
    <row r="62" ht="107" customHeight="1">
      <c r="A62" s="7" t="inlineStr">
        <is>
          <t>TC-LINKREQ-BVA-08</t>
        </is>
      </c>
      <c r="B62" s="7" t="inlineStr">
        <is>
          <t>Bị từ chối lần thứ 5 liên tiếp thì bị chặn, còn 60 giây lúc T + 23 giờ 59 phút</t>
        </is>
      </c>
      <c r="C62" s="8" t="inlineStr">
        <is>
          <t>Người bệnh P đã đồng ý family_sharing và lấy mã C qua GET /family/link-code; P từ chối F 5 lần liên tiếp, lần thứ 5 lúc T</t>
        </is>
      </c>
      <c r="D62" s="8" t="inlineStr">
        <is>
          <t>1. POST /family/link-requests với phiên của F, body {client_uuid, code} lúc T + 23 giờ 59 phút
2. Đọc caregiver_links và lượt sai</t>
        </is>
      </c>
      <c r="E62" s="8" t="inlineStr">
        <is>
          <t>code = C</t>
        </is>
      </c>
      <c r="F62" s="8" t="inlineStr">
        <is>
          <t>429 {"detail": "link_request_cooldown"}, Retry-After: 60; không tạo dòng, không tính lần sai</t>
        </is>
      </c>
      <c r="G62" s="8" t="inlineStr">
        <is>
          <t>429 link_request_cooldown, Retry-After 60; không có dòng mới, không có lượt sai</t>
        </is>
      </c>
      <c r="H62" s="7" t="inlineStr">
        <is>
          <t>Pass</t>
        </is>
      </c>
      <c r="I62" s="8" t="inlineStr">
        <is>
          <t>AC8b · BS-04 · BVA (max = 5 lần, 24h−1 phút) · Decision Table (R10) · test_fifth_rejection_blocks_24h__AC8b, test_streak_5_blocked_until_24h__AC8b, test_cooldown_429__AC8b</t>
        </is>
      </c>
    </row>
    <row r="63" ht="57.5" customHeight="1">
      <c r="A63" s="7" t="inlineStr">
        <is>
          <t>TC-LINKREQ-BVA-09</t>
        </is>
      </c>
      <c r="B63" s="7" t="inlineStr">
        <is>
          <t>Hết chặn đúng 24 giờ sau lần từ chối thứ 5</t>
        </is>
      </c>
      <c r="C63" s="8" t="inlineStr">
        <is>
          <t>Như BVA-08</t>
        </is>
      </c>
      <c r="D63" s="8" t="inlineStr">
        <is>
          <t>1. POST /family/link-requests với phiên của F, body {client_uuid, code} lúc T + 24 giờ</t>
        </is>
      </c>
      <c r="E63" s="8" t="inlineStr">
        <is>
          <t>code = C</t>
        </is>
      </c>
      <c r="F63" s="8" t="inlineStr">
        <is>
          <t>201</t>
        </is>
      </c>
      <c r="G63" s="8" t="inlineStr">
        <is>
          <t>201</t>
        </is>
      </c>
      <c r="H63" s="7" t="inlineStr">
        <is>
          <t>Pass</t>
        </is>
      </c>
      <c r="I63" s="8" t="inlineStr">
        <is>
          <t>AC8b · BVA (24h) · test_fifth_rejection_blocks_24h__AC8b, test_cooldown_over_after_24h__AC8b</t>
        </is>
      </c>
    </row>
    <row r="64" ht="90.5" customHeight="1">
      <c r="A64" s="7" t="inlineStr">
        <is>
          <t>TC-LINKREQ-BVA-10</t>
        </is>
      </c>
      <c r="B64" s="7" t="inlineStr">
        <is>
          <t>Bị từ chối lần thứ 6 (sau khi hết chặn) vẫn gửi lại được ngay</t>
        </is>
      </c>
      <c r="C64" s="8" t="inlineStr">
        <is>
          <t>Người bệnh P đã đồng ý family_sharing và lấy mã C qua GET /family/link-code; P từ chối F 5 lần (đã quá 24 giờ), F gửi lại và bị từ chối lần 6</t>
        </is>
      </c>
      <c r="D64" s="8" t="inlineStr">
        <is>
          <t>1. POST /family/link-requests với phiên của F, body {client_uuid, code}</t>
        </is>
      </c>
      <c r="E64" s="8" t="inlineStr">
        <is>
          <t>code = C</t>
        </is>
      </c>
      <c r="F64" s="8" t="inlineStr">
        <is>
          <t>201 (bộ đếm coi như về 0)</t>
        </is>
      </c>
      <c r="G64" s="8" t="inlineStr">
        <is>
          <t>201</t>
        </is>
      </c>
      <c r="H64" s="7" t="inlineStr">
        <is>
          <t>Pass</t>
        </is>
      </c>
      <c r="I64" s="8" t="inlineStr">
        <is>
          <t>AC8b · BVA (max+1 = 6) · test_block_expired_counter_resets__AC8b, test_streak_6_not_blocked__AC8b, test_streak_10_blocked__AC8b</t>
        </is>
      </c>
    </row>
    <row r="65" ht="107" customHeight="1">
      <c r="A65" s="7" t="inlineStr">
        <is>
          <t>TC-LINKREQ-BVA-11</t>
        </is>
      </c>
      <c r="B65" s="7" t="inlineStr">
        <is>
          <t>Được chấp thuận giữa chừng làm bộ đếm từ chối về 0</t>
        </is>
      </c>
      <c r="C65" s="8" t="inlineStr">
        <is>
          <t>Người bệnh P đã đồng ý family_sharing và lấy mã C qua GET /family/link-code; lịch sử cặp: 3 lần rejected, 1 lần được chấp thuận rồi bị hủy (revoked), 4 lần rejected</t>
        </is>
      </c>
      <c r="D65" s="8" t="inlineStr">
        <is>
          <t>1. POST /family/link-requests với phiên của F, body {client_uuid, code}</t>
        </is>
      </c>
      <c r="E65" s="8" t="inlineStr">
        <is>
          <t>code = C</t>
        </is>
      </c>
      <c r="F65" s="8" t="inlineStr">
        <is>
          <t>201 (chuỗi từ chối liên tiếp chỉ là 4)</t>
        </is>
      </c>
      <c r="G65" s="8" t="inlineStr">
        <is>
          <t>201</t>
        </is>
      </c>
      <c r="H65" s="7" t="inlineStr">
        <is>
          <t>Pass</t>
        </is>
      </c>
      <c r="I65" s="8" t="inlineStr">
        <is>
          <t>AC8b · Chuyển trạng thái (rejected → active → revoked → rejected) · test_approval_resets_streak__AC8b</t>
        </is>
      </c>
    </row>
    <row r="66" ht="74" customHeight="1">
      <c r="A66" s="7" t="inlineStr">
        <is>
          <t>TC-LINKREQ-BVA-12</t>
        </is>
      </c>
      <c r="B66" s="7" t="inlineStr">
        <is>
          <t>Người thân khác không bị ảnh hưởng bởi bộ đếm từ chối của F</t>
        </is>
      </c>
      <c r="C66" s="8" t="inlineStr">
        <is>
          <t>Người bệnh P đã đồng ý family_sharing và lấy mã C qua GET /family/link-code; P từ chối F 5 lần liên tiếp vừa xong</t>
        </is>
      </c>
      <c r="D66" s="8" t="inlineStr">
        <is>
          <t>1. F gửi C
2. F2 gửi C</t>
        </is>
      </c>
      <c r="E66" s="8" t="inlineStr">
        <is>
          <t>code = C</t>
        </is>
      </c>
      <c r="F66" s="8" t="inlineStr">
        <is>
          <t>F: 429 link_request_cooldown; F2: 201</t>
        </is>
      </c>
      <c r="G66" s="8" t="inlineStr">
        <is>
          <t>F 429; F2 201</t>
        </is>
      </c>
      <c r="H66" s="7" t="inlineStr">
        <is>
          <t>Pass</t>
        </is>
      </c>
      <c r="I66" s="8" t="inlineStr">
        <is>
          <t>AC8b · test_other_family_unaffected__AC8b</t>
        </is>
      </c>
    </row>
    <row r="67" ht="57.5" customHeight="1">
      <c r="A67" s="7" t="inlineStr">
        <is>
          <t>TC-LINKREQ-BVA-13</t>
        </is>
      </c>
      <c r="B67" s="7" t="inlineStr">
        <is>
          <t>Mã 9 ký tự bị từ chối</t>
        </is>
      </c>
      <c r="C67" s="8" t="inlineStr">
        <is>
          <t>Người thân F đăng nhập</t>
        </is>
      </c>
      <c r="D67" s="8" t="inlineStr">
        <is>
          <t>1. POST /family/link-requests với phiên của F, body {client_uuid, code}</t>
        </is>
      </c>
      <c r="E67" s="8" t="inlineStr">
        <is>
          <t>code = K7M2Q9XAR</t>
        </is>
      </c>
      <c r="F67" s="8" t="inlineStr">
        <is>
          <t>422 mảng lỗi field; không tính lần sai</t>
        </is>
      </c>
      <c r="G67" s="8" t="inlineStr">
        <is>
          <t>422; không có lượt sai</t>
        </is>
      </c>
      <c r="H67" s="7" t="inlineStr">
        <is>
          <t>Pass</t>
        </is>
      </c>
      <c r="I67" s="8" t="inlineStr">
        <is>
          <t>AC20 · BVA (min-1) · EP (13) · test_validation_422_not_counted__AC20[9-ky-tu]</t>
        </is>
      </c>
    </row>
    <row r="68" ht="57.5" customHeight="1">
      <c r="A68" s="7" t="inlineStr">
        <is>
          <t>TC-LINKREQ-BVA-14</t>
        </is>
      </c>
      <c r="B68" s="7" t="inlineStr">
        <is>
          <t>Mã đúng 10 ký tự được chấp nhận</t>
        </is>
      </c>
      <c r="C68" s="8" t="inlineStr">
        <is>
          <t>Người bệnh P đã đồng ý family_sharing và lấy mã C qua GET /family/link-code</t>
        </is>
      </c>
      <c r="D68" s="8" t="inlineStr">
        <is>
          <t>1. POST /family/link-requests với phiên của F, body {client_uuid, code}</t>
        </is>
      </c>
      <c r="E68" s="8" t="inlineStr">
        <is>
          <t>code = C (10 ký tự)</t>
        </is>
      </c>
      <c r="F68" s="8" t="inlineStr">
        <is>
          <t>201</t>
        </is>
      </c>
      <c r="G68" s="8" t="inlineStr">
        <is>
          <t>201</t>
        </is>
      </c>
      <c r="H68" s="7" t="inlineStr">
        <is>
          <t>Pass</t>
        </is>
      </c>
      <c r="I68" s="8" t="inlineStr">
        <is>
          <t>AC20 · BVA (min = max = 10) · EP (2) · test_creates_pending_without_profile__AC1</t>
        </is>
      </c>
    </row>
    <row r="69" ht="57.5" customHeight="1">
      <c r="A69" s="7" t="inlineStr">
        <is>
          <t>TC-LINKREQ-BVA-15</t>
        </is>
      </c>
      <c r="B69" s="7" t="inlineStr">
        <is>
          <t>Mã 11 ký tự bị từ chối</t>
        </is>
      </c>
      <c r="C69" s="8" t="inlineStr">
        <is>
          <t>Người thân F đăng nhập</t>
        </is>
      </c>
      <c r="D69" s="8" t="inlineStr">
        <is>
          <t>1. POST /family/link-requests với phiên của F, body {client_uuid, code}</t>
        </is>
      </c>
      <c r="E69" s="8" t="inlineStr">
        <is>
          <t>code = K7M2Q9XAR44</t>
        </is>
      </c>
      <c r="F69" s="8" t="inlineStr">
        <is>
          <t>422 mảng lỗi field; không tính lần sai</t>
        </is>
      </c>
      <c r="G69" s="8" t="inlineStr">
        <is>
          <t>422; không có lượt sai</t>
        </is>
      </c>
      <c r="H69" s="7" t="inlineStr">
        <is>
          <t>Pass</t>
        </is>
      </c>
      <c r="I69" s="8" t="inlineStr">
        <is>
          <t>AC20 · BVA (max+1) · EP (14) · test_validation_422_not_counted__AC20[11-ky-tu]</t>
        </is>
      </c>
    </row>
    <row r="70"/>
    <row r="71"/>
    <row r="72">
      <c r="G72" s="12" t="inlineStr">
        <is>
          <t>Pass</t>
        </is>
      </c>
      <c r="H72" s="13">
        <f>COUNTIF(H9:H69,"Pass")</f>
        <v/>
      </c>
    </row>
    <row r="73">
      <c r="G73" s="12" t="inlineStr">
        <is>
          <t>Fail</t>
        </is>
      </c>
      <c r="H73" s="13">
        <f>COUNTIF(H9:H69,"Fail")</f>
        <v/>
      </c>
    </row>
    <row r="74">
      <c r="G74" s="12" t="inlineStr">
        <is>
          <t>Pending</t>
        </is>
      </c>
      <c r="H74" s="13">
        <f>COUNTIF(H9:H69,"Pending")</f>
        <v/>
      </c>
    </row>
    <row r="75">
      <c r="G75" s="12" t="inlineStr">
        <is>
          <t>Total</t>
        </is>
      </c>
      <c r="H75" s="13">
        <f>SUM(H72:H74)</f>
        <v/>
      </c>
    </row>
  </sheetData>
  <autoFilter ref="A8:I69"/>
  <conditionalFormatting sqref="H9:H69">
    <cfRule type="cellIs" priority="1" operator="equal" dxfId="0">
      <formula>"Fail"</formula>
    </cfRule>
  </conditionalFormatting>
  <dataValidations count="1">
    <dataValidation sqref="H9:H69"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4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Theo dõi người thân bằng QR, mã hoặc link (mobile) (LINKFOLLOW)</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TC-LINKFOLLOW-01</t>
        </is>
      </c>
      <c r="B9" s="7" t="inlineStr">
        <is>
          <t>Quét QR hợp lệ của patient và gửi yêu cầu</t>
        </is>
      </c>
      <c r="C9" s="8" t="inlineStr">
        <is>
          <t>Người thân đã đăng nhập, cấp quyền camera, đang ở màn Quét mã QR</t>
        </is>
      </c>
      <c r="D9" s="8" t="inlineStr">
        <is>
          <t>1. Tab Người thân → Theo dõi người thân → Quét mã QR
2. Đưa QR của patient vào khung</t>
        </is>
      </c>
      <c r="E9" s="8" t="inlineStr">
        <is>
          <t>drugtime://link?code=K7M2Q9XAR4</t>
        </is>
      </c>
      <c r="F9" s="8" t="inlineStr">
        <is>
          <t>App chuyển sang màn nhập mã đã điền K7M2 Q9XA R4, tự gửi đúng một yêu cầu và hiện màn "Đang chờ xác nhận"</t>
        </is>
      </c>
      <c r="G9" s="8" t="inlineStr">
        <is>
          <t>Scanner giả phát QR 5 lần: repository nhận đúng 1 request với mã K7M2Q9XAR4, hiện LinkRequestResultScreen</t>
        </is>
      </c>
      <c r="H9" s="7" t="inlineStr">
        <is>
          <t>Pass</t>
        </is>
      </c>
      <c r="I9" s="8" t="inlineStr">
        <is>
          <t>AC1, AC4, AC5 · EP (1) · scan_link_qr_screen_test: AC5</t>
        </is>
      </c>
      <c r="K9" s="9" t="inlineStr">
        <is>
          <t>Nội dung QR</t>
        </is>
      </c>
      <c r="L9" s="10" t="inlineStr">
        <is>
          <t>drugtime://link?code=&lt;10 ký tự hợp lệ&gt;</t>
        </is>
      </c>
      <c r="M9" s="10" t="inlineStr">
        <is>
          <t>1</t>
        </is>
      </c>
      <c r="N9" s="10" t="inlineStr">
        <is>
          <t>URL https (link mời)
Văn bản thường
Scheme hoặc host khác
Thiếu tham số code
code có O, I, L, 0, 1
code chữ thường
code sai độ dài</t>
        </is>
      </c>
      <c r="O9" s="10" t="inlineStr">
        <is>
          <t>9
10
11
12
13
14
15</t>
        </is>
      </c>
    </row>
    <row r="10" ht="123.5" customHeight="1">
      <c r="A10" s="7" t="inlineStr">
        <is>
          <t>TC-LINKFOLLOW-02</t>
        </is>
      </c>
      <c r="B10" s="7" t="inlineStr">
        <is>
          <t>Quét QR không phải mã liên kết DrugTime</t>
        </is>
      </c>
      <c r="C10" s="8" t="inlineStr">
        <is>
          <t>Đang ở màn Quét mã QR</t>
        </is>
      </c>
      <c r="D10" s="8" t="inlineStr">
        <is>
          <t>1. Đưa lần lượt từng QR trong Test Data vào khung</t>
        </is>
      </c>
      <c r="E10" s="8" t="inlineStr">
        <is>
          <t>https://drug-time-frontend.vercel.app/link#code=K7M2Q9XAR4; hello; drugtime://link?code=k7m2q9xar4</t>
        </is>
      </c>
      <c r="F10" s="8" t="inlineStr">
        <is>
          <t>Hiện "Đây không phải mã liên kết DrugTime."; không gửi request nào; vẫn ở màn quét</t>
        </is>
      </c>
      <c r="G10" s="8" t="inlineStr">
        <is>
          <t>Hiện đúng câu cho cả 3 QR; repository 0 lần gọi</t>
        </is>
      </c>
      <c r="H10" s="7" t="inlineStr">
        <is>
          <t>Pass</t>
        </is>
      </c>
      <c r="I10" s="8" t="inlineStr">
        <is>
          <t>AC2 · EP (2,3,7) · scan_link_qr_screen_test: AC2</t>
        </is>
      </c>
      <c r="K10" s="9" t="inlineStr">
        <is>
          <t>Mã nhập tay</t>
        </is>
      </c>
      <c r="L10" s="10" t="inlineStr">
        <is>
          <t>10 ký tự trong bảng A-H J K M N P-Z 2-9
Có khoảng trắng, gạch nối, chữ thường (được chuẩn hóa)
Dán chuỗi drugtime://link?code=
Dán link mời https://&lt;host&gt;/link#code=</t>
        </is>
      </c>
      <c r="M10" s="10" t="inlineStr">
        <is>
          <t>2
3
4
5</t>
        </is>
      </c>
      <c r="N10" s="10" t="inlineStr">
        <is>
          <t>Ít hơn 10 ký tự
Có ký tự ngoài bảng mã (0, 1, O, I, L, ký tự đặc biệt)</t>
        </is>
      </c>
      <c r="O10" s="10" t="inlineStr">
        <is>
          <t>16
17</t>
        </is>
      </c>
    </row>
    <row r="11" ht="140" customHeight="1">
      <c r="A11" s="7" t="inlineStr">
        <is>
          <t>TC-LINKFOLLOW-03</t>
        </is>
      </c>
      <c r="B11" s="7" t="inlineStr">
        <is>
          <t>Đọc nội dung QR sai định dạng contract 3.10</t>
        </is>
      </c>
      <c r="C11" s="8" t="inlineStr">
        <is>
          <t>Không</t>
        </is>
      </c>
      <c r="D11" s="8" t="inlineStr">
        <is>
          <t>1. Gọi bộ đọc QR với từng chuỗi trong Test Data</t>
        </is>
      </c>
      <c r="E11" s="8" t="inlineStr">
        <is>
          <t>otherapp://link?code=…; drugtime://invite?code=…; drugtime://link; code có 0/O/I/L/1; 9 và 11 ký tự</t>
        </is>
      </c>
      <c r="F11" s="8" t="inlineStr">
        <is>
          <t>Bộ đọc trả null cho mọi chuỗi</t>
        </is>
      </c>
      <c r="G11" s="8" t="inlineStr">
        <is>
          <t>18 chuỗi không hợp lệ đều trả null</t>
        </is>
      </c>
      <c r="H11" s="7" t="inlineStr">
        <is>
          <t>Pass</t>
        </is>
      </c>
      <c r="I11" s="8" t="inlineStr">
        <is>
          <t>AC2 · EP (4,5,6,8) · link_code_test: AC2</t>
        </is>
      </c>
      <c r="K11" s="9" t="inlineStr">
        <is>
          <t>Phản hồi của POST /family/link-requests</t>
        </is>
      </c>
      <c r="L11" s="10" t="inlineStr">
        <is>
          <t>201 pending
200 active (gửi lại)
409 link_request_pending</t>
        </is>
      </c>
      <c r="M11" s="10" t="inlineStr">
        <is>
          <t>6
7
8</t>
        </is>
      </c>
      <c r="N11" s="10" t="inlineStr">
        <is>
          <t>404 link_code_not_found
422 self_link_not_allowed
409 already_linked
200 rejected/revoked (gửi lại)
429 có Retry-After
429 thiếu Retry-After
Mất mạng / 5xx
401</t>
        </is>
      </c>
      <c r="O11" s="10" t="inlineStr">
        <is>
          <t>18
19
20
21
22
23
24
25</t>
        </is>
      </c>
    </row>
    <row r="12" ht="41" customHeight="1">
      <c r="A12" s="7" t="inlineStr">
        <is>
          <t>TC-LINKFOLLOW-04</t>
        </is>
      </c>
      <c r="B12" s="7" t="inlineStr">
        <is>
          <t>Nhập mã có chữ thường, khoảng trắng, gạch nối</t>
        </is>
      </c>
      <c r="C12" s="8" t="inlineStr">
        <is>
          <t>Đang ở màn Nhập mã liên kết</t>
        </is>
      </c>
      <c r="D12" s="8" t="inlineStr">
        <is>
          <t>1. Gõ mã trong Test Data vào ô Mã liên kết</t>
        </is>
      </c>
      <c r="E12" s="8" t="inlineStr">
        <is>
          <t>k7m2 q9xa-r4</t>
        </is>
      </c>
      <c r="F12" s="8" t="inlineStr">
        <is>
          <t>Ô hiện K7M2 Q9XA R4; nút "Gửi yêu cầu" bật; chưa gửi request</t>
        </is>
      </c>
      <c r="G12" s="8" t="inlineStr">
        <is>
          <t>Ô hiện K7M2 Q9XA R4, nút bật, repository 0 lần gọi</t>
        </is>
      </c>
      <c r="H12" s="7" t="inlineStr">
        <is>
          <t>Pass</t>
        </is>
      </c>
      <c r="I12" s="8" t="inlineStr">
        <is>
          <t>AC3 · EP (1,2) · enter_link_code_screen_test: AC3</t>
        </is>
      </c>
    </row>
    <row r="13" ht="74" customHeight="1">
      <c r="A13" s="7" t="inlineStr">
        <is>
          <t>TC-LINKFOLLOW-05</t>
        </is>
      </c>
      <c r="B13" s="7" t="inlineStr">
        <is>
          <t>Dán chuỗi QR và link mời vào ô nhập</t>
        </is>
      </c>
      <c r="C13" s="8" t="inlineStr">
        <is>
          <t>Đang ở màn Nhập mã liên kết</t>
        </is>
      </c>
      <c r="D13" s="8" t="inlineStr">
        <is>
          <t>1. Dán chuỗi QR
2. Xóa ô, dán link mời</t>
        </is>
      </c>
      <c r="E13" s="8" t="inlineStr">
        <is>
          <t>drugtime://link?code=K7M2Q9XAR4; https://drug-time-frontend.vercel.app/link#code=K7M2Q9XAR5</t>
        </is>
      </c>
      <c r="F13" s="8" t="inlineStr">
        <is>
          <t>Ô lần lượt hiện K7M2 Q9XA R4 và K7M2 Q9XA R5</t>
        </is>
      </c>
      <c r="G13" s="8" t="inlineStr">
        <is>
          <t>Ô hiện đúng hai mã</t>
        </is>
      </c>
      <c r="H13" s="7" t="inlineStr">
        <is>
          <t>Pass</t>
        </is>
      </c>
      <c r="I13" s="8" t="inlineStr">
        <is>
          <t>AC3, AC15 · EP (3,4) · enter_link_code_screen_test</t>
        </is>
      </c>
    </row>
    <row r="14" ht="41" customHeight="1">
      <c r="A14" s="7" t="inlineStr">
        <is>
          <t>TC-LINKFOLLOW-BVA-01</t>
        </is>
      </c>
      <c r="B14" s="7" t="inlineStr">
        <is>
          <t>Nhập 9 ký tự (dưới biên)</t>
        </is>
      </c>
      <c r="C14" s="8" t="inlineStr">
        <is>
          <t>Đang ở màn Nhập mã liên kết</t>
        </is>
      </c>
      <c r="D14" s="8" t="inlineStr">
        <is>
          <t>1. Gõ mã trong Test Data
2. Bấm Gửi yêu cầu</t>
        </is>
      </c>
      <c r="E14" s="8" t="inlineStr">
        <is>
          <t>K7M2Q9XAR</t>
        </is>
      </c>
      <c r="F14" s="8" t="inlineStr">
        <is>
          <t>Dưới ô hiện "Mã cần đủ 10 ký tự (còn thiếu 1)."; nút tắt; không gửi request</t>
        </is>
      </c>
      <c r="G14" s="8" t="inlineStr">
        <is>
          <t>Hiện đúng câu, nút tắt, repository 0 lần gọi</t>
        </is>
      </c>
      <c r="H14" s="7" t="inlineStr">
        <is>
          <t>Pass</t>
        </is>
      </c>
      <c r="I14" s="8" t="inlineStr">
        <is>
          <t>AC3 · BVA (min-1) · enter_link_code_screen_test</t>
        </is>
      </c>
    </row>
    <row r="15" ht="41" customHeight="1">
      <c r="A15" s="7" t="inlineStr">
        <is>
          <t>TC-LINKFOLLOW-BVA-02</t>
        </is>
      </c>
      <c r="B15" s="7" t="inlineStr">
        <is>
          <t>Nhập đúng 10 ký tự (tại biên)</t>
        </is>
      </c>
      <c r="C15" s="8" t="inlineStr">
        <is>
          <t>Đang ở màn Nhập mã liên kết</t>
        </is>
      </c>
      <c r="D15" s="8" t="inlineStr">
        <is>
          <t>1. Gõ mã trong Test Data</t>
        </is>
      </c>
      <c r="E15" s="8" t="inlineStr">
        <is>
          <t>K7M2Q9XAR4</t>
        </is>
      </c>
      <c r="F15" s="8" t="inlineStr">
        <is>
          <t>Không có lỗi dưới ô; nút bật</t>
        </is>
      </c>
      <c r="G15" s="8" t="inlineStr">
        <is>
          <t>Nút bật, không có lỗi</t>
        </is>
      </c>
      <c r="H15" s="7" t="inlineStr">
        <is>
          <t>Pass</t>
        </is>
      </c>
      <c r="I15" s="8" t="inlineStr">
        <is>
          <t>AC3 · BVA (min/max) · enter_link_code_screen_test</t>
        </is>
      </c>
    </row>
    <row r="16" ht="41" customHeight="1">
      <c r="A16" s="7" t="inlineStr">
        <is>
          <t>TC-LINKFOLLOW-BVA-03</t>
        </is>
      </c>
      <c r="B16" s="7" t="inlineStr">
        <is>
          <t>Nhập 11 ký tự (trên biên)</t>
        </is>
      </c>
      <c r="C16" s="8" t="inlineStr">
        <is>
          <t>Đang ở màn Nhập mã liên kết</t>
        </is>
      </c>
      <c r="D16" s="8" t="inlineStr">
        <is>
          <t>1. Gõ mã trong Test Data</t>
        </is>
      </c>
      <c r="E16" s="8" t="inlineStr">
        <is>
          <t>K7M2Q9XAR4K</t>
        </is>
      </c>
      <c r="F16" s="8" t="inlineStr">
        <is>
          <t>Ô chỉ giữ 10 ký tự đầu K7M2 Q9XA R4; nút bật</t>
        </is>
      </c>
      <c r="G16" s="8" t="inlineStr">
        <is>
          <t>Ô hiện K7M2 Q9XA R4, nút bật</t>
        </is>
      </c>
      <c r="H16" s="7" t="inlineStr">
        <is>
          <t>Pass</t>
        </is>
      </c>
      <c r="I16" s="8" t="inlineStr">
        <is>
          <t>AC3 · BVA (max+1) · enter_link_code_screen_test: AC3 BVA</t>
        </is>
      </c>
    </row>
    <row r="17" ht="41" customHeight="1">
      <c r="A17" s="7" t="inlineStr">
        <is>
          <t>TC-LINKFOLLOW-06</t>
        </is>
      </c>
      <c r="B17" s="7" t="inlineStr">
        <is>
          <t>Nhập mã có ký tự ngoài bảng mã</t>
        </is>
      </c>
      <c r="C17" s="8" t="inlineStr">
        <is>
          <t>Đang ở màn Nhập mã liên kết</t>
        </is>
      </c>
      <c r="D17" s="8" t="inlineStr">
        <is>
          <t>1. Gõ mã trong Test Data</t>
        </is>
      </c>
      <c r="E17" s="8" t="inlineStr">
        <is>
          <t>K7M2Q9XA01</t>
        </is>
      </c>
      <c r="F17" s="8" t="inlineStr">
        <is>
          <t>Dưới ô hiện "Mã chỉ gồm chữ và số, không có 0, O, 1, I, L."; nút tắt</t>
        </is>
      </c>
      <c r="G17" s="8" t="inlineStr">
        <is>
          <t>Hiện đúng câu, nút tắt</t>
        </is>
      </c>
      <c r="H17" s="7" t="inlineStr">
        <is>
          <t>Pass</t>
        </is>
      </c>
      <c r="I17" s="8" t="inlineStr">
        <is>
          <t>AC3 · EP (6) · enter_link_code_screen_test</t>
        </is>
      </c>
    </row>
    <row r="18" ht="57.5" customHeight="1">
      <c r="A18" s="7" t="inlineStr">
        <is>
          <t>TC-LINKFOLLOW-07</t>
        </is>
      </c>
      <c r="B18" s="7" t="inlineStr">
        <is>
          <t>Bấm Gửi liên tục khi request đầu chưa xong</t>
        </is>
      </c>
      <c r="C18" s="8" t="inlineStr">
        <is>
          <t>Đã nhập mã hợp lệ; server trả chậm</t>
        </is>
      </c>
      <c r="D18" s="8" t="inlineStr">
        <is>
          <t>1. Bấm Gửi yêu cầu 3 lần liên tiếp</t>
        </is>
      </c>
      <c r="E18" s="8" t="inlineStr">
        <is>
          <t>K7M2Q9XAR4</t>
        </is>
      </c>
      <c r="F18" s="8" t="inlineStr">
        <is>
          <t>Chỉ một request; nút tắt và có vòng xoay trong lúc chờ</t>
        </is>
      </c>
      <c r="G18" s="8" t="inlineStr">
        <is>
          <t>Repository 1 lần gọi; có chỉ báo đang gửi; nút tắt</t>
        </is>
      </c>
      <c r="H18" s="7" t="inlineStr">
        <is>
          <t>Pass</t>
        </is>
      </c>
      <c r="I18" s="8" t="inlineStr">
        <is>
          <t>AC5 · Đoán lỗi (bấm liên tục) · enter_link_code_screen_test: AC5</t>
        </is>
      </c>
    </row>
    <row r="19" ht="57.5" customHeight="1">
      <c r="A19" s="7" t="inlineStr">
        <is>
          <t>TC-LINKFOLLOW-08</t>
        </is>
      </c>
      <c r="B19" s="7" t="inlineStr">
        <is>
          <t>Gửi mã không tồn tại hoặc patient chưa bật chia sẻ</t>
        </is>
      </c>
      <c r="C19" s="8" t="inlineStr">
        <is>
          <t>Đã nhập mã hợp lệ</t>
        </is>
      </c>
      <c r="D19" s="8" t="inlineStr">
        <is>
          <t>1. Bấm Gửi yêu cầu</t>
        </is>
      </c>
      <c r="E19" s="8" t="inlineStr">
        <is>
          <t>Server trả 404 link_code_not_found</t>
        </is>
      </c>
      <c r="F19" s="8" t="inlineStr">
        <is>
          <t>Hiện "Mã không đúng, hoặc người thân chưa bật chia sẻ với gia đình."; ở lại màn; giữ mã</t>
        </is>
      </c>
      <c r="G19" s="8" t="inlineStr">
        <is>
          <t>Hiện đúng câu, vẫn ở màn nhập mã, ô vẫn K7M2 Q9XA R4</t>
        </is>
      </c>
      <c r="H19" s="7" t="inlineStr">
        <is>
          <t>Pass</t>
        </is>
      </c>
      <c r="I19" s="8" t="inlineStr">
        <is>
          <t>AC6 · EP (Phản hồi 4) · enter_link_code_screen_test: AC6</t>
        </is>
      </c>
    </row>
    <row r="20" ht="41" customHeight="1">
      <c r="A20" s="7" t="inlineStr">
        <is>
          <t>TC-LINKFOLLOW-09</t>
        </is>
      </c>
      <c r="B20" s="7" t="inlineStr">
        <is>
          <t>Gửi mã của chính mình</t>
        </is>
      </c>
      <c r="C20" s="8" t="inlineStr">
        <is>
          <t>Đã nhập mã của chính tài khoản</t>
        </is>
      </c>
      <c r="D20" s="8" t="inlineStr">
        <is>
          <t>1. Bấm Gửi yêu cầu</t>
        </is>
      </c>
      <c r="E20" s="8" t="inlineStr">
        <is>
          <t>Server trả 422 self_link_not_allowed</t>
        </is>
      </c>
      <c r="F20" s="8" t="inlineStr">
        <is>
          <t>Hiện "Đây là mã của chính bạn."; ở lại màn</t>
        </is>
      </c>
      <c r="G20" s="8" t="inlineStr">
        <is>
          <t>Hiện đúng câu</t>
        </is>
      </c>
      <c r="H20" s="7" t="inlineStr">
        <is>
          <t>Pass</t>
        </is>
      </c>
      <c r="I20" s="8" t="inlineStr">
        <is>
          <t>AC6 · EP (Phản hồi 5) · enter_link_code_screen_test: AC6</t>
        </is>
      </c>
    </row>
    <row r="21" ht="41" customHeight="1">
      <c r="A21" s="7" t="inlineStr">
        <is>
          <t>TC-LINKFOLLOW-10</t>
        </is>
      </c>
      <c r="B21" s="7" t="inlineStr">
        <is>
          <t>Gửi mã của người đã theo dõi</t>
        </is>
      </c>
      <c r="C21" s="8" t="inlineStr">
        <is>
          <t>Đã liên kết active với patient này</t>
        </is>
      </c>
      <c r="D21" s="8" t="inlineStr">
        <is>
          <t>1. Bấm Gửi yêu cầu</t>
        </is>
      </c>
      <c r="E21" s="8" t="inlineStr">
        <is>
          <t>Server trả 409 already_linked</t>
        </is>
      </c>
      <c r="F21" s="8" t="inlineStr">
        <is>
          <t>Hiện "Bạn đã theo dõi người này rồi."</t>
        </is>
      </c>
      <c r="G21" s="8" t="inlineStr">
        <is>
          <t>Hiện đúng câu</t>
        </is>
      </c>
      <c r="H21" s="7" t="inlineStr">
        <is>
          <t>Pass</t>
        </is>
      </c>
      <c r="I21" s="8" t="inlineStr">
        <is>
          <t>AC6 · EP (Phản hồi 6) · enter_link_code_screen_test: AC6</t>
        </is>
      </c>
    </row>
    <row r="22" ht="41" customHeight="1">
      <c r="A22" s="7" t="inlineStr">
        <is>
          <t>TC-LINKFOLLOW-11</t>
        </is>
      </c>
      <c r="B22" s="7" t="inlineStr">
        <is>
          <t>Gửi khi đã có yêu cầu đang chờ với patient</t>
        </is>
      </c>
      <c r="C22" s="8" t="inlineStr">
        <is>
          <t>Đã gửi yêu cầu trước đó, chưa được trả lời</t>
        </is>
      </c>
      <c r="D22" s="8" t="inlineStr">
        <is>
          <t>1. Bấm Gửi yêu cầu</t>
        </is>
      </c>
      <c r="E22" s="8" t="inlineStr">
        <is>
          <t>Server trả 409 link_request_pending</t>
        </is>
      </c>
      <c r="F22" s="8" t="inlineStr">
        <is>
          <t>Hiện màn "Đang chờ xác nhận" (không báo lỗi)</t>
        </is>
      </c>
      <c r="G22" s="8" t="inlineStr">
        <is>
          <t>Hiện màn Đang chờ xác nhận</t>
        </is>
      </c>
      <c r="H22" s="7" t="inlineStr">
        <is>
          <t>Pass</t>
        </is>
      </c>
      <c r="I22" s="8" t="inlineStr">
        <is>
          <t>AC21 · EP (Phản hồi 3) · enter_link_code_screen_test: AC21</t>
        </is>
      </c>
    </row>
    <row r="23" ht="74" customHeight="1">
      <c r="A23" s="7" t="inlineStr">
        <is>
          <t>TC-LINKFOLLOW-12</t>
        </is>
      </c>
      <c r="B23" s="7" t="inlineStr">
        <is>
          <t>Gửi lại khi yêu cầu cũ đã được chấp thuận, bị từ chối, hoặc trạng thái lạ</t>
        </is>
      </c>
      <c r="C23" s="8" t="inlineStr">
        <is>
          <t>Lần gửi trước bị mất phản hồi</t>
        </is>
      </c>
      <c r="D23" s="8" t="inlineStr">
        <is>
          <t>1. Bấm Gửi yêu cầu</t>
        </is>
      </c>
      <c r="E23" s="8" t="inlineStr">
        <is>
          <t>Server trả 200 với status active; rejected; xyz</t>
        </is>
      </c>
      <c r="F23" s="8" t="inlineStr">
        <is>
          <t>active: "Đã được chấp thuận"; rejected: "Yêu cầu này không còn hiệu lực. Bạn có thể gửi lại." và ở lại màn; xyz: màn Đang chờ xác nhận</t>
        </is>
      </c>
      <c r="G23" s="8" t="inlineStr">
        <is>
          <t>Đúng cả ba kết quả</t>
        </is>
      </c>
      <c r="H23" s="7" t="inlineStr">
        <is>
          <t>Pass</t>
        </is>
      </c>
      <c r="I23" s="8" t="inlineStr">
        <is>
          <t>AC21 · EP (Phản hồi 2,7) · enter_link_code_screen_test: AC21</t>
        </is>
      </c>
    </row>
    <row r="24" ht="57.5" customHeight="1">
      <c r="A24" s="7" t="inlineStr">
        <is>
          <t>TC-LINKFOLLOW-13</t>
        </is>
      </c>
      <c r="B24" s="7" t="inlineStr">
        <is>
          <t>Bị khóa vì nhập sai nhiều lần</t>
        </is>
      </c>
      <c r="C24" s="8" t="inlineStr">
        <is>
          <t>Đã nhập mã hợp lệ</t>
        </is>
      </c>
      <c r="D24" s="8" t="inlineStr">
        <is>
          <t>1. Bấm Gửi yêu cầu
2. Bấm Gửi lại khi đang đếm ngược
3. Chờ hết 900 giây</t>
        </is>
      </c>
      <c r="E24" s="8" t="inlineStr">
        <is>
          <t>Server trả 429 link_request_locked, Retry-After: 900</t>
        </is>
      </c>
      <c r="F24" s="8" t="inlineStr">
        <is>
          <t>Hiện "Bạn đã nhập sai mã nhiều lần. Thử lại sau 15:00.", đếm ngược mỗi giây; nút tắt; hết giờ nút bật lại và không tự gửi</t>
        </is>
      </c>
      <c r="G24" s="8" t="inlineStr">
        <is>
          <t>Hiện 15:00 rồi 14:59; bấm không gửi; sau 900 giây nút bật, repository vẫn 1 lần gọi</t>
        </is>
      </c>
      <c r="H24" s="7" t="inlineStr">
        <is>
          <t>Pass</t>
        </is>
      </c>
      <c r="I24" s="8" t="inlineStr">
        <is>
          <t>AC20 · EP (Phản hồi 8) · enter_link_code_screen_test: AC20</t>
        </is>
      </c>
    </row>
    <row r="25" ht="57.5" customHeight="1">
      <c r="A25" s="7" t="inlineStr">
        <is>
          <t>TC-LINKFOLLOW-14</t>
        </is>
      </c>
      <c r="B25" s="7" t="inlineStr">
        <is>
          <t>Bị chặn 24 giờ nhưng server không gửi Retry-After</t>
        </is>
      </c>
      <c r="C25" s="8" t="inlineStr">
        <is>
          <t>Đã nhập mã hợp lệ</t>
        </is>
      </c>
      <c r="D25" s="8" t="inlineStr">
        <is>
          <t>1. Bấm Gửi yêu cầu</t>
        </is>
      </c>
      <c r="E25" s="8" t="inlineStr">
        <is>
          <t>Server trả 429 link_request_cooldown, không có Retry-After</t>
        </is>
      </c>
      <c r="F25" s="8" t="inlineStr">
        <is>
          <t>Hiện "Người này đã từ chối nhiều lần liên tiếp." (không có thời gian); không tự gửi</t>
        </is>
      </c>
      <c r="G25" s="8" t="inlineStr">
        <is>
          <t>Hiện đúng câu không kèm thời gian</t>
        </is>
      </c>
      <c r="H25" s="7" t="inlineStr">
        <is>
          <t>Pass</t>
        </is>
      </c>
      <c r="I25" s="8" t="inlineStr">
        <is>
          <t>AC20 · EP (Phản hồi 9) · enter_link_code_screen_test: AC20</t>
        </is>
      </c>
    </row>
    <row r="26" ht="74" customHeight="1">
      <c r="A26" s="7" t="inlineStr">
        <is>
          <t>TC-LINKFOLLOW-15</t>
        </is>
      </c>
      <c r="B26" s="7" t="inlineStr">
        <is>
          <t>Mất mạng khi gửi rồi bấm Thử lại</t>
        </is>
      </c>
      <c r="C26" s="8" t="inlineStr">
        <is>
          <t>Đã nhập mã hợp lệ; mất mạng</t>
        </is>
      </c>
      <c r="D26" s="8" t="inlineStr">
        <is>
          <t>1. Bấm Gửi yêu cầu
2. Bấm Thử lại
3. Sửa mã thành K7M2Q9XAR5 rồi bấm Gửi</t>
        </is>
      </c>
      <c r="E26" s="8" t="inlineStr">
        <is>
          <t>Lỗi mạng ở cả 3 lần</t>
        </is>
      </c>
      <c r="F26" s="8" t="inlineStr">
        <is>
          <t>Hiện "Không kết nối được, thử lại.", nút đổi thành Thử lại; lần 2 dùng cùng client_uuid; lần 3 dùng client_uuid mới; không tự gửi lại trong nền</t>
        </is>
      </c>
      <c r="G26" s="8" t="inlineStr">
        <is>
          <t>client_uuid lần 1 = lần 2, lần 3 khác; sau 1 phút vẫn 3 request</t>
        </is>
      </c>
      <c r="H26" s="7" t="inlineStr">
        <is>
          <t>Pass</t>
        </is>
      </c>
      <c r="I26" s="8" t="inlineStr">
        <is>
          <t>AC7 · EP (Phản hồi 10) · Đoán lỗi (mất mạng) · enter_link_code_screen_test: AC7</t>
        </is>
      </c>
    </row>
    <row r="27" ht="74" customHeight="1">
      <c r="A27" s="7" t="inlineStr">
        <is>
          <t>TC-LINKFOLLOW-16</t>
        </is>
      </c>
      <c r="B27" s="7" t="inlineStr">
        <is>
          <t>Phiên hết hạn khi gửi yêu cầu</t>
        </is>
      </c>
      <c r="C27" s="8" t="inlineStr">
        <is>
          <t>Token đã hết hạn</t>
        </is>
      </c>
      <c r="D27" s="8" t="inlineStr">
        <is>
          <t>1. Bấm Gửi yêu cầu</t>
        </is>
      </c>
      <c r="E27" s="8" t="inlineStr">
        <is>
          <t>Server trả 401</t>
        </is>
      </c>
      <c r="F27" s="8" t="inlineStr">
        <is>
          <t>App về màn Đăng nhập (onUnauthorized); không hiện lỗi về mã</t>
        </is>
      </c>
      <c r="G27" s="8" t="inlineStr">
        <is>
          <t>onUnauthorized được gọi 1 lần; controller không có lỗi hiển thị</t>
        </is>
      </c>
      <c r="H27" s="7" t="inlineStr">
        <is>
          <t>Pass</t>
        </is>
      </c>
      <c r="I27" s="8" t="inlineStr">
        <is>
          <t>AC8 · EP (Phản hồi 11) · remote_family_link_repository_test, link_request_controller_test: AC8</t>
        </is>
      </c>
    </row>
    <row r="28" ht="74" customHeight="1">
      <c r="A28" s="7" t="inlineStr">
        <is>
          <t>TC-LINKFOLLOW-17</t>
        </is>
      </c>
      <c r="B28" s="7" t="inlineStr">
        <is>
          <t>Gửi request đúng contract 3.13</t>
        </is>
      </c>
      <c r="C28" s="8" t="inlineStr">
        <is>
          <t>HTTP server giả</t>
        </is>
      </c>
      <c r="D28" s="8" t="inlineStr">
        <is>
          <t>1. Gửi mã K7M2Q9XAR4 qua repository Remote</t>
        </is>
      </c>
      <c r="E28" s="8" t="inlineStr">
        <is>
          <t>client_uuid 9b2e4c71-5d3a-4f8e-a1c6-7e0d2b9f4a58</t>
        </is>
      </c>
      <c r="F28" s="8" t="inlineStr">
        <is>
          <t>POST /family/link-requests, body đúng {client_uuid, code}, header Authorization: Bearer; mọi cặp mã trạng thái/detail được ánh xạ; detail lạ → không xác định</t>
        </is>
      </c>
      <c r="G28" s="8" t="inlineStr">
        <is>
          <t>9/9 test của repository Remote pass</t>
        </is>
      </c>
      <c r="H28" s="7" t="inlineStr">
        <is>
          <t>Pass</t>
        </is>
      </c>
      <c r="I28" s="8" t="inlineStr">
        <is>
          <t>AC9 · remote_family_link_repository_test</t>
        </is>
      </c>
    </row>
    <row r="29" ht="41" customHeight="1">
      <c r="A29" s="7" t="inlineStr">
        <is>
          <t>TC-LINKFOLLOW-18</t>
        </is>
      </c>
      <c r="B29" s="7" t="inlineStr">
        <is>
          <t>Từ chối quyền camera</t>
        </is>
      </c>
      <c r="C29" s="8" t="inlineStr">
        <is>
          <t>Quyền camera ở trạng thái bị từ chối</t>
        </is>
      </c>
      <c r="D29" s="8" t="inlineStr">
        <is>
          <t>1. Mở màn Quét mã QR
2. Bấm Cho phép camera sau khi bật quyền</t>
        </is>
      </c>
      <c r="E29" s="8" t="inlineStr">
        <is>
          <t>(không có)</t>
        </is>
      </c>
      <c r="F29" s="8" t="inlineStr">
        <is>
          <t>Không crash; hiện "Chưa có quyền dùng camera", nút Nhập mã; xin lại được</t>
        </is>
      </c>
      <c r="G29" s="8" t="inlineStr">
        <is>
          <t>Hiện giải thích và nút Nhập mã; sau khi cấp quyền camera hiện</t>
        </is>
      </c>
      <c r="H29" s="7" t="inlineStr">
        <is>
          <t>Pass</t>
        </is>
      </c>
      <c r="I29" s="8" t="inlineStr">
        <is>
          <t>AC10 · Đoán lỗi · scan_link_qr_screen_test: AC10</t>
        </is>
      </c>
    </row>
    <row r="30" ht="57.5" customHeight="1">
      <c r="A30" s="7" t="inlineStr">
        <is>
          <t>TC-LINKFOLLOW-19</t>
        </is>
      </c>
      <c r="B30" s="7" t="inlineStr">
        <is>
          <t>Quyền camera bị từ chối vĩnh viễn</t>
        </is>
      </c>
      <c r="C30" s="8" t="inlineStr">
        <is>
          <t>Quyền camera bị từ chối vĩnh viễn</t>
        </is>
      </c>
      <c r="D30" s="8" t="inlineStr">
        <is>
          <t>1. Mở màn Quét mã QR
2. Bấm Mở Cài đặt
3. Bấm Nhập mã</t>
        </is>
      </c>
      <c r="E30" s="8" t="inlineStr">
        <is>
          <t>(không có)</t>
        </is>
      </c>
      <c r="F30" s="8" t="inlineStr">
        <is>
          <t>Có nút Mở Cài đặt mở trang cài đặt app; Nhập mã mở màn nhập mã</t>
        </is>
      </c>
      <c r="G30" s="8" t="inlineStr">
        <is>
          <t>openSettings được gọi 1 lần; mở màn nhập mã</t>
        </is>
      </c>
      <c r="H30" s="7" t="inlineStr">
        <is>
          <t>Pass</t>
        </is>
      </c>
      <c r="I30" s="8" t="inlineStr">
        <is>
          <t>AC10 · scan_link_qr_screen_test: AC10</t>
        </is>
      </c>
    </row>
    <row r="31" ht="74" customHeight="1">
      <c r="A31" s="7" t="inlineStr">
        <is>
          <t>TC-LINKFOLLOW-20</t>
        </is>
      </c>
      <c r="B31" s="7" t="inlineStr">
        <is>
          <t>Chọn cách theo dõi người thân từ tab Người thân</t>
        </is>
      </c>
      <c r="C31" s="8" t="inlineStr">
        <is>
          <t>Đã đăng nhập</t>
        </is>
      </c>
      <c r="D31" s="8" t="inlineStr">
        <is>
          <t>1. Mở tab Người thân
2. Bấm Theo dõi người thân
3. Chọn Quét mã QR / Nhập mã
4. Từ màn quét bấm Nhập mã</t>
        </is>
      </c>
      <c r="E31" s="8" t="inlineStr">
        <is>
          <t>(không có)</t>
        </is>
      </c>
      <c r="F31" s="8" t="inlineStr">
        <is>
          <t>Sheet có hai lựa chọn; mỗi lựa chọn mở đúng màn; từ màn quét sang được màn nhập mã</t>
        </is>
      </c>
      <c r="G31" s="8" t="inlineStr">
        <is>
          <t>Đúng cả ba</t>
        </is>
      </c>
      <c r="H31" s="7" t="inlineStr">
        <is>
          <t>Pass</t>
        </is>
      </c>
      <c r="I31" s="8" t="inlineStr">
        <is>
          <t>AC11 · family_tab_screen_test, scan_link_qr_screen_test: AC11</t>
        </is>
      </c>
    </row>
    <row r="32" ht="41" customHeight="1">
      <c r="A32" s="7" t="inlineStr">
        <is>
          <t>TC-LINKFOLLOW-21</t>
        </is>
      </c>
      <c r="B32" s="7" t="inlineStr">
        <is>
          <t>Mở link mời khi đã đăng nhập</t>
        </is>
      </c>
      <c r="C32" s="8" t="inlineStr">
        <is>
          <t>Đã đăng nhập, app đang ở Trang chủ</t>
        </is>
      </c>
      <c r="D32" s="8" t="inlineStr">
        <is>
          <t>1. Mở link mời từ bên ngoài app</t>
        </is>
      </c>
      <c r="E32" s="8" t="inlineStr">
        <is>
          <t>https://drug-time-frontend.vercel.app/link#code=K7M2Q9XAR4</t>
        </is>
      </c>
      <c r="F32" s="8" t="inlineStr">
        <is>
          <t>App mở màn Nhập mã đã điền K7M2 Q9XA R4; chưa gửi cho tới khi bấm Gửi</t>
        </is>
      </c>
      <c r="G32" s="8" t="inlineStr">
        <is>
          <t>Màn nhập mã điền sẵn, repository 0 lần; bấm Gửi thì 1 lần</t>
        </is>
      </c>
      <c r="H32" s="7" t="inlineStr">
        <is>
          <t>Pass</t>
        </is>
      </c>
      <c r="I32" s="8" t="inlineStr">
        <is>
          <t>AC16 · invite_link_flow_test</t>
        </is>
      </c>
    </row>
    <row r="33" ht="41" customHeight="1">
      <c r="A33" s="7" t="inlineStr">
        <is>
          <t>TC-LINKFOLLOW-22</t>
        </is>
      </c>
      <c r="B33" s="7" t="inlineStr">
        <is>
          <t>Mở link mời khi chưa đăng nhập</t>
        </is>
      </c>
      <c r="C33" s="8" t="inlineStr">
        <is>
          <t>Chưa đăng nhập, đang ở màn nhập OTP</t>
        </is>
      </c>
      <c r="D33" s="8" t="inlineStr">
        <is>
          <t>1. Mở link mời
2. Nhập OTP 123456</t>
        </is>
      </c>
      <c r="E33" s="8" t="inlineStr">
        <is>
          <t>https://drug-time-frontend.vercel.app/link#code=K7M2Q9XAR4</t>
        </is>
      </c>
      <c r="F33" s="8" t="inlineStr">
        <is>
          <t>Link chờ tới khi đăng nhập xong; sau đó mở màn nhập mã đúng mã, chưa gửi</t>
        </is>
      </c>
      <c r="G33" s="8" t="inlineStr">
        <is>
          <t>Sau OTP hiện màn nhập mã K7M2 Q9XA R4, repository 0 lần</t>
        </is>
      </c>
      <c r="H33" s="7" t="inlineStr">
        <is>
          <t>Pass</t>
        </is>
      </c>
      <c r="I33" s="8" t="inlineStr">
        <is>
          <t>AC16 · invite_link_flow_test</t>
        </is>
      </c>
    </row>
    <row r="34" ht="41" customHeight="1">
      <c r="A34" s="7" t="inlineStr">
        <is>
          <t>TC-LINKFOLLOW-23</t>
        </is>
      </c>
      <c r="B34" s="7" t="inlineStr">
        <is>
          <t>Mở link mời sai định dạng</t>
        </is>
      </c>
      <c r="C34" s="8" t="inlineStr">
        <is>
          <t>Đã đăng nhập</t>
        </is>
      </c>
      <c r="D34" s="8" t="inlineStr">
        <is>
          <t>1. Mở link mời trong Test Data</t>
        </is>
      </c>
      <c r="E34" s="8" t="inlineStr">
        <is>
          <t>https://drug-time-frontend.vercel.app/link#code=K7M2Q9XAR0</t>
        </is>
      </c>
      <c r="F34" s="8" t="inlineStr">
        <is>
          <t>Màn nhập mã trống kèm "Link mời không hợp lệ."</t>
        </is>
      </c>
      <c r="G34" s="8" t="inlineStr">
        <is>
          <t>Hiện đúng câu, ô trống</t>
        </is>
      </c>
      <c r="H34" s="7" t="inlineStr">
        <is>
          <t>Pass</t>
        </is>
      </c>
      <c r="I34" s="8" t="inlineStr">
        <is>
          <t>AC15, AC16 · invite_link_flow_test, link_code_test: AC15</t>
        </is>
      </c>
    </row>
    <row r="35" ht="57.5" customHeight="1">
      <c r="A35" s="7" t="inlineStr">
        <is>
          <t>TC-LINKFOLLOW-24</t>
        </is>
      </c>
      <c r="B35" s="7" t="inlineStr">
        <is>
          <t>Không lưu mã liên kết xuống máy hay log</t>
        </is>
      </c>
      <c r="C35" s="8" t="inlineStr">
        <is>
          <t>Đã nhập mã hợp lệ</t>
        </is>
      </c>
      <c r="D35" s="8" t="inlineStr">
        <is>
          <t>1. Bấm Gửi (lỗi mạng)
2. Bấm Thử lại
3. Rà code tìm print/debugPrint/log và storage</t>
        </is>
      </c>
      <c r="E35" s="8" t="inlineStr">
        <is>
          <t>K7M2Q9XAR4</t>
        </is>
      </c>
      <c r="F35" s="8" t="inlineStr">
        <is>
          <t>Không có lời gọi secure storage hay SQLite; không có lệnh log nào in mã</t>
        </is>
      </c>
      <c r="G35" s="8" t="inlineStr">
        <is>
          <t>0 lời gọi kênh flutter_secure_storage/sqflite; grep sạch</t>
        </is>
      </c>
      <c r="H35" s="7" t="inlineStr">
        <is>
          <t>Pass</t>
        </is>
      </c>
      <c r="I35" s="8" t="inlineStr">
        <is>
          <t>AC13 · Bảo mật · enter_link_code_screen_test: AC13 · evidence/implement-ac13-grep.log</t>
        </is>
      </c>
    </row>
    <row r="36" ht="74" customHeight="1">
      <c r="A36" s="7" t="inlineStr">
        <is>
          <t>TC-LINKFOLLOW-25</t>
        </is>
      </c>
      <c r="B36" s="7" t="inlineStr">
        <is>
          <t>Quét QR thật trên Android và kiểm DB</t>
        </is>
      </c>
      <c r="C36" s="8" t="inlineStr">
        <is>
          <t>Thiết bị Android thật; backend main chạy local; patient đã đồng ý family_sharing và đang hiện QR</t>
        </is>
      </c>
      <c r="D36" s="8" t="inlineStr">
        <is>
          <t>1. Người thân quét QR của patient
2. Kiểm caregiver_links trong DB
3. Quét lại cùng QR</t>
        </is>
      </c>
      <c r="E36" s="8" t="inlineStr">
        <is>
          <t>QR từ màn Mã liên kết của tôi</t>
        </is>
      </c>
      <c r="F36" s="8" t="inlineStr">
        <is>
          <t>Hiện màn chờ; DB có 1 dòng caregiver_links pending cho đúng cặp; lần quét 2 vẫn hiện màn chờ và DB không thêm dòng</t>
        </is>
      </c>
      <c r="G36" s="8" t="inlineStr"/>
      <c r="H36" s="7" t="inlineStr">
        <is>
          <t>Pending</t>
        </is>
      </c>
      <c r="I36" s="8" t="inlineStr">
        <is>
          <t>AC12 · manual (cần camera, thiết bị, backend)</t>
        </is>
      </c>
    </row>
    <row r="37" ht="41" customHeight="1">
      <c r="A37" s="7" t="inlineStr">
        <is>
          <t>TC-LINKFOLLOW-26</t>
        </is>
      </c>
      <c r="B37" s="7" t="inlineStr">
        <is>
          <t>Bật tắt đèn flash khi quét</t>
        </is>
      </c>
      <c r="C37" s="8" t="inlineStr">
        <is>
          <t>Thiết bị có đèn flash, đang ở màn quét</t>
        </is>
      </c>
      <c r="D37" s="8" t="inlineStr">
        <is>
          <t>1. Bấm nút đèn
2. Bấm lại</t>
        </is>
      </c>
      <c r="E37" s="8" t="inlineStr">
        <is>
          <t>(không có)</t>
        </is>
      </c>
      <c r="F37" s="8" t="inlineStr">
        <is>
          <t>Đèn bật rồi tắt; icon đổi tương ứng</t>
        </is>
      </c>
      <c r="G37" s="8" t="inlineStr"/>
      <c r="H37" s="7" t="inlineStr">
        <is>
          <t>Pending</t>
        </is>
      </c>
      <c r="I37" s="8" t="inlineStr">
        <is>
          <t>AC12 · manual</t>
        </is>
      </c>
    </row>
    <row r="38" ht="74" customHeight="1">
      <c r="A38" s="7" t="inlineStr">
        <is>
          <t>TC-LINKFOLLOW-27</t>
        </is>
      </c>
      <c r="B38" s="7" t="inlineStr">
        <is>
          <t>Từ chối quyền camera trên máy thật</t>
        </is>
      </c>
      <c r="C38" s="8" t="inlineStr">
        <is>
          <t>App mới cài trên Android thật</t>
        </is>
      </c>
      <c r="D38" s="8" t="inlineStr">
        <is>
          <t>1. Mở màn quét, chọn Không cho phép
2. Mở lại, chọn Không cho phép và không hỏi lại
3. Bấm Mở Cài đặt</t>
        </is>
      </c>
      <c r="E38" s="8" t="inlineStr">
        <is>
          <t>(không có)</t>
        </is>
      </c>
      <c r="F38" s="8" t="inlineStr">
        <is>
          <t>Không crash; lần 2 có nút Mở Cài đặt mở đúng trang cài đặt DrugTime</t>
        </is>
      </c>
      <c r="G38" s="8" t="inlineStr"/>
      <c r="H38" s="7" t="inlineStr">
        <is>
          <t>Pending</t>
        </is>
      </c>
      <c r="I38" s="8" t="inlineStr">
        <is>
          <t>AC10 · manual</t>
        </is>
      </c>
    </row>
    <row r="39" ht="57.5" customHeight="1">
      <c r="A39" s="7" t="inlineStr">
        <is>
          <t>TC-LINKFOLLOW-28</t>
        </is>
      </c>
      <c r="B39" s="7" t="inlineStr">
        <is>
          <t>App bị ẩn rồi hiện lại khi hộp thoại xin quyền camera còn mở</t>
        </is>
      </c>
      <c r="C39" s="8" t="inlineStr">
        <is>
          <t>Mở màn Quét mã QR lần đầu, hộp thoại xin quyền camera đang hiện</t>
        </is>
      </c>
      <c r="D39" s="8" t="inlineStr">
        <is>
          <t>1. App chuyển inactive rồi resumed (hộp thoại che màn hình)
2. Chọn Cho phép trong hộp thoại</t>
        </is>
      </c>
      <c r="E39" s="8" t="inlineStr">
        <is>
          <t>(không có)</t>
        </is>
      </c>
      <c r="F39" s="8" t="inlineStr">
        <is>
          <t>Chỉ có đúng một yêu cầu xin quyền; sau khi cho phép thì camera hiện</t>
        </is>
      </c>
      <c r="G39" s="8" t="inlineStr">
        <is>
          <t>Số lần xin quyền giữ ở 1 sau resumed và sau khi trả kết quả; scanner hiện</t>
        </is>
      </c>
      <c r="H39" s="7" t="inlineStr">
        <is>
          <t>Pass</t>
        </is>
      </c>
      <c r="I39" s="8" t="inlineStr">
        <is>
          <t>AC10 · Đoán lỗi (review M1) · scan_link_qr_screen_test: AC10 (M1) resumed</t>
        </is>
      </c>
    </row>
    <row r="40" ht="57.5" customHeight="1">
      <c r="A40" s="7" t="inlineStr">
        <is>
          <t>TC-LINKFOLLOW-29</t>
        </is>
      </c>
      <c r="B40" s="7" t="inlineStr">
        <is>
          <t>Xin quyền camera bị lỗi nền tảng</t>
        </is>
      </c>
      <c r="C40" s="8" t="inlineStr">
        <is>
          <t>Plugin quyền ném lỗi khi xin quyền</t>
        </is>
      </c>
      <c r="D40" s="8" t="inlineStr">
        <is>
          <t>1. Mở màn Quét mã QR</t>
        </is>
      </c>
      <c r="E40" s="8" t="inlineStr">
        <is>
          <t>PlatformException ERROR_ALREADY_REQUESTING_PERMISSIONS</t>
        </is>
      </c>
      <c r="F40" s="8" t="inlineStr">
        <is>
          <t>Không kẹt ở vòng xoay; hiện "Chưa có quyền dùng camera" và nút Nhập mã</t>
        </is>
      </c>
      <c r="G40" s="8" t="inlineStr">
        <is>
          <t>Không còn vòng xoay; hiện giải thích và nút Nhập mã</t>
        </is>
      </c>
      <c r="H40" s="7" t="inlineStr">
        <is>
          <t>Pass</t>
        </is>
      </c>
      <c r="I40" s="8" t="inlineStr">
        <is>
          <t>AC10 · Đoán lỗi (review M1) · scan_link_qr_screen_test: AC10 (M1) lỗi nền tảng</t>
        </is>
      </c>
    </row>
    <row r="41" ht="57.5" customHeight="1">
      <c r="A41" s="7" t="inlineStr">
        <is>
          <t>TC-LINKFOLLOW-30</t>
        </is>
      </c>
      <c r="B41" s="7" t="inlineStr">
        <is>
          <t>Chỉ kiểm lại quyền camera khi quay về từ Cài đặt</t>
        </is>
      </c>
      <c r="C41" s="8" t="inlineStr">
        <is>
          <t>Quyền camera bị từ chối vĩnh viễn, đang ở màn quét</t>
        </is>
      </c>
      <c r="D41" s="8" t="inlineStr">
        <is>
          <t>1. Ẩn rồi hiện lại app mà không bấm Mở Cài đặt
2. Bấm Mở Cài đặt, bật quyền camera, quay lại app</t>
        </is>
      </c>
      <c r="E41" s="8" t="inlineStr">
        <is>
          <t>(không có)</t>
        </is>
      </c>
      <c r="F41" s="8" t="inlineStr">
        <is>
          <t>Bước 1 không xin quyền thêm; bước 2 kiểm lại quyền đúng một lần và camera hiện</t>
        </is>
      </c>
      <c r="G41" s="8" t="inlineStr">
        <is>
          <t>Bước 1 số lần xin quyền vẫn 1; bước 2 thành 2 và scanner hiện</t>
        </is>
      </c>
      <c r="H41" s="7" t="inlineStr">
        <is>
          <t>Pass</t>
        </is>
      </c>
      <c r="I41" s="8" t="inlineStr">
        <is>
          <t>AC10 · Đoán lỗi (review M1) · scan_link_qr_screen_test: AC10 (M1) Cài đặt</t>
        </is>
      </c>
    </row>
    <row r="42" ht="74" customHeight="1">
      <c r="A42" s="7" t="inlineStr">
        <is>
          <t>TC-LINKFOLLOW-31</t>
        </is>
      </c>
      <c r="B42" s="7" t="inlineStr">
        <is>
          <t>Sửa mã khi đang bị khóa vì nhập sai hoặc đủ yêu cầu trong ngày</t>
        </is>
      </c>
      <c r="C42" s="8" t="inlineStr">
        <is>
          <t>Đã gửi K7M2Q9XAR4 và bị khóa</t>
        </is>
      </c>
      <c r="D42" s="8" t="inlineStr">
        <is>
          <t>1. Sửa mã thành K7M2Q9XAR5
2. Chờ hết thời gian khóa</t>
        </is>
      </c>
      <c r="E42" s="8" t="inlineStr">
        <is>
          <t>Server trả 429 link_request_locked, Retry-After: 900; 429 link_request_daily_limit, Retry-After: 60</t>
        </is>
      </c>
      <c r="F42" s="8" t="inlineStr">
        <is>
          <t>Câu báo và thời gian chờ vẫn hiện, nút Gửi vẫn tắt; hết giờ nút bật lại, không tự gửi</t>
        </is>
      </c>
      <c r="G42" s="8" t="inlineStr">
        <is>
          <t>Vẫn hiện "Bạn đã nhập sai mã nhiều lần. Thử lại sau 15:00.", nút tắt; daily_limit giữ 60 giây rồi mở lại, repository 1 lần gọi</t>
        </is>
      </c>
      <c r="H42" s="7" t="inlineStr">
        <is>
          <t>Pass</t>
        </is>
      </c>
      <c r="I42" s="8" t="inlineStr">
        <is>
          <t>AC20 · Đoán lỗi (review M2) · enter_link_code_screen_test: AC20 (M2); link_request_controller_test: AC20 (M2) daily_limit</t>
        </is>
      </c>
    </row>
    <row r="43" ht="57.5" customHeight="1">
      <c r="A43" s="7" t="inlineStr">
        <is>
          <t>TC-LINKFOLLOW-32</t>
        </is>
      </c>
      <c r="B43" s="7" t="inlineStr">
        <is>
          <t>Sửa sang mã khác khi bị chặn vì patient cũ từ chối nhiều lần</t>
        </is>
      </c>
      <c r="C43" s="8" t="inlineStr">
        <is>
          <t>Đã gửi K7M2Q9XAR4 và bị chặn</t>
        </is>
      </c>
      <c r="D43" s="8" t="inlineStr">
        <is>
          <t>1. Sửa mã thành K7M2Q9XAR5</t>
        </is>
      </c>
      <c r="E43" s="8" t="inlineStr">
        <is>
          <t>Server trả 429 link_request_cooldown, Retry-After: 86400</t>
        </is>
      </c>
      <c r="F43" s="8" t="inlineStr">
        <is>
          <t>Câu báo và đếm ngược biến mất; nút Gửi bật (chặn chỉ áp cho patient cũ)</t>
        </is>
      </c>
      <c r="G43" s="8" t="inlineStr">
        <is>
          <t>Không còn lỗi, không còn đếm ngược, nút bật</t>
        </is>
      </c>
      <c r="H43" s="7" t="inlineStr">
        <is>
          <t>Pass</t>
        </is>
      </c>
      <c r="I43" s="8" t="inlineStr">
        <is>
          <t>AC20 · Đoán lỗi (review M2) · link_request_controller_test: AC20 (M2) cooldown</t>
        </is>
      </c>
    </row>
    <row r="44"/>
    <row r="45"/>
    <row r="46">
      <c r="G46" s="12" t="inlineStr">
        <is>
          <t>Pass</t>
        </is>
      </c>
      <c r="H46" s="13">
        <f>COUNTIF(H9:H43,"Pass")</f>
        <v/>
      </c>
    </row>
    <row r="47">
      <c r="G47" s="12" t="inlineStr">
        <is>
          <t>Fail</t>
        </is>
      </c>
      <c r="H47" s="13">
        <f>COUNTIF(H9:H43,"Fail")</f>
        <v/>
      </c>
    </row>
    <row r="48">
      <c r="G48" s="12" t="inlineStr">
        <is>
          <t>Pending</t>
        </is>
      </c>
      <c r="H48" s="13">
        <f>COUNTIF(H9:H43,"Pending")</f>
        <v/>
      </c>
    </row>
    <row r="49">
      <c r="G49" s="12" t="inlineStr">
        <is>
          <t>Total</t>
        </is>
      </c>
      <c r="H49" s="13">
        <f>SUM(H46:H48)</f>
        <v/>
      </c>
    </row>
  </sheetData>
  <autoFilter ref="A8:I43"/>
  <conditionalFormatting sqref="H9:H43">
    <cfRule type="cellIs" priority="1" operator="equal" dxfId="0">
      <formula>"Fail"</formula>
    </cfRule>
  </conditionalFormatting>
  <dataValidations count="1">
    <dataValidation sqref="H9:H43" showDropDown="0" showInputMessage="0" showErrorMessage="0" allowBlank="0" type="list">
      <formula1>"Pass,Fail,Pending"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Gửi và mở link mời người thân (INVITELINK)</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c r="Q7" s="4" t="inlineStr">
        <is>
          <t>Màn Gửi link mời</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TC-INVITELINK-01</t>
        </is>
      </c>
      <c r="B9" s="7" t="inlineStr">
        <is>
          <t>Mở Gửi link mời và xem link</t>
        </is>
      </c>
      <c r="C9" s="8" t="inlineStr">
        <is>
          <t>Đã đăng nhập, đã đồng ý family_sharing, mã của tài khoản là K7M2Q9XAR4</t>
        </is>
      </c>
      <c r="D9" s="8" t="inlineStr">
        <is>
          <t>1. Tab Người thân → Gửi link mời</t>
        </is>
      </c>
      <c r="E9" s="8" t="inlineStr">
        <is>
          <t>Mã K7M2Q9XAR4</t>
        </is>
      </c>
      <c r="F9" s="8" t="inlineStr">
        <is>
          <t>Hiện https://drug-time-frontend.vercel.app/link#code=K7M2Q9XAR4; không có cảnh báo</t>
        </is>
      </c>
      <c r="G9" s="8" t="inlineStr">
        <is>
          <t>Hiện đúng link; không có cảnh báo</t>
        </is>
      </c>
      <c r="H9" s="7" t="inlineStr">
        <is>
          <t>Pass</t>
        </is>
      </c>
      <c r="I9" s="8" t="inlineStr">
        <is>
          <t>AC22, AC23 · Decision Table (R1) · share_invite_link_screen_test</t>
        </is>
      </c>
      <c r="K9" s="9" t="inlineStr">
        <is>
          <t>Phần #code của link</t>
        </is>
      </c>
      <c r="L9" s="10" t="inlineStr">
        <is>
          <t>#code=&lt;10 ký tự hợp lệ&gt;</t>
        </is>
      </c>
      <c r="M9" s="10" t="inlineStr">
        <is>
          <t>1</t>
        </is>
      </c>
      <c r="N9" s="10" t="inlineStr">
        <is>
          <t>Thiếu #
Thiếu code hoặc code rỗng
Chữ thường
Có 0/O
Sai độ dài
Chứa ký tự HTML</t>
        </is>
      </c>
      <c r="O9" s="10" t="inlineStr">
        <is>
          <t>2
3
4
5
6
7</t>
        </is>
      </c>
      <c r="Q9" s="10" t="inlineStr">
        <is>
          <t>Tải được mã?</t>
        </is>
      </c>
      <c r="R9" s="11" t="inlineStr">
        <is>
          <t>Yes</t>
        </is>
      </c>
      <c r="S9" s="11" t="inlineStr">
        <is>
          <t>Yes</t>
        </is>
      </c>
      <c r="T9" s="11" t="inlineStr">
        <is>
          <t>No</t>
        </is>
      </c>
    </row>
    <row r="10" ht="41" customHeight="1">
      <c r="A10" s="7" t="inlineStr">
        <is>
          <t>TC-INVITELINK-02</t>
        </is>
      </c>
      <c r="B10" s="7" t="inlineStr">
        <is>
          <t>Chia sẻ link mời</t>
        </is>
      </c>
      <c r="C10" s="8" t="inlineStr">
        <is>
          <t>Đang ở màn Gửi link mời</t>
        </is>
      </c>
      <c r="D10" s="8" t="inlineStr">
        <is>
          <t>1. Bấm Chia sẻ</t>
        </is>
      </c>
      <c r="E10" s="8" t="inlineStr">
        <is>
          <t>Mã K7M2Q9XAR4</t>
        </is>
      </c>
      <c r="F10" s="8" t="inlineStr">
        <is>
          <t>Bảng chia sẻ nhận đúng một chuỗi: câu mời + link; không có tên hay thông tin hồ sơ</t>
        </is>
      </c>
      <c r="G10" s="8" t="inlineStr">
        <is>
          <t>Sharer giả nhận 1 chuỗi đúng inviteShareText(link)</t>
        </is>
      </c>
      <c r="H10" s="7" t="inlineStr">
        <is>
          <t>Pass</t>
        </is>
      </c>
      <c r="I10" s="8" t="inlineStr">
        <is>
          <t>AC22 · share_invite_link_screen_test</t>
        </is>
      </c>
      <c r="Q10" s="10" t="inlineStr">
        <is>
          <t>Đã đồng ý family_sharing?</t>
        </is>
      </c>
      <c r="R10" s="11" t="inlineStr">
        <is>
          <t>Yes</t>
        </is>
      </c>
      <c r="S10" s="11" t="inlineStr">
        <is>
          <t>No</t>
        </is>
      </c>
      <c r="T10" s="11" t="inlineStr">
        <is>
          <t>-</t>
        </is>
      </c>
    </row>
    <row r="11" ht="41" customHeight="1">
      <c r="A11" s="7" t="inlineStr">
        <is>
          <t>TC-INVITELINK-03</t>
        </is>
      </c>
      <c r="B11" s="7" t="inlineStr">
        <is>
          <t>Sao chép link mời</t>
        </is>
      </c>
      <c r="C11" s="8" t="inlineStr">
        <is>
          <t>Đang ở màn Gửi link mời</t>
        </is>
      </c>
      <c r="D11" s="8" t="inlineStr">
        <is>
          <t>1. Bấm Sao chép link</t>
        </is>
      </c>
      <c r="E11" s="8" t="inlineStr">
        <is>
          <t>Mã K7M2Q9XAR4</t>
        </is>
      </c>
      <c r="F11" s="8" t="inlineStr">
        <is>
          <t>Clipboard chứa đúng link; hiện "Đã sao chép link"</t>
        </is>
      </c>
      <c r="G11" s="8" t="inlineStr">
        <is>
          <t>Clipboard.setData nhận đúng link; SnackBar hiện</t>
        </is>
      </c>
      <c r="H11" s="7" t="inlineStr">
        <is>
          <t>Pass</t>
        </is>
      </c>
      <c r="I11" s="8" t="inlineStr">
        <is>
          <t>AC22 · share_invite_link_screen_test</t>
        </is>
      </c>
      <c r="Q11" s="6" t="inlineStr">
        <is>
          <t>Action</t>
        </is>
      </c>
      <c r="R11" s="5" t="inlineStr">
        <is>
          <t>R1</t>
        </is>
      </c>
      <c r="S11" s="5" t="inlineStr">
        <is>
          <t>R2</t>
        </is>
      </c>
      <c r="T11" s="5" t="inlineStr">
        <is>
          <t>R3</t>
        </is>
      </c>
    </row>
    <row r="12" ht="57.5" customHeight="1">
      <c r="A12" s="7" t="inlineStr">
        <is>
          <t>TC-INVITELINK-04</t>
        </is>
      </c>
      <c r="B12" s="7" t="inlineStr">
        <is>
          <t>Gửi link khi chưa bật chia sẻ với gia đình</t>
        </is>
      </c>
      <c r="C12" s="8" t="inlineStr">
        <is>
          <t>Chưa đồng ý family_sharing</t>
        </is>
      </c>
      <c r="D12" s="8" t="inlineStr">
        <is>
          <t>1. Mở Gửi link mời
2. Bấm Mở Quyền riêng tư</t>
        </is>
      </c>
      <c r="E12" s="8" t="inlineStr">
        <is>
          <t>(không có)</t>
        </is>
      </c>
      <c r="F12" s="8" t="inlineStr">
        <is>
          <t>Có cảnh báo người thân chưa gửi được yêu cầu; vẫn có nút Chia sẻ; mở được màn Quyền riêng tư</t>
        </is>
      </c>
      <c r="G12" s="8" t="inlineStr">
        <is>
          <t>Có cảnh báo và nút Chia sẻ; mở PrivacySettingsScreen</t>
        </is>
      </c>
      <c r="H12" s="7" t="inlineStr">
        <is>
          <t>Pass</t>
        </is>
      </c>
      <c r="I12" s="8" t="inlineStr">
        <is>
          <t>AC23 · Decision Table (R2) · share_invite_link_screen_test</t>
        </is>
      </c>
      <c r="Q12" s="10" t="inlineStr">
        <is>
          <t>Hiện link, Chia sẻ, Sao chép</t>
        </is>
      </c>
      <c r="R12" s="11" t="inlineStr">
        <is>
          <t>X</t>
        </is>
      </c>
      <c r="S12" s="11" t="inlineStr">
        <is>
          <t>X</t>
        </is>
      </c>
      <c r="T12" s="11" t="inlineStr"/>
    </row>
    <row r="13" ht="57.5" customHeight="1">
      <c r="A13" s="7" t="inlineStr">
        <is>
          <t>TC-INVITELINK-05</t>
        </is>
      </c>
      <c r="B13" s="7" t="inlineStr">
        <is>
          <t>Không tải được mã liên kết</t>
        </is>
      </c>
      <c r="C13" s="8" t="inlineStr">
        <is>
          <t>GET /family/link-code lỗi (503)</t>
        </is>
      </c>
      <c r="D13" s="8" t="inlineStr">
        <is>
          <t>1. Mở Gửi link mời
2. Bấm Thử lại khi server đã ổn</t>
        </is>
      </c>
      <c r="E13" s="8" t="inlineStr">
        <is>
          <t>Lần 1: lỗi unavailable; lần 2: mã K7M2Q9XAR4</t>
        </is>
      </c>
      <c r="F13" s="8" t="inlineStr">
        <is>
          <t>Lần 1: "Chưa thể tải link mời. Vui lòng thử lại.", không có link, không có nút chia sẻ/sao chép; sau Thử lại hiện link</t>
        </is>
      </c>
      <c r="G13" s="8" t="inlineStr">
        <is>
          <t>Đúng cả hai lần</t>
        </is>
      </c>
      <c r="H13" s="7" t="inlineStr">
        <is>
          <t>Pass</t>
        </is>
      </c>
      <c r="I13" s="8" t="inlineStr">
        <is>
          <t>AC23 · Decision Table (R3) · share_invite_link_screen_test</t>
        </is>
      </c>
      <c r="Q13" s="10" t="inlineStr">
        <is>
          <t>Cảnh báo + lối sang Quyền riêng tư</t>
        </is>
      </c>
      <c r="R13" s="11" t="inlineStr"/>
      <c r="S13" s="11" t="inlineStr">
        <is>
          <t>X</t>
        </is>
      </c>
      <c r="T13" s="11" t="inlineStr"/>
    </row>
    <row r="14" ht="57.5" customHeight="1">
      <c r="A14" s="7" t="inlineStr">
        <is>
          <t>TC-INVITELINK-06</t>
        </is>
      </c>
      <c r="B14" s="7" t="inlineStr">
        <is>
          <t>Ghép link và đọc ngược ra mã</t>
        </is>
      </c>
      <c r="C14" s="8" t="inlineStr">
        <is>
          <t>Không</t>
        </is>
      </c>
      <c r="D14" s="8" t="inlineStr">
        <is>
          <t>1. Ghép link từ mã
2. Đọc lại mã từ link</t>
        </is>
      </c>
      <c r="E14" s="8" t="inlineStr">
        <is>
          <t>K7M2Q9XAR4, host drug-time-frontend.vercel.app</t>
        </is>
      </c>
      <c r="F14" s="8" t="inlineStr">
        <is>
          <t>Link https://drug-time-frontend.vercel.app/link#code=K7M2Q9XAR4; đọc lại được K7M2Q9XAR4</t>
        </is>
      </c>
      <c r="G14" s="8" t="inlineStr">
        <is>
          <t>Đúng</t>
        </is>
      </c>
      <c r="H14" s="7" t="inlineStr">
        <is>
          <t>Pass</t>
        </is>
      </c>
      <c r="I14" s="8" t="inlineStr">
        <is>
          <t>AC22 · link_code_test: AC22</t>
        </is>
      </c>
      <c r="Q14" s="10" t="inlineStr">
        <is>
          <t>Thông báo lỗi + Thử lại, không có link</t>
        </is>
      </c>
      <c r="R14" s="11" t="inlineStr"/>
      <c r="S14" s="11" t="inlineStr"/>
      <c r="T14" s="11" t="inlineStr">
        <is>
          <t>X</t>
        </is>
      </c>
    </row>
    <row r="15" ht="74" customHeight="1">
      <c r="A15" s="7" t="inlineStr">
        <is>
          <t>TC-INVITELINK-07</t>
        </is>
      </c>
      <c r="B15" s="7" t="inlineStr">
        <is>
          <t>Trang /link đọc phần #code</t>
        </is>
      </c>
      <c r="C15" s="8" t="inlineStr">
        <is>
          <t>Không</t>
        </is>
      </c>
      <c r="D15" s="8" t="inlineStr">
        <is>
          <t>1. Gọi parseInviteHash với từng giá trị</t>
        </is>
      </c>
      <c r="E15" s="8" t="inlineStr">
        <is>
          <t>#code=K7M2Q9XAR4; code=K7M2Q9XAR4; (blank); #ma=…; #code=; chữ thường; có 0/O; 9/11 ký tự; #code=&lt;script&gt;</t>
        </is>
      </c>
      <c r="F15" s="8" t="inlineStr">
        <is>
          <t>Hai giá trị đầu trả mã; còn lại trả null</t>
        </is>
      </c>
      <c r="G15" s="8" t="inlineStr">
        <is>
          <t>4/4 test vitest pass</t>
        </is>
      </c>
      <c r="H15" s="7" t="inlineStr">
        <is>
          <t>Pass</t>
        </is>
      </c>
      <c r="I15" s="8" t="inlineStr">
        <is>
          <t>AC17 · EP (1-7) · landing lib/invite/linkCode.test.ts</t>
        </is>
      </c>
    </row>
    <row r="16" ht="57.5" customHeight="1">
      <c r="A16" s="7" t="inlineStr">
        <is>
          <t>TC-INVITELINK-08</t>
        </is>
      </c>
      <c r="B16" s="7" t="inlineStr">
        <is>
          <t>HTML trang /link không lộ mã và không được lập chỉ mục</t>
        </is>
      </c>
      <c r="C16" s="8" t="inlineStr">
        <is>
          <t>Landing build và chạy bằng next start</t>
        </is>
      </c>
      <c r="D16" s="8" t="inlineStr">
        <is>
          <t>1. curl http://127.0.0.1:3917/link</t>
        </is>
      </c>
      <c r="E16" s="8" t="inlineStr">
        <is>
          <t>(không có)</t>
        </is>
      </c>
      <c r="F16" s="8" t="inlineStr">
        <is>
          <t>Có meta robots noindex, nofollow; thẻ OG chỉ có nội dung chung; không chứa mã; không có script ngoài</t>
        </is>
      </c>
      <c r="G16" s="8" t="inlineStr">
        <is>
          <t>robots "noindex, nofollow"; OG chung; 0 lần xuất hiện K7M2; 0 script ngoài</t>
        </is>
      </c>
      <c r="H16" s="7" t="inlineStr">
        <is>
          <t>Pass</t>
        </is>
      </c>
      <c r="I16" s="8" t="inlineStr">
        <is>
          <t>AC17 · Bảo mật · evidence/implement-P16.log</t>
        </is>
      </c>
    </row>
    <row r="17" ht="90.5" customHeight="1">
      <c r="A17" s="7" t="inlineStr">
        <is>
          <t>TC-INVITELINK-09</t>
        </is>
      </c>
      <c r="B17" s="7" t="inlineStr">
        <is>
          <t>Mở trang /link trên trình duyệt</t>
        </is>
      </c>
      <c r="C17" s="8" t="inlineStr">
        <is>
          <t>Landing đã deploy</t>
        </is>
      </c>
      <c r="D17" s="8" t="inlineStr">
        <is>
          <t>1. Mở link mời trên Chrome Android và desktop
2. Bấm Sao chép mã
3. Xem tab Network</t>
        </is>
      </c>
      <c r="E17" s="8" t="inlineStr">
        <is>
          <t>/link#code=K7M2Q9XAR4; /link#code=abc</t>
        </is>
      </c>
      <c r="F17" s="8" t="inlineStr">
        <is>
          <t>Hiện K7M2 Q9XA R4, nút sao chép, Mở bằng ứng dụng (chỉ Android), Tải ứng dụng, hướng dẫn iPhone; không có request tới backend hay analytics; mã sai hiện thông báo chung</t>
        </is>
      </c>
      <c r="G17" s="8" t="inlineStr"/>
      <c r="H17" s="7" t="inlineStr">
        <is>
          <t>Pending</t>
        </is>
      </c>
      <c r="I17" s="8" t="inlineStr">
        <is>
          <t>AC17 · manual (trình duyệt)</t>
        </is>
      </c>
    </row>
    <row r="18" ht="41" customHeight="1">
      <c r="A18" s="7" t="inlineStr">
        <is>
          <t>TC-INVITELINK-10</t>
        </is>
      </c>
      <c r="B18" s="7" t="inlineStr">
        <is>
          <t>File assetlinks.json phục vụ đúng</t>
        </is>
      </c>
      <c r="C18" s="8" t="inlineStr">
        <is>
          <t>Landing build và chạy bằng next start</t>
        </is>
      </c>
      <c r="D18" s="8" t="inlineStr">
        <is>
          <t>1. curl -i http://127.0.0.1:3917/.well-known/assetlinks.json</t>
        </is>
      </c>
      <c r="E18" s="8" t="inlineStr">
        <is>
          <t>(không có)</t>
        </is>
      </c>
      <c r="F18" s="8" t="inlineStr">
        <is>
          <t>200, Content-Type application/json</t>
        </is>
      </c>
      <c r="G18" s="8" t="inlineStr">
        <is>
          <t>200 OK, Content-Type: application/json; charset=UTF-8</t>
        </is>
      </c>
      <c r="H18" s="7" t="inlineStr">
        <is>
          <t>Pass</t>
        </is>
      </c>
      <c r="I18" s="8" t="inlineStr">
        <is>
          <t>AC18 (local) · evidence/implement-P16.log</t>
        </is>
      </c>
    </row>
    <row r="19" ht="74" customHeight="1">
      <c r="A19" s="7" t="inlineStr">
        <is>
          <t>TC-INVITELINK-11</t>
        </is>
      </c>
      <c r="B19" s="7" t="inlineStr">
        <is>
          <t>App Links được Android xác minh trên production</t>
        </is>
      </c>
      <c r="C19" s="8" t="inlineStr">
        <is>
          <t>Landing đã deploy lên drug-time-frontend.vercel.app; cài APK ký bằng khóa có fingerprint trong assetlinks.json</t>
        </is>
      </c>
      <c r="D19" s="8" t="inlineStr">
        <is>
          <t>1. curl -i https://drug-time-frontend.vercel.app/.well-known/assetlinks.json
2. adb shell pm get-app-links vn.drugtime.drugtime_mobile</t>
        </is>
      </c>
      <c r="E19" s="8" t="inlineStr">
        <is>
          <t>(không có)</t>
        </is>
      </c>
      <c r="F19" s="8" t="inlineStr">
        <is>
          <t>200 application/json; host drug-time-frontend.vercel.app ở trạng thái verified</t>
        </is>
      </c>
      <c r="G19" s="8" t="inlineStr"/>
      <c r="H19" s="7" t="inlineStr">
        <is>
          <t>Pending</t>
        </is>
      </c>
      <c r="I19" s="8" t="inlineStr">
        <is>
          <t>AC18 · manual (cần deploy production, Q1-A)</t>
        </is>
      </c>
    </row>
    <row r="20" ht="74" customHeight="1">
      <c r="A20" s="7" t="inlineStr">
        <is>
          <t>TC-INVITELINK-12</t>
        </is>
      </c>
      <c r="B20" s="7" t="inlineStr">
        <is>
          <t>Bấm link mời trong Zalo và SMS</t>
        </is>
      </c>
      <c r="C20" s="8" t="inlineStr">
        <is>
          <t>Android thật đã cài APK demo; landing đã lên production</t>
        </is>
      </c>
      <c r="D20" s="8" t="inlineStr">
        <is>
          <t>1. Gửi link qua Zalo, bấm link
2. Gửi qua SMS, bấm link
3. Nếu Zalo mở trình duyệt riêng: bấm Mở bằng ứng dụng DrugTime</t>
        </is>
      </c>
      <c r="E20" s="8" t="inlineStr">
        <is>
          <t>https://drug-time-frontend.vercel.app/link#code=&lt;mã thật&gt;</t>
        </is>
      </c>
      <c r="F20" s="8" t="inlineStr">
        <is>
          <t>App mở màn nhập mã đã điền sẵn; với trình duyệt của Zalo, nút Mở bằng ứng dụng vào được app</t>
        </is>
      </c>
      <c r="G20" s="8" t="inlineStr"/>
      <c r="H20" s="7" t="inlineStr">
        <is>
          <t>Pending</t>
        </is>
      </c>
      <c r="I20" s="8" t="inlineStr">
        <is>
          <t>AC19 · manual</t>
        </is>
      </c>
    </row>
    <row r="21" ht="41" customHeight="1">
      <c r="A21" s="7" t="inlineStr">
        <is>
          <t>TC-INVITELINK-13</t>
        </is>
      </c>
      <c r="B21" s="7" t="inlineStr">
        <is>
          <t>Chia sẻ link qua bảng chia sẻ thật</t>
        </is>
      </c>
      <c r="C21" s="8" t="inlineStr">
        <is>
          <t>Android thật có Zalo</t>
        </is>
      </c>
      <c r="D21" s="8" t="inlineStr">
        <is>
          <t>1. Tab Người thân → Gửi link mời → Chia sẻ
2. Chọn Zalo, gửi cho một người</t>
        </is>
      </c>
      <c r="E21" s="8" t="inlineStr">
        <is>
          <t>(không có)</t>
        </is>
      </c>
      <c r="F21" s="8" t="inlineStr">
        <is>
          <t>Zalo nhận đúng câu mời kèm link</t>
        </is>
      </c>
      <c r="G21" s="8" t="inlineStr"/>
      <c r="H21" s="7" t="inlineStr">
        <is>
          <t>Pending</t>
        </is>
      </c>
      <c r="I21" s="8" t="inlineStr">
        <is>
          <t>AC22 · manual</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Khung điều hướng: tab Hồ sơ và Người thân (APPNAV)</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57.5" customHeight="1">
      <c r="A9" s="7" t="inlineStr">
        <is>
          <t>TC-APPNAV-01</t>
        </is>
      </c>
      <c r="B9" s="7" t="inlineStr">
        <is>
          <t>Mở tab Hồ sơ</t>
        </is>
      </c>
      <c r="C9" s="8" t="inlineStr">
        <is>
          <t>Đã đăng nhập</t>
        </is>
      </c>
      <c r="D9" s="8" t="inlineStr">
        <is>
          <t>1. Bấm tab Hồ sơ</t>
        </is>
      </c>
      <c r="E9" s="8" t="inlineStr">
        <is>
          <t>(không có)</t>
        </is>
      </c>
      <c r="F9" s="8" t="inlineStr">
        <is>
          <t>Hiện màn Hồ sơ có mục Người giám sát; không có thẻ UI Catalog hay lối tắt màn Đăng nhập</t>
        </is>
      </c>
      <c r="G9" s="8" t="inlineStr">
        <is>
          <t>ProfileScreen có supervisors-tile; không có UI Catalog</t>
        </is>
      </c>
      <c r="H9" s="7" t="inlineStr">
        <is>
          <t>Pass</t>
        </is>
      </c>
      <c r="I9" s="8" t="inlineStr">
        <is>
          <t>AC24 · app_shell_test: AC24</t>
        </is>
      </c>
    </row>
    <row r="10" ht="41" customHeight="1">
      <c r="A10" s="7" t="inlineStr">
        <is>
          <t>TC-APPNAV-02</t>
        </is>
      </c>
      <c r="B10" s="7" t="inlineStr">
        <is>
          <t>Đăng xuất từ menu cài đặt của Hồ sơ</t>
        </is>
      </c>
      <c r="C10" s="8" t="inlineStr">
        <is>
          <t>Đã đăng nhập</t>
        </is>
      </c>
      <c r="D10" s="8" t="inlineStr">
        <is>
          <t>1. Tab Hồ sơ → nút cài đặt → Đăng xuất</t>
        </is>
      </c>
      <c r="E10" s="8" t="inlineStr">
        <is>
          <t>(không có)</t>
        </is>
      </c>
      <c r="F10" s="8" t="inlineStr">
        <is>
          <t>Về màn Đăng nhập; phiên bị xóa</t>
        </is>
      </c>
      <c r="G10" s="8" t="inlineStr">
        <is>
          <t>Hiện LoginMobileScreen; phiên null</t>
        </is>
      </c>
      <c r="H10" s="7" t="inlineStr">
        <is>
          <t>Pass</t>
        </is>
      </c>
      <c r="I10" s="8" t="inlineStr">
        <is>
          <t>AC24 · auth_flow_test: (e) Đăng xuất</t>
        </is>
      </c>
    </row>
    <row r="11" ht="41" customHeight="1">
      <c r="A11" s="7" t="inlineStr">
        <is>
          <t>TC-APPNAV-03</t>
        </is>
      </c>
      <c r="B11" s="7" t="inlineStr">
        <is>
          <t>Menu cài đặt của Hồ sơ không còn UI Catalog</t>
        </is>
      </c>
      <c r="C11" s="8" t="inlineStr">
        <is>
          <t>Đã đăng nhập, ở tab Hồ sơ</t>
        </is>
      </c>
      <c r="D11" s="8" t="inlineStr">
        <is>
          <t>1. Bấm nút cài đặt</t>
        </is>
      </c>
      <c r="E11" s="8" t="inlineStr">
        <is>
          <t>(không có)</t>
        </is>
      </c>
      <c r="F11" s="8" t="inlineStr">
        <is>
          <t>Menu chỉ có một mục "Đăng xuất"</t>
        </is>
      </c>
      <c r="G11" s="8" t="inlineStr">
        <is>
          <t>1 mục Đăng xuất</t>
        </is>
      </c>
      <c r="H11" s="7" t="inlineStr">
        <is>
          <t>Pass</t>
        </is>
      </c>
      <c r="I11" s="8" t="inlineStr">
        <is>
          <t>AC25 · app_shell_test: AC25</t>
        </is>
      </c>
    </row>
    <row r="12" ht="30" customHeight="1">
      <c r="A12" s="7" t="inlineStr">
        <is>
          <t>TC-APPNAV-04</t>
        </is>
      </c>
      <c r="B12" s="7" t="inlineStr">
        <is>
          <t>Mở route /dev-catalog</t>
        </is>
      </c>
      <c r="C12" s="8" t="inlineStr">
        <is>
          <t>Không</t>
        </is>
      </c>
      <c r="D12" s="8" t="inlineStr">
        <is>
          <t>1. Gọi onGenerateRoute với /dev-catalog</t>
        </is>
      </c>
      <c r="E12" s="8" t="inlineStr">
        <is>
          <t>/dev-catalog</t>
        </is>
      </c>
      <c r="F12" s="8" t="inlineStr">
        <is>
          <t>Không có route (null)</t>
        </is>
      </c>
      <c r="G12" s="8" t="inlineStr">
        <is>
          <t>null</t>
        </is>
      </c>
      <c r="H12" s="7" t="inlineStr">
        <is>
          <t>Pass</t>
        </is>
      </c>
      <c r="I12" s="8" t="inlineStr">
        <is>
          <t>AC25 · app_shell_test: AC25</t>
        </is>
      </c>
    </row>
    <row r="13" ht="41" customHeight="1">
      <c r="A13" s="7" t="inlineStr">
        <is>
          <t>TC-APPNAV-05</t>
        </is>
      </c>
      <c r="B13" s="7" t="inlineStr">
        <is>
          <t>Mở tab Người thân</t>
        </is>
      </c>
      <c r="C13" s="8" t="inlineStr">
        <is>
          <t>Đã đăng nhập</t>
        </is>
      </c>
      <c r="D13" s="8" t="inlineStr">
        <is>
          <t>1. Bấm tab Người thân</t>
        </is>
      </c>
      <c r="E13" s="8" t="inlineStr">
        <is>
          <t>(không có)</t>
        </is>
      </c>
      <c r="F13" s="8" t="inlineStr">
        <is>
          <t>Hiện các thẻ Mã liên kết của tôi, Gửi link mời, Theo dõi người thân</t>
        </is>
      </c>
      <c r="G13" s="8" t="inlineStr">
        <is>
          <t>Hiện FamilyTabScreen; thẻ Mã liên kết của tôi mở màn QR của 3.11</t>
        </is>
      </c>
      <c r="H13" s="7" t="inlineStr">
        <is>
          <t>Pass</t>
        </is>
      </c>
      <c r="I13" s="8" t="inlineStr">
        <is>
          <t>AC11 · app_shell_test, family_tab_screen_test</t>
        </is>
      </c>
    </row>
    <row r="14"/>
    <row r="15"/>
    <row r="16">
      <c r="G16" s="12" t="inlineStr">
        <is>
          <t>Pass</t>
        </is>
      </c>
      <c r="H16" s="13">
        <f>COUNTIF(H9:H13,"Pass")</f>
        <v/>
      </c>
    </row>
    <row r="17">
      <c r="G17" s="12" t="inlineStr">
        <is>
          <t>Fail</t>
        </is>
      </c>
      <c r="H17" s="13">
        <f>COUNTIF(H9:H13,"Fail")</f>
        <v/>
      </c>
    </row>
    <row r="18">
      <c r="G18" s="12" t="inlineStr">
        <is>
          <t>Pending</t>
        </is>
      </c>
      <c r="H18" s="13">
        <f>COUNTIF(H9:H13,"Pending")</f>
        <v/>
      </c>
    </row>
    <row r="19">
      <c r="G19" s="12" t="inlineStr">
        <is>
          <t>Total</t>
        </is>
      </c>
      <c r="H19" s="13">
        <f>SUM(H16:H18)</f>
        <v/>
      </c>
    </row>
  </sheetData>
  <autoFilter ref="A8:I13"/>
  <conditionalFormatting sqref="H9:H13">
    <cfRule type="cellIs" priority="1" operator="equal" dxfId="0">
      <formula>"Fail"</formula>
    </cfRule>
  </conditionalFormatting>
  <dataValidations count="1">
    <dataValidation sqref="H9:H13" showDropDown="0" showInputMessage="0" showErrorMessage="0" allowBlank="0" type="list">
      <formula1>"Pass,Fail,Pending"</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41"/>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Duyệt yêu cầu liên kết người thân (LINKAPPROVE)</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BS-04: người thân gửi lại yêu cầu</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TC-LINKAPPROVE-01</t>
        </is>
      </c>
      <c r="B9" s="7" t="inlineStr">
        <is>
          <t>Xem danh sách yêu cầu đang chờ của chính mình</t>
        </is>
      </c>
      <c r="C9" s="8" t="inlineStr">
        <is>
          <t>Patient P có 2 yêu cầu pending từ F1 (gửi trước) và F2 (gửi sau); có thêm yêu cầu pending gửi cho patient khác</t>
        </is>
      </c>
      <c r="D9" s="8" t="inlineStr">
        <is>
          <t>1. Đăng nhập bằng P
2. GET /family/links?status=pending</t>
        </is>
      </c>
      <c r="E9" s="8" t="inlineStr">
        <is>
          <t>status=pending</t>
        </is>
      </c>
      <c r="F9" s="8" t="inlineStr">
        <is>
          <t>200; items gồm đúng 2 mục theo thứ tự F2, F1; mỗi mục chỉ có link_id, family_user_id, family_full_name, status=pending, requested_at; có audit list_pending/allowed</t>
        </is>
      </c>
      <c r="G9" s="8" t="inlineStr">
        <is>
          <t>Đúng như mong đợi</t>
        </is>
      </c>
      <c r="H9" s="7" t="inlineStr">
        <is>
          <t>Pass</t>
        </is>
      </c>
      <c r="I9" s="8" t="inlineStr">
        <is>
          <t>AC2 · test_list_own_pending_minimal_order_without_consents__AC12_AC13 · evidence/test-integration.log</t>
        </is>
      </c>
      <c r="K9" s="9" t="inlineStr">
        <is>
          <t>family_user_id (body approve)</t>
        </is>
      </c>
      <c r="L9" s="10" t="inlineStr">
        <is>
          <t>UUID đúng người gửi yêu cầu</t>
        </is>
      </c>
      <c r="M9" s="10" t="inlineStr">
        <is>
          <t>1</t>
        </is>
      </c>
      <c r="N9" s="10" t="inlineStr">
        <is>
          <t>UUID của người khác
không phải UUID</t>
        </is>
      </c>
      <c r="O9" s="10" t="inlineStr">
        <is>
          <t>4
5</t>
        </is>
      </c>
      <c r="Q9" s="10" t="inlineStr">
        <is>
          <t>Số lần bị cùng patient từ chối liên tiếp (từ lần chấp thuận gần nhất)</t>
        </is>
      </c>
      <c r="R9" s="11" t="inlineStr">
        <is>
          <t>0–4</t>
        </is>
      </c>
      <c r="S9" s="11" t="inlineStr">
        <is>
          <t>5</t>
        </is>
      </c>
      <c r="T9" s="11" t="inlineStr">
        <is>
          <t>5</t>
        </is>
      </c>
    </row>
    <row r="10" ht="57.5" customHeight="1">
      <c r="A10" s="7" t="inlineStr">
        <is>
          <t>TC-LINKAPPROVE-02</t>
        </is>
      </c>
      <c r="B10" s="7" t="inlineStr">
        <is>
          <t>Xem danh sách khi không có yêu cầu nào</t>
        </is>
      </c>
      <c r="C10" s="8" t="inlineStr">
        <is>
          <t>Patient không có yêu cầu pending</t>
        </is>
      </c>
      <c r="D10" s="8" t="inlineStr">
        <is>
          <t>1. GET /family/links?status=pending</t>
        </is>
      </c>
      <c r="E10" s="8" t="inlineStr">
        <is>
          <t>status=pending</t>
        </is>
      </c>
      <c r="F10" s="8" t="inlineStr">
        <is>
          <t>200; {"items": []}</t>
        </is>
      </c>
      <c r="G10" s="8" t="inlineStr">
        <is>
          <t>200; {"items": []}</t>
        </is>
      </c>
      <c r="H10" s="7" t="inlineStr">
        <is>
          <t>Pass</t>
        </is>
      </c>
      <c r="I10" s="8" t="inlineStr">
        <is>
          <t>AC2 · test_list_pending_empty_returns_200_items_empty__AC13 · evidence/test-integration.log</t>
        </is>
      </c>
      <c r="K10" s="9" t="inlineStr">
        <is>
          <t>consent_confirmed</t>
        </is>
      </c>
      <c r="L10" s="10" t="inlineStr">
        <is>
          <t>true (boolean)</t>
        </is>
      </c>
      <c r="M10" s="10" t="inlineStr">
        <is>
          <t>2</t>
        </is>
      </c>
      <c r="N10" s="10" t="inlineStr">
        <is>
          <t>false
thiếu field
"true" (chuỗi)</t>
        </is>
      </c>
      <c r="O10" s="10" t="inlineStr">
        <is>
          <t>6
7
8</t>
        </is>
      </c>
      <c r="Q10" s="10" t="inlineStr">
        <is>
          <t>Còn trong 24 giờ kể từ lần từ chối thứ 5?</t>
        </is>
      </c>
      <c r="R10" s="11" t="inlineStr">
        <is>
          <t>-</t>
        </is>
      </c>
      <c r="S10" s="11" t="inlineStr">
        <is>
          <t>Có</t>
        </is>
      </c>
      <c r="T10" s="11" t="inlineStr">
        <is>
          <t>Không</t>
        </is>
      </c>
    </row>
    <row r="11" ht="90.5" customHeight="1">
      <c r="A11" s="7" t="inlineStr">
        <is>
          <t>TC-LINKAPPROVE-03</t>
        </is>
      </c>
      <c r="B11" s="7" t="inlineStr">
        <is>
          <t>Gửi query lạ khi xem danh sách (patient_id)</t>
        </is>
      </c>
      <c r="C11" s="8" t="inlineStr">
        <is>
          <t>Patient đã đăng nhập</t>
        </is>
      </c>
      <c r="D11" s="8" t="inlineStr">
        <is>
          <t>1. GET /family/links?status=pending&amp;patient_id=&lt;UUID khác&gt;</t>
        </is>
      </c>
      <c r="E11" s="8" t="inlineStr">
        <is>
          <t>patient_id=&lt;UUID patient khác&gt;</t>
        </is>
      </c>
      <c r="F11" s="8" t="inlineStr">
        <is>
          <t>422 ValidationError; không gọi use case</t>
        </is>
      </c>
      <c r="G11" s="8" t="inlineStr">
        <is>
          <t>422</t>
        </is>
      </c>
      <c r="H11" s="7" t="inlineStr">
        <is>
          <t>Pass</t>
        </is>
      </c>
      <c r="I11" s="8" t="inlineStr">
        <is>
          <t>AC5 · Đoán lỗi (truy cập dữ liệu người khác) · test_list_rejects_missing_invalid_duplicate_or_extra_query · evidence/implement-final-backend.log</t>
        </is>
      </c>
      <c r="K11" s="9" t="inlineStr">
        <is>
          <t>document_version</t>
        </is>
      </c>
      <c r="L11" s="10" t="inlineStr">
        <is>
          <t>2026-10-v1 (bản hiện hành)</t>
        </is>
      </c>
      <c r="M11" s="10" t="inlineStr">
        <is>
          <t>3</t>
        </is>
      </c>
      <c r="N11" s="10" t="inlineStr">
        <is>
          <t>(blank)
a*65
phiên bản khác bản hiện hành</t>
        </is>
      </c>
      <c r="O11" s="10" t="inlineStr">
        <is>
          <t>9
10
11</t>
        </is>
      </c>
      <c r="Q11" s="6" t="inlineStr">
        <is>
          <t>Action</t>
        </is>
      </c>
      <c r="R11" s="5" t="inlineStr">
        <is>
          <t>R1</t>
        </is>
      </c>
      <c r="S11" s="5" t="inlineStr">
        <is>
          <t>R2</t>
        </is>
      </c>
      <c r="T11" s="5" t="inlineStr">
        <is>
          <t>R3</t>
        </is>
      </c>
    </row>
    <row r="12" ht="107" customHeight="1">
      <c r="A12" s="7" t="inlineStr">
        <is>
          <t>TC-LINKAPPROVE-04</t>
        </is>
      </c>
      <c r="B12" s="7" t="inlineStr">
        <is>
          <t>Chấp thuận yêu cầu với xác nhận đồng ý hợp lệ</t>
        </is>
      </c>
      <c r="C12" s="8" t="inlineStr">
        <is>
          <t>P đã đồng ý family_sharing 2026-10-v1; có link pending từ F</t>
        </is>
      </c>
      <c r="D12" s="8" t="inlineStr">
        <is>
          <t>1. Đăng nhập bằng P
2. POST /family/links/{link_id}/approve</t>
        </is>
      </c>
      <c r="E12" s="8" t="inlineStr">
        <is>
          <t>{"family_user_id": "&lt;F&gt;", "consent_confirmed": true, "document_version": "2026-10-v1"}</t>
        </is>
      </c>
      <c r="F12" s="8" t="inlineStr">
        <is>
          <t>200; status=active, sharing_enabled=false, consent_confirmation.purpose=family_sharing; đúng 1 dòng family_link_consent_confirmations; link rời danh sách chờ và có trong GET /family/caregivers</t>
        </is>
      </c>
      <c r="G12" s="8" t="inlineStr">
        <is>
          <t>Đúng như mong đợi</t>
        </is>
      </c>
      <c r="H12" s="7" t="inlineStr">
        <is>
          <t>Pass</t>
        </is>
      </c>
      <c r="I12" s="8" t="inlineStr">
        <is>
          <t>AC3 · EP (1,2,3) · test_approve_success_persists_evidence_and_activates_link__AC2, test_approved_link_moves_from_pending_to_caregivers__AC3 · evidence/test-integration.log</t>
        </is>
      </c>
      <c r="Q12" s="10" t="inlineStr">
        <is>
          <t>201: tạo yêu cầu mới (pending)</t>
        </is>
      </c>
      <c r="R12" s="11" t="inlineStr">
        <is>
          <t>X</t>
        </is>
      </c>
      <c r="S12" s="11" t="inlineStr"/>
      <c r="T12" s="11" t="inlineStr">
        <is>
          <t>X</t>
        </is>
      </c>
    </row>
    <row r="13" ht="74" customHeight="1">
      <c r="A13" s="7" t="inlineStr">
        <is>
          <t>TC-LINKAPPROVE-05</t>
        </is>
      </c>
      <c r="B13" s="7" t="inlineStr">
        <is>
          <t>Chấp thuận thay bởi người thân, người lạ, admin hoặc sai family_user_id</t>
        </is>
      </c>
      <c r="C13" s="8" t="inlineStr">
        <is>
          <t>Link pending P←F; có người lạ X và tài khoản admin A</t>
        </is>
      </c>
      <c r="D13" s="8" t="inlineStr">
        <is>
          <t>1. POST approve không token
2. POST approve bằng token F, X, A
3. POST approve bằng token P với family_user_id của X</t>
        </is>
      </c>
      <c r="E13" s="8" t="inlineStr">
        <is>
          <t>family_user_id = &lt;F&gt; hoặc &lt;X&gt;</t>
        </is>
      </c>
      <c r="F13" s="8" t="inlineStr">
        <is>
          <t>401 khi không token; 403 {"detail": "khong_co_quyen"} cho các trường hợp còn lại; link vẫn pending, không có bằng chứng; có audit denied</t>
        </is>
      </c>
      <c r="G13" s="8" t="inlineStr">
        <is>
          <t>Đúng như mong đợi</t>
        </is>
      </c>
      <c r="H13" s="7" t="inlineStr">
        <is>
          <t>Pass</t>
        </is>
      </c>
      <c r="I13" s="8" t="inlineStr">
        <is>
          <t>AC5 · EP (4) · test_approve_denied_caller_matrix__AC4_AC10_AC16 · evidence/test-integration.log</t>
        </is>
      </c>
      <c r="Q13" s="10" t="inlineStr">
        <is>
          <t>429 link_request_cooldown + Retry-After</t>
        </is>
      </c>
      <c r="R13" s="11" t="inlineStr"/>
      <c r="S13" s="11" t="inlineStr">
        <is>
          <t>X</t>
        </is>
      </c>
      <c r="T13" s="11" t="inlineStr"/>
    </row>
    <row r="14" ht="90.5" customHeight="1">
      <c r="A14" s="7" t="inlineStr">
        <is>
          <t>TC-LINKAPPROVE-06</t>
        </is>
      </c>
      <c r="B14" s="7" t="inlineStr">
        <is>
          <t>Từ chối thay bởi người thân, người lạ hoặc admin</t>
        </is>
      </c>
      <c r="C14" s="8" t="inlineStr">
        <is>
          <t>Link pending P←F; người lạ X; admin A</t>
        </is>
      </c>
      <c r="D14" s="8" t="inlineStr">
        <is>
          <t>1. POST /family/links/{link_id}/reject không token
2. POST reject bằng token F, X, A
3. POST reject bằng token P</t>
        </is>
      </c>
      <c r="E14" s="8" t="inlineStr">
        <is>
          <t>(không có body)</t>
        </is>
      </c>
      <c r="F14" s="8" t="inlineStr">
        <is>
          <t>401 khi không token; 403 khong_co_quyen với F, X, A, mỗi lượt đúng 1 audit reject/denied với actor là người gọi (admin không ghi patient/link); link vẫn pending; P từ chối được (200)</t>
        </is>
      </c>
      <c r="G14" s="8" t="inlineStr">
        <is>
          <t>Đúng như mong đợi</t>
        </is>
      </c>
      <c r="H14" s="7" t="inlineStr">
        <is>
          <t>Pass</t>
        </is>
      </c>
      <c r="I14" s="8" t="inlineStr">
        <is>
          <t>AC5 · test_reject_denied_caller_matrix__AC5 · evidence/test-integration.log</t>
        </is>
      </c>
    </row>
    <row r="15" ht="74" customHeight="1">
      <c r="A15" s="7" t="inlineStr">
        <is>
          <t>TC-LINKAPPROVE-07</t>
        </is>
      </c>
      <c r="B15" s="7" t="inlineStr">
        <is>
          <t>Chấp thuận khi patient chưa đồng ý hoặc đã rút family_sharing</t>
        </is>
      </c>
      <c r="C15" s="8" t="inlineStr">
        <is>
          <t>Link pending P←F; P không có consent family_sharing hiệu lực</t>
        </is>
      </c>
      <c r="D15" s="8" t="inlineStr">
        <is>
          <t>1. POST approve bằng token P</t>
        </is>
      </c>
      <c r="E15" s="8" t="inlineStr">
        <is>
          <t>body hợp lệ</t>
        </is>
      </c>
      <c r="F15" s="8" t="inlineStr">
        <is>
          <t>403 {"detail": "consent_revoked"}; link vẫn pending; không có bằng chứng; audit approve/denied reason consent_revoked</t>
        </is>
      </c>
      <c r="G15" s="8" t="inlineStr">
        <is>
          <t>Đúng như mong đợi</t>
        </is>
      </c>
      <c r="H15" s="7" t="inlineStr">
        <is>
          <t>Pass</t>
        </is>
      </c>
      <c r="I15" s="8" t="inlineStr">
        <is>
          <t>AC7 · test_approve_missing_or_revoked_patient_consent_403__AC3_AC10 · evidence/test-integration.log</t>
        </is>
      </c>
    </row>
    <row r="16" ht="74" customHeight="1">
      <c r="A16" s="7" t="inlineStr">
        <is>
          <t>TC-LINKAPPROVE-08</t>
        </is>
      </c>
      <c r="B16" s="7" t="inlineStr">
        <is>
          <t>Chấp thuận với phiên bản văn bản cũ hoặc consent_confirmed=false</t>
        </is>
      </c>
      <c r="C16" s="8" t="inlineStr">
        <is>
          <t>Link pending P←F; P có family_sharing</t>
        </is>
      </c>
      <c r="D16" s="8" t="inlineStr">
        <is>
          <t>1. POST approve với document_version khác bản hiện hành
2. POST approve với consent_confirmed=false</t>
        </is>
      </c>
      <c r="E16" s="8" t="inlineStr">
        <is>
          <t>document_version="wrong-version"; consent_confirmed=false</t>
        </is>
      </c>
      <c r="F16" s="8" t="inlineStr">
        <is>
          <t>422 {"detail": "consent_document_outdated"}; 422 ValidationError; link vẫn pending</t>
        </is>
      </c>
      <c r="G16" s="8" t="inlineStr">
        <is>
          <t>Đúng như mong đợi</t>
        </is>
      </c>
      <c r="H16" s="7" t="inlineStr">
        <is>
          <t>Pass</t>
        </is>
      </c>
      <c r="I16" s="8" t="inlineStr">
        <is>
          <t>AC8 · EP (6,11) · test_approve_outdated_version_and_false_confirmation_422__AC3 · evidence/test-integration.log</t>
        </is>
      </c>
    </row>
    <row r="17" ht="107" customHeight="1">
      <c r="A17" s="7" t="inlineStr">
        <is>
          <t>TC-LINKAPPROVE-09</t>
        </is>
      </c>
      <c r="B17" s="7" t="inlineStr">
        <is>
          <t>Gửi body chấp thuận sai cấu trúc</t>
        </is>
      </c>
      <c r="C17" s="8" t="inlineStr">
        <is>
          <t>Người gọi đã đăng nhập</t>
        </is>
      </c>
      <c r="D17" s="8" t="inlineStr">
        <is>
          <t>1. POST /family/links/1/approve với từng body sai</t>
        </is>
      </c>
      <c r="E17" s="8" t="inlineStr">
        <is>
          <t>family_user_id="invalid"; thiếu consent_confirmed; consent_confirmed="true"; consent_confirmed=1; document_version=""; document_version="a"*65; field lạ patient_id</t>
        </is>
      </c>
      <c r="F17" s="8" t="inlineStr">
        <is>
          <t>422 ValidationError cho mọi trường hợp; không gọi use case</t>
        </is>
      </c>
      <c r="G17" s="8" t="inlineStr">
        <is>
          <t>422 cho mọi trường hợp</t>
        </is>
      </c>
      <c r="H17" s="7" t="inlineStr">
        <is>
          <t>Pass</t>
        </is>
      </c>
      <c r="I17" s="8" t="inlineStr">
        <is>
          <t>AC8 · EP (5,7,8,9,10) · BVA (min-1, max+1) · test_strict_approval_body_rejected_before_use_case · evidence/implement-final-backend.log</t>
        </is>
      </c>
    </row>
    <row r="18" ht="57.5" customHeight="1">
      <c r="A18" s="7" t="inlineStr">
        <is>
          <t>TC-LINKAPPROVE-BVA-10</t>
        </is>
      </c>
      <c r="B18" s="7" t="inlineStr">
        <is>
          <t>Chấp thuận với document_version dài 1 ký tự (biên dưới hợp lệ của độ dài)</t>
        </is>
      </c>
      <c r="C18" s="8" t="inlineStr">
        <is>
          <t>Link pending P←F; P có family_sharing</t>
        </is>
      </c>
      <c r="D18" s="8" t="inlineStr">
        <is>
          <t>1. POST approve bằng token P</t>
        </is>
      </c>
      <c r="E18" s="8" t="inlineStr">
        <is>
          <t>document_version="a"</t>
        </is>
      </c>
      <c r="F18" s="8" t="inlineStr">
        <is>
          <t>422 {"detail": "consent_document_outdated"} (đúng độ dài nhưng không phải bản hiện hành); link vẫn pending</t>
        </is>
      </c>
      <c r="G18" s="8" t="inlineStr"/>
      <c r="H18" s="7" t="inlineStr">
        <is>
          <t>Pending</t>
        </is>
      </c>
      <c r="I18" s="8" t="inlineStr">
        <is>
          <t>AC8 · BVA (min) · chưa có test riêng, cần chạy tay</t>
        </is>
      </c>
    </row>
    <row r="19" ht="41" customHeight="1">
      <c r="A19" s="7" t="inlineStr">
        <is>
          <t>TC-LINKAPPROVE-BVA-11</t>
        </is>
      </c>
      <c r="B19" s="7" t="inlineStr">
        <is>
          <t>Chấp thuận với document_version dài 64 ký tự (biên trên hợp lệ của độ dài)</t>
        </is>
      </c>
      <c r="C19" s="8" t="inlineStr">
        <is>
          <t>Link pending P←F; P có family_sharing</t>
        </is>
      </c>
      <c r="D19" s="8" t="inlineStr">
        <is>
          <t>1. POST approve bằng token P</t>
        </is>
      </c>
      <c r="E19" s="8" t="inlineStr">
        <is>
          <t>document_version="a"*64</t>
        </is>
      </c>
      <c r="F19" s="8" t="inlineStr">
        <is>
          <t>422 {"detail": "consent_document_outdated"}; link vẫn pending</t>
        </is>
      </c>
      <c r="G19" s="8" t="inlineStr"/>
      <c r="H19" s="7" t="inlineStr">
        <is>
          <t>Pending</t>
        </is>
      </c>
      <c r="I19" s="8" t="inlineStr">
        <is>
          <t>AC8 · BVA (max) · chưa có test riêng, cần chạy tay</t>
        </is>
      </c>
    </row>
    <row r="20" ht="74" customHeight="1">
      <c r="A20" s="7" t="inlineStr">
        <is>
          <t>TC-LINKAPPROVE-12</t>
        </is>
      </c>
      <c r="B20" s="7" t="inlineStr">
        <is>
          <t>Gửi lại chấp thuận với cùng nội dung</t>
        </is>
      </c>
      <c r="C20" s="8" t="inlineStr">
        <is>
          <t>Link đã được P chấp thuận</t>
        </is>
      </c>
      <c r="D20" s="8" t="inlineStr">
        <is>
          <t>1. POST approve lần 2 với cùng body</t>
        </is>
      </c>
      <c r="E20" s="8" t="inlineStr">
        <is>
          <t>body giống lần 1</t>
        </is>
      </c>
      <c r="F20" s="8" t="inlineStr">
        <is>
          <t>200; cùng id/confirmed_at bằng chứng cũ; không thêm bằng chứng</t>
        </is>
      </c>
      <c r="G20" s="8" t="inlineStr">
        <is>
          <t>Đúng như mong đợi</t>
        </is>
      </c>
      <c r="H20" s="7" t="inlineStr">
        <is>
          <t>Pass</t>
        </is>
      </c>
      <c r="I20" s="8" t="inlineStr">
        <is>
          <t>AC3 · Đoán lỗi (gửi trùng) · test_approve_replay_idempotent_with_same_evidence__AC5_AC9 · evidence/test-integration.log</t>
        </is>
      </c>
    </row>
    <row r="21" ht="90.5" customHeight="1">
      <c r="A21" s="7" t="inlineStr">
        <is>
          <t>TC-LINKAPPROVE-13</t>
        </is>
      </c>
      <c r="B21" s="7" t="inlineStr">
        <is>
          <t>Chấp thuận liên kết đã bị từ chối hoặc đã hủy</t>
        </is>
      </c>
      <c r="C21" s="8" t="inlineStr">
        <is>
          <t>Link ở trạng thái rejected hoặc revoked</t>
        </is>
      </c>
      <c r="D21" s="8" t="inlineStr">
        <is>
          <t>1. POST approve bằng token P</t>
        </is>
      </c>
      <c r="E21" s="8" t="inlineStr">
        <is>
          <t>body hợp lệ</t>
        </is>
      </c>
      <c r="F21" s="8" t="inlineStr">
        <is>
          <t>409 {"detail": "invalid_link_transition"}; trạng thái giữ nguyên</t>
        </is>
      </c>
      <c r="G21" s="8" t="inlineStr">
        <is>
          <t>Đúng như mong đợi</t>
        </is>
      </c>
      <c r="H21" s="7" t="inlineStr">
        <is>
          <t>Pass</t>
        </is>
      </c>
      <c r="I21" s="8" t="inlineStr">
        <is>
          <t>AC10 · Chuyển trạng thái (chuyển bị cấm) · test_approve_rejected_or_revoked_conflict_409__AC8 · evidence/test-integration.log</t>
        </is>
      </c>
    </row>
    <row r="22" ht="90.5" customHeight="1">
      <c r="A22" s="7" t="inlineStr">
        <is>
          <t>TC-LINKAPPROVE-14</t>
        </is>
      </c>
      <c r="B22" s="7" t="inlineStr">
        <is>
          <t>Từ chối yêu cầu đang chờ và gửi lại lệnh từ chối</t>
        </is>
      </c>
      <c r="C22" s="8" t="inlineStr">
        <is>
          <t>Link pending P←F; P không cần consent</t>
        </is>
      </c>
      <c r="D22" s="8" t="inlineStr">
        <is>
          <t>1. POST reject bằng token P
2. POST reject lần 2</t>
        </is>
      </c>
      <c r="E22" s="8" t="inlineStr">
        <is>
          <t>(không có body)</t>
        </is>
      </c>
      <c r="F22" s="8" t="inlineStr">
        <is>
          <t>200 status=rejected, có rejected_at; lần 2 trả 200 cùng rejected_at</t>
        </is>
      </c>
      <c r="G22" s="8" t="inlineStr">
        <is>
          <t>Đúng như mong đợi</t>
        </is>
      </c>
      <c r="H22" s="7" t="inlineStr">
        <is>
          <t>Pass</t>
        </is>
      </c>
      <c r="I22" s="8" t="inlineStr">
        <is>
          <t>AC4 · Chuyển trạng thái (pending→rejected) · test_reject_without_consent_and_replay_idempotent__AC14_AC15 · evidence/test-integration.log</t>
        </is>
      </c>
    </row>
    <row r="23" ht="74" customHeight="1">
      <c r="A23" s="7" t="inlineStr">
        <is>
          <t>TC-LINKAPPROVE-15</t>
        </is>
      </c>
      <c r="B23" s="7" t="inlineStr">
        <is>
          <t>Từ chối liên kết đang active hoặc đã hủy</t>
        </is>
      </c>
      <c r="C23" s="8" t="inlineStr">
        <is>
          <t>Link active hoặc revoked</t>
        </is>
      </c>
      <c r="D23" s="8" t="inlineStr">
        <is>
          <t>1. POST reject bằng token P</t>
        </is>
      </c>
      <c r="E23" s="8" t="inlineStr">
        <is>
          <t>(không có body)</t>
        </is>
      </c>
      <c r="F23" s="8" t="inlineStr">
        <is>
          <t>409 {"detail": "invalid_link_transition"}</t>
        </is>
      </c>
      <c r="G23" s="8" t="inlineStr">
        <is>
          <t>Đúng như mong đợi</t>
        </is>
      </c>
      <c r="H23" s="7" t="inlineStr">
        <is>
          <t>Pass</t>
        </is>
      </c>
      <c r="I23" s="8" t="inlineStr">
        <is>
          <t>AC10 · Chuyển trạng thái (chuyển bị cấm) · test_reject_active_or_revoked_conflict_409__AC15 · evidence/test-integration.log</t>
        </is>
      </c>
    </row>
    <row r="24" ht="74" customHeight="1">
      <c r="A24" s="7" t="inlineStr">
        <is>
          <t>TC-LINKAPPROVE-16</t>
        </is>
      </c>
      <c r="B24" s="7" t="inlineStr">
        <is>
          <t>Chấp thuận và từ chối cùng lúc một yêu cầu</t>
        </is>
      </c>
      <c r="C24" s="8" t="inlineStr">
        <is>
          <t>Link pending P←F</t>
        </is>
      </c>
      <c r="D24" s="8" t="inlineStr">
        <is>
          <t>1. Gửi đồng thời POST approve và POST reject bằng token P</t>
        </is>
      </c>
      <c r="E24" s="8" t="inlineStr">
        <is>
          <t>body approve hợp lệ</t>
        </is>
      </c>
      <c r="F24" s="8" t="inlineStr">
        <is>
          <t>Một request 200, request kia 409; không có trạng thái vừa rejected vừa có bằng chứng</t>
        </is>
      </c>
      <c r="G24" s="8" t="inlineStr">
        <is>
          <t>Đúng như mong đợi</t>
        </is>
      </c>
      <c r="H24" s="7" t="inlineStr">
        <is>
          <t>Pass</t>
        </is>
      </c>
      <c r="I24" s="8" t="inlineStr">
        <is>
          <t>AC15 · Đoán lỗi (chạy đua) · test_concurrent_approve_and_reject_one_wins_other_409__AC17 · evidence/test-integration.log</t>
        </is>
      </c>
    </row>
    <row r="25" ht="123.5" customHeight="1">
      <c r="A25" s="7" t="inlineStr">
        <is>
          <t>TC-LINKAPPROVE-17</t>
        </is>
      </c>
      <c r="B25" s="7" t="inlineStr">
        <is>
          <t>Gửi lại yêu cầu sau 5 lần bị từ chối liên tiếp qua endpoint thật</t>
        </is>
      </c>
      <c r="C25" s="8" t="inlineStr">
        <is>
          <t>P có family_sharing và mã liên kết; F chưa liên kết</t>
        </is>
      </c>
      <c r="D25" s="8" t="inlineStr">
        <is>
          <t>1. F gửi yêu cầu bằng mã của P, P từ chối; lặp 4 lần (lần 5 vẫn gửi được)
2. P từ chối lần thứ 5
3. F gửi lại ngay
4. Người thân khác gửi yêu cầu
5. Đặt giờ app = rejected_at lần 5 + 23h59
6. Đặt giờ app = rejected_at lần 5 + 24h</t>
        </is>
      </c>
      <c r="E25" s="8" t="inlineStr">
        <is>
          <t>client_uuid mới mỗi lần</t>
        </is>
      </c>
      <c r="F25" s="8" t="inlineStr">
        <is>
          <t>Lần 1–5: 201; sau lần từ chối thứ 5: 429 {"detail": "link_request_cooldown"}, Retry-After trong (0, 86400]; người thân khác 201; tại +23h59: 429; tại +24h: 201</t>
        </is>
      </c>
      <c r="G25" s="8" t="inlineStr">
        <is>
          <t>Đúng như mong đợi</t>
        </is>
      </c>
      <c r="H25" s="7" t="inlineStr">
        <is>
          <t>Pass</t>
        </is>
      </c>
      <c r="I25" s="8" t="inlineStr">
        <is>
          <t>AC9 · Decision Table (R1, R2, R3) · BVA (24h-1 phút, 24h) · test_five_rejections_via_endpoint_block_24h_others_unaffected__AC9 · evidence/test-integration.log</t>
        </is>
      </c>
    </row>
    <row r="26" ht="74" customHeight="1">
      <c r="A26" s="7" t="inlineStr">
        <is>
          <t>TC-LINKAPPROVE-18</t>
        </is>
      </c>
      <c r="B26" s="7" t="inlineStr">
        <is>
          <t>Chấp thuận rồi hủy liên kết làm bộ đếm từ chối về 0</t>
        </is>
      </c>
      <c r="C26" s="8" t="inlineStr">
        <is>
          <t>P có family_sharing và mã liên kết; F chưa liên kết</t>
        </is>
      </c>
      <c r="D26" s="8" t="inlineStr">
        <is>
          <t>1. Từ chối 4 lần qua endpoint
2. F gửi, P chấp thuận, P hủy liên kết
3. Từ chối thêm 4 lần
4. F gửi lần thứ 10 trong ngày</t>
        </is>
      </c>
      <c r="E26" s="8" t="inlineStr">
        <is>
          <t>client_uuid mới mỗi lần</t>
        </is>
      </c>
      <c r="F26" s="8" t="inlineStr">
        <is>
          <t>Lần gửi cuối 201 (không bị chặn); các dòng theo thứ tự: 4 rejected, 1 revoked, 4 rejected, 1 pending</t>
        </is>
      </c>
      <c r="G26" s="8" t="inlineStr">
        <is>
          <t>Đúng như mong đợi</t>
        </is>
      </c>
      <c r="H26" s="7" t="inlineStr">
        <is>
          <t>Pass</t>
        </is>
      </c>
      <c r="I26" s="8" t="inlineStr">
        <is>
          <t>AC9 · Decision Table (R1) · test_approval_then_revoke_resets_streak_via_endpoints__AC9 · evidence/test-integration.log</t>
        </is>
      </c>
    </row>
    <row r="27" ht="90.5" customHeight="1">
      <c r="A27" s="7" t="inlineStr">
        <is>
          <t>TC-LINKAPPROVE-19</t>
        </is>
      </c>
      <c r="B27" s="7" t="inlineStr">
        <is>
          <t>Hiện mục Yêu cầu theo dõi bạn trên tab Người thân</t>
        </is>
      </c>
      <c r="C27" s="8" t="inlineStr">
        <is>
          <t>App mobile; có 2 yêu cầu pending, 1 người gửi không có tên</t>
        </is>
      </c>
      <c r="D27" s="8" t="inlineStr">
        <is>
          <t>1. Mở tab Người thân
2. Kéo xuống để tải lại</t>
        </is>
      </c>
      <c r="E27" s="8" t="inlineStr">
        <is>
          <t>requested_at = 2026-10-15T02:00:00Z</t>
        </is>
      </c>
      <c r="F27" s="8" t="inlineStr">
        <is>
          <t>Hiện "Yêu cầu theo dõi bạn (2)"; tên người thân và "Người dùng DrugTime" cho người không có tên; "Gửi lúc 09:00 15/10/2026"; kéo xuống gọi lại API; không có yêu cầu thì không hiện mục</t>
        </is>
      </c>
      <c r="G27" s="8" t="inlineStr">
        <is>
          <t>Đúng như mong đợi</t>
        </is>
      </c>
      <c r="H27" s="7" t="inlineStr">
        <is>
          <t>Pass</t>
        </is>
      </c>
      <c r="I27" s="8" t="inlineStr">
        <is>
          <t>AC16 · incoming_requests_test.dart (AC16) · evidence/implement-final-frontend.log</t>
        </is>
      </c>
    </row>
    <row r="28" ht="57.5" customHeight="1">
      <c r="A28" s="7" t="inlineStr">
        <is>
          <t>TC-LINKAPPROVE-20</t>
        </is>
      </c>
      <c r="B28" s="7" t="inlineStr">
        <is>
          <t>Chuyển sang tab Người thân thì tải lại yêu cầu đang chờ</t>
        </is>
      </c>
      <c r="C28" s="8" t="inlineStr">
        <is>
          <t>App mở ở tab Thuốc</t>
        </is>
      </c>
      <c r="D28" s="8" t="inlineStr">
        <is>
          <t>1. Chạm tab Người thân
2. Chuyển sang tab Thuốc
3. Chạm lại tab Người thân</t>
        </is>
      </c>
      <c r="E28" s="8" t="inlineStr">
        <is>
          <t>-</t>
        </is>
      </c>
      <c r="F28" s="8" t="inlineStr">
        <is>
          <t>Mỗi lần mở tab Người thân gọi listPendingRequests một lần; trước khi mở tab thì không gọi</t>
        </is>
      </c>
      <c r="G28" s="8" t="inlineStr">
        <is>
          <t>Đúng như mong đợi</t>
        </is>
      </c>
      <c r="H28" s="7" t="inlineStr">
        <is>
          <t>Pass</t>
        </is>
      </c>
      <c r="I28" s="8" t="inlineStr">
        <is>
          <t>AC16 · app_shell_test.dart (AC16) · evidence/implement-final-frontend.log</t>
        </is>
      </c>
    </row>
    <row r="29" ht="123.5" customHeight="1">
      <c r="A29" s="7" t="inlineStr">
        <is>
          <t>TC-LINKAPPROVE-21</t>
        </is>
      </c>
      <c r="B29" s="7" t="inlineStr">
        <is>
          <t>Chấp thuận trên app qua bước xác nhận đồng ý</t>
        </is>
      </c>
      <c r="C29" s="8" t="inlineStr">
        <is>
          <t>Có yêu cầu từ Nguyễn Văn An</t>
        </is>
      </c>
      <c r="D29" s="8" t="inlineStr">
        <is>
          <t>1. Bấm Chấp thuận
2. Kiểm nút Chấp thuận khi chưa tick
3. Tick "Tôi đồng ý chia sẻ…" và bấm Chấp thuận
4. Ở hộp "Đã liên kết…" chọn Để sau (lần khác chọn Bật chia sẻ)
5. Lần khác: mở bước xác nhận rồi bấm Hủy</t>
        </is>
      </c>
      <c r="E29" s="8" t="inlineStr">
        <is>
          <t>consentDocumentVersion = 2026-10-v1</t>
        </is>
      </c>
      <c r="F29" s="8" t="inlineStr">
        <is>
          <t>Hiện văn bản family_sharing và "Chia sẻ với: Nguyễn Văn An"; chưa tick thì nút khóa; gửi approve đúng family_user_id và 2026-10-v1; mục biến mất; Để sau không bật chia sẻ, Bật chia sẻ gọi API và báo "Đã bật chia sẻ với Nguyễn Văn An."; Hủy không gọi API</t>
        </is>
      </c>
      <c r="G29" s="8" t="inlineStr">
        <is>
          <t>Đúng như mong đợi</t>
        </is>
      </c>
      <c r="H29" s="7" t="inlineStr">
        <is>
          <t>Pass</t>
        </is>
      </c>
      <c r="I29" s="8" t="inlineStr">
        <is>
          <t>AC17 · incoming_requests_test.dart (AC17) · evidence/implement-final-frontend.log</t>
        </is>
      </c>
    </row>
    <row r="30" ht="74" customHeight="1">
      <c r="A30" s="7" t="inlineStr">
        <is>
          <t>TC-LINKAPPROVE-22</t>
        </is>
      </c>
      <c r="B30" s="7" t="inlineStr">
        <is>
          <t>Từ chối trên app có hộp xác nhận</t>
        </is>
      </c>
      <c r="C30" s="8" t="inlineStr">
        <is>
          <t>Có yêu cầu từ Nguyễn Văn An</t>
        </is>
      </c>
      <c r="D30" s="8" t="inlineStr">
        <is>
          <t>1. Bấm Từ chối rồi Hủy
2. Bấm Từ chối rồi xác nhận Từ chối</t>
        </is>
      </c>
      <c r="E30" s="8" t="inlineStr">
        <is>
          <t>-</t>
        </is>
      </c>
      <c r="F30" s="8" t="inlineStr">
        <is>
          <t>Hủy không gọi API; xác nhận thì gửi reject không body, mục biến mất, báo "Đã từ chối yêu cầu của Nguyễn Văn An."</t>
        </is>
      </c>
      <c r="G30" s="8" t="inlineStr">
        <is>
          <t>Đúng như mong đợi</t>
        </is>
      </c>
      <c r="H30" s="7" t="inlineStr">
        <is>
          <t>Pass</t>
        </is>
      </c>
      <c r="I30" s="8" t="inlineStr">
        <is>
          <t>AC18 · incoming_requests_test.dart (AC18), api_client_test.dart (post không body) · evidence/implement-final-frontend.log</t>
        </is>
      </c>
    </row>
    <row r="31" ht="57.5" customHeight="1">
      <c r="A31" s="7" t="inlineStr">
        <is>
          <t>TC-LINKAPPROVE-23</t>
        </is>
      </c>
      <c r="B31" s="7" t="inlineStr">
        <is>
          <t>Nhắc bật chia sẻ khi patient chưa đồng ý family_sharing</t>
        </is>
      </c>
      <c r="C31" s="8" t="inlineStr">
        <is>
          <t>Tài khoản chưa bật family_sharing; có yêu cầu đang chờ</t>
        </is>
      </c>
      <c r="D31" s="8" t="inlineStr">
        <is>
          <t>1. Mở tab Người thân
2. Bấm "Mở Quyền riêng tư"</t>
        </is>
      </c>
      <c r="E31" s="8" t="inlineStr">
        <is>
          <t>-</t>
        </is>
      </c>
      <c r="F31" s="8" t="inlineStr">
        <is>
          <t>Có dải nhắc "Cần bật \"Chia sẻ với người thân\"…"; bấm nút mở màn Quyền riêng tư; đã bật thì không có dải nhắc</t>
        </is>
      </c>
      <c r="G31" s="8" t="inlineStr">
        <is>
          <t>Đúng như mong đợi</t>
        </is>
      </c>
      <c r="H31" s="7" t="inlineStr">
        <is>
          <t>Pass</t>
        </is>
      </c>
      <c r="I31" s="8" t="inlineStr">
        <is>
          <t>AC19 · incoming_requests_test.dart (AC19) · evidence/implement-final-frontend.log</t>
        </is>
      </c>
    </row>
    <row r="32" ht="90.5" customHeight="1">
      <c r="A32" s="7" t="inlineStr">
        <is>
          <t>TC-LINKAPPROVE-24</t>
        </is>
      </c>
      <c r="B32" s="7" t="inlineStr">
        <is>
          <t>Xử lý lỗi khi chấp thuận trên app</t>
        </is>
      </c>
      <c r="C32" s="8" t="inlineStr">
        <is>
          <t>Có yêu cầu đang chờ; server trả lỗi</t>
        </is>
      </c>
      <c r="D32" s="8" t="inlineStr">
        <is>
          <t>1. Chấp thuận khi server trả lần lượt 403 consent_revoked, 409, 404, 422 consent_document_outdated, lỗi mạng</t>
        </is>
      </c>
      <c r="E32" s="8" t="inlineStr">
        <is>
          <t>-</t>
        </is>
      </c>
      <c r="F32" s="8" t="inlineStr">
        <is>
          <t>Báo đúng câu cho từng lỗi; không hiện hộp bật chia sẻ; tải lại danh sách; yêu cầu vẫn còn</t>
        </is>
      </c>
      <c r="G32" s="8" t="inlineStr">
        <is>
          <t>Đúng như mong đợi</t>
        </is>
      </c>
      <c r="H32" s="7" t="inlineStr">
        <is>
          <t>Pass</t>
        </is>
      </c>
      <c r="I32" s="8" t="inlineStr">
        <is>
          <t>AC22 · Đoán lỗi (mất mạng) · incoming_requests_test.dart (AC22), remote_caregiver_repository_test.dart · evidence/implement-final-frontend.log</t>
        </is>
      </c>
    </row>
    <row r="33" ht="74" customHeight="1">
      <c r="A33" s="7" t="inlineStr">
        <is>
          <t>TC-LINKAPPROVE-25</t>
        </is>
      </c>
      <c r="B33" s="7" t="inlineStr">
        <is>
          <t>Bấm liên tục khi đang gửi thao tác</t>
        </is>
      </c>
      <c r="C33" s="8" t="inlineStr">
        <is>
          <t>Có yêu cầu đang chờ; server phản hồi chậm</t>
        </is>
      </c>
      <c r="D33" s="8" t="inlineStr">
        <is>
          <t>1. Xác nhận từ chối
2. Trong lúc chờ bấm lại Từ chối</t>
        </is>
      </c>
      <c r="E33" s="8" t="inlineStr">
        <is>
          <t>-</t>
        </is>
      </c>
      <c r="F33" s="8" t="inlineStr">
        <is>
          <t>Hai nút của mục bị khóa khi đang gửi; chỉ một request reject được gửi</t>
        </is>
      </c>
      <c r="G33" s="8" t="inlineStr">
        <is>
          <t>Đúng như mong đợi</t>
        </is>
      </c>
      <c r="H33" s="7" t="inlineStr">
        <is>
          <t>Pass</t>
        </is>
      </c>
      <c r="I33" s="8" t="inlineStr">
        <is>
          <t>AC22 · Đoán lỗi (bấm liên tục) · incoming_requests_test.dart (AC22) · evidence/implement-final-frontend.log</t>
        </is>
      </c>
    </row>
    <row r="34" ht="74" customHeight="1">
      <c r="A34" s="7" t="inlineStr">
        <is>
          <t>TC-LINKAPPROVE-26</t>
        </is>
      </c>
      <c r="B34" s="7" t="inlineStr">
        <is>
          <t>Chấp thuận yêu cầu thật trên hai thiết bị</t>
        </is>
      </c>
      <c r="C34" s="8" t="inlineStr">
        <is>
          <t>Hai tài khoản trên hai máy, backend đang chạy; P đã bật family_sharing</t>
        </is>
      </c>
      <c r="D34" s="8" t="inlineStr">
        <is>
          <t>1. F nhập/quét mã của P
2. P mở tab Người thân, thấy yêu cầu
3. P chấp thuận, tick đồng ý, chọn Bật chia sẻ
4. F gửi lại mã</t>
        </is>
      </c>
      <c r="E34" s="8" t="inlineStr">
        <is>
          <t>Mã liên kết của P</t>
        </is>
      </c>
      <c r="F34" s="8" t="inlineStr">
        <is>
          <t>P thấy yêu cầu đúng tên F; sau chấp thuận F có trong Người giám sát với chia sẻ bật; F gửi lại mã nhận thông báo đã liên kết (409 already_linked)</t>
        </is>
      </c>
      <c r="G34" s="8" t="inlineStr"/>
      <c r="H34" s="7" t="inlineStr">
        <is>
          <t>Pending</t>
        </is>
      </c>
      <c r="I34" s="8" t="inlineStr">
        <is>
          <t>AC23 · manual</t>
        </is>
      </c>
    </row>
    <row r="35" ht="57.5" customHeight="1">
      <c r="A35" s="7" t="inlineStr">
        <is>
          <t>TC-LINKAPPROVE-27</t>
        </is>
      </c>
      <c r="B35" s="7" t="inlineStr">
        <is>
          <t>Từ chối yêu cầu thật trên hai thiết bị</t>
        </is>
      </c>
      <c r="C35" s="8" t="inlineStr">
        <is>
          <t>Hai tài khoản trên hai máy, backend đang chạy</t>
        </is>
      </c>
      <c r="D35" s="8" t="inlineStr">
        <is>
          <t>1. F gửi yêu cầu bằng mã của P
2. P từ chối
3. F gửi lại ngay</t>
        </is>
      </c>
      <c r="E35" s="8" t="inlineStr">
        <is>
          <t>Mã liên kết của P</t>
        </is>
      </c>
      <c r="F35" s="8" t="inlineStr">
        <is>
          <t>Yêu cầu biến mất trên máy P; F gửi lại được ngay (201) khi chưa đủ 5 lần bị từ chối</t>
        </is>
      </c>
      <c r="G35" s="8" t="inlineStr"/>
      <c r="H35" s="7" t="inlineStr">
        <is>
          <t>Pending</t>
        </is>
      </c>
      <c r="I35" s="8" t="inlineStr">
        <is>
          <t>AC23 · manual</t>
        </is>
      </c>
    </row>
    <row r="36"/>
    <row r="37"/>
    <row r="38">
      <c r="G38" s="12" t="inlineStr">
        <is>
          <t>Pass</t>
        </is>
      </c>
      <c r="H38" s="13">
        <f>COUNTIF(H9:H35,"Pass")</f>
        <v/>
      </c>
    </row>
    <row r="39">
      <c r="G39" s="12" t="inlineStr">
        <is>
          <t>Fail</t>
        </is>
      </c>
      <c r="H39" s="13">
        <f>COUNTIF(H9:H35,"Fail")</f>
        <v/>
      </c>
    </row>
    <row r="40">
      <c r="G40" s="12" t="inlineStr">
        <is>
          <t>Pending</t>
        </is>
      </c>
      <c r="H40" s="13">
        <f>COUNTIF(H9:H35,"Pending")</f>
        <v/>
      </c>
    </row>
    <row r="41">
      <c r="G41" s="12" t="inlineStr">
        <is>
          <t>Total</t>
        </is>
      </c>
      <c r="H41" s="13">
        <f>SUM(H38:H40)</f>
        <v/>
      </c>
    </row>
  </sheetData>
  <autoFilter ref="A8:I35"/>
  <conditionalFormatting sqref="H9:H35">
    <cfRule type="cellIs" priority="1" operator="equal" dxfId="0">
      <formula>"Fail"</formula>
    </cfRule>
  </conditionalFormatting>
  <dataValidations count="1">
    <dataValidation sqref="H9:H35" showDropDown="0" showInputMessage="0" showErrorMessage="0" allowBlank="0" type="list">
      <formula1>"Pass,Fail,Pending"</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Quản lý người giám sát (CAREGIVER)</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Người thân đọc dữ liệu sức khỏe / nhận cảnh báo của patient</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23.5" customHeight="1">
      <c r="A9" s="7" t="inlineStr">
        <is>
          <t>TC-CAREGIVER-01</t>
        </is>
      </c>
      <c r="B9" s="7" t="inlineStr">
        <is>
          <t>Xem danh sách người giám sát của chính mình</t>
        </is>
      </c>
      <c r="C9" s="8" t="inlineStr">
        <is>
          <t>P có 2 liên kết chấp thuận qua API (F1 bật chia sẻ, F2 chấp thuận sau), 1 liên kết cũ không bằng chứng (F3), và các liên kết pending/rejected/revoked; có liên kết của patient khác</t>
        </is>
      </c>
      <c r="D9" s="8" t="inlineStr">
        <is>
          <t>1. Đăng nhập bằng P
2. GET /family/caregivers</t>
        </is>
      </c>
      <c r="E9" s="8" t="inlineStr">
        <is>
          <t>-</t>
        </is>
      </c>
      <c r="F9" s="8" t="inlineStr">
        <is>
          <t>200; items theo thứ tự F2, F1, F3; mỗi mục đúng 6 field, status=active; F1 sharing_enabled=true; F3 approved_at=null; không có liên kết khác; audit list_caregivers/allowed không có link_id</t>
        </is>
      </c>
      <c r="G9" s="8" t="inlineStr">
        <is>
          <t>Đúng như mong đợi</t>
        </is>
      </c>
      <c r="H9" s="7" t="inlineStr">
        <is>
          <t>Pass</t>
        </is>
      </c>
      <c r="I9" s="8" t="inlineStr">
        <is>
          <t>AC11 · test_list_only_own_active_ordered_minimal__AC11 · evidence/test-integration.log</t>
        </is>
      </c>
      <c r="K9" s="9" t="inlineStr">
        <is>
          <t>sharing_enabled (body PATCH)</t>
        </is>
      </c>
      <c r="L9" s="10" t="inlineStr">
        <is>
          <t>true
false</t>
        </is>
      </c>
      <c r="M9" s="10" t="inlineStr">
        <is>
          <t>1
2</t>
        </is>
      </c>
      <c r="N9" s="10" t="inlineStr">
        <is>
          <t>"true" (chuỗi)
1
null
thiếu field
field lạ (patient_id)</t>
        </is>
      </c>
      <c r="O9" s="10" t="inlineStr">
        <is>
          <t>4
5
6
7
8</t>
        </is>
      </c>
      <c r="Q9" s="10" t="inlineStr">
        <is>
          <t>Liên kết active?</t>
        </is>
      </c>
      <c r="R9" s="11" t="inlineStr">
        <is>
          <t>Không</t>
        </is>
      </c>
      <c r="S9" s="11" t="inlineStr">
        <is>
          <t>Có</t>
        </is>
      </c>
      <c r="T9" s="11" t="inlineStr">
        <is>
          <t>Có</t>
        </is>
      </c>
      <c r="U9" s="11" t="inlineStr">
        <is>
          <t>Có</t>
        </is>
      </c>
    </row>
    <row r="10" ht="140" customHeight="1">
      <c r="A10" s="7" t="inlineStr">
        <is>
          <t>TC-CAREGIVER-02</t>
        </is>
      </c>
      <c r="B10" s="7" t="inlineStr">
        <is>
          <t>Xem danh sách khi chưa có người giám sát</t>
        </is>
      </c>
      <c r="C10" s="8" t="inlineStr">
        <is>
          <t>Tài khoản không có liên kết active</t>
        </is>
      </c>
      <c r="D10" s="8" t="inlineStr">
        <is>
          <t>1. GET /family/caregivers</t>
        </is>
      </c>
      <c r="E10" s="8" t="inlineStr">
        <is>
          <t>-</t>
        </is>
      </c>
      <c r="F10" s="8" t="inlineStr">
        <is>
          <t>200; {"items": []}</t>
        </is>
      </c>
      <c r="G10" s="8" t="inlineStr">
        <is>
          <t>200; {"items": []}</t>
        </is>
      </c>
      <c r="H10" s="7" t="inlineStr">
        <is>
          <t>Pass</t>
        </is>
      </c>
      <c r="I10" s="8" t="inlineStr">
        <is>
          <t>AC11 · test_empty_list_returns_items_empty__AC11 · evidence/test-integration.log</t>
        </is>
      </c>
      <c r="K10" s="9" t="inlineStr">
        <is>
          <t>link_id (path)</t>
        </is>
      </c>
      <c r="L10" s="10" t="inlineStr">
        <is>
          <t>id liên kết active của chính mình</t>
        </is>
      </c>
      <c r="M10" s="10" t="inlineStr">
        <is>
          <t>3</t>
        </is>
      </c>
      <c r="N10" s="10" t="inlineStr">
        <is>
          <t>0
-1
abc
9223372036854775808
id không tồn tại
liên kết của patient khác
liên kết không active (pending/rejected/revoked)</t>
        </is>
      </c>
      <c r="O10" s="10" t="inlineStr">
        <is>
          <t>9
10
11
12
13
14
15</t>
        </is>
      </c>
      <c r="Q10" s="10" t="inlineStr">
        <is>
          <t>Công tắc chia sẻ bật?</t>
        </is>
      </c>
      <c r="R10" s="11" t="inlineStr">
        <is>
          <t>-</t>
        </is>
      </c>
      <c r="S10" s="11" t="inlineStr">
        <is>
          <t>Không</t>
        </is>
      </c>
      <c r="T10" s="11" t="inlineStr">
        <is>
          <t>Có</t>
        </is>
      </c>
      <c r="U10" s="11" t="inlineStr">
        <is>
          <t>Có</t>
        </is>
      </c>
    </row>
    <row r="11" ht="90.5" customHeight="1">
      <c r="A11" s="7" t="inlineStr">
        <is>
          <t>TC-CAREGIVER-03</t>
        </is>
      </c>
      <c r="B11" s="7" t="inlineStr">
        <is>
          <t>Gửi query patient_id để xem người giám sát của người khác</t>
        </is>
      </c>
      <c r="C11" s="8" t="inlineStr">
        <is>
          <t>Đã đăng nhập</t>
        </is>
      </c>
      <c r="D11" s="8" t="inlineStr">
        <is>
          <t>1. GET /family/caregivers?patient_id=&lt;UUID khác&gt;</t>
        </is>
      </c>
      <c r="E11" s="8" t="inlineStr">
        <is>
          <t>patient_id=&lt;UUID&gt;</t>
        </is>
      </c>
      <c r="F11" s="8" t="inlineStr">
        <is>
          <t>422</t>
        </is>
      </c>
      <c r="G11" s="8" t="inlineStr">
        <is>
          <t>422</t>
        </is>
      </c>
      <c r="H11" s="7" t="inlineStr">
        <is>
          <t>Pass</t>
        </is>
      </c>
      <c r="I11" s="8" t="inlineStr">
        <is>
          <t>AC5 · Đoán lỗi (truy cập dữ liệu người khác) · test_caregivers_rejects_query_parameters__AC11 · evidence/test-integration.log</t>
        </is>
      </c>
      <c r="Q11" s="10" t="inlineStr">
        <is>
          <t>Patient còn đồng ý family_sharing?</t>
        </is>
      </c>
      <c r="R11" s="11" t="inlineStr">
        <is>
          <t>-</t>
        </is>
      </c>
      <c r="S11" s="11" t="inlineStr">
        <is>
          <t>-</t>
        </is>
      </c>
      <c r="T11" s="11" t="inlineStr">
        <is>
          <t>Không</t>
        </is>
      </c>
      <c r="U11" s="11" t="inlineStr">
        <is>
          <t>Có</t>
        </is>
      </c>
    </row>
    <row r="12" ht="74" customHeight="1">
      <c r="A12" s="7" t="inlineStr">
        <is>
          <t>TC-CAREGIVER-04</t>
        </is>
      </c>
      <c r="B12" s="7" t="inlineStr">
        <is>
          <t>Bật, bật lại và tắt chia sẻ</t>
        </is>
      </c>
      <c r="C12" s="8" t="inlineStr">
        <is>
          <t>Liên kết active chấp thuận qua API, chia sẻ đang tắt; P có family_sharing</t>
        </is>
      </c>
      <c r="D12" s="8" t="inlineStr">
        <is>
          <t>1. PATCH /family/links/{id}/sharing true
2. PATCH lại true
3. PATCH false</t>
        </is>
      </c>
      <c r="E12" s="8" t="inlineStr">
        <is>
          <t>{"sharing_enabled": true} / {"sharing_enabled": false}</t>
        </is>
      </c>
      <c r="F12" s="8" t="inlineStr">
        <is>
          <t>200 trả Caregiver với sharing_enabled đúng giá trị; gửi lại true trả kết quả giống hệt; DB đổi theo; audit enable_sharing x2, disable_sharing</t>
        </is>
      </c>
      <c r="G12" s="8" t="inlineStr">
        <is>
          <t>Đúng như mong đợi</t>
        </is>
      </c>
      <c r="H12" s="7" t="inlineStr">
        <is>
          <t>Pass</t>
        </is>
      </c>
      <c r="I12" s="8" t="inlineStr">
        <is>
          <t>AC12 · EP (1,2,3) · Đoán lỗi (gửi trùng) · test_enable_disable_idempotent_and_audit__AC12 · evidence/test-integration.log</t>
        </is>
      </c>
      <c r="Q12" s="6" t="inlineStr">
        <is>
          <t>Action</t>
        </is>
      </c>
      <c r="R12" s="5" t="inlineStr">
        <is>
          <t>R1</t>
        </is>
      </c>
      <c r="S12" s="5" t="inlineStr">
        <is>
          <t>R2</t>
        </is>
      </c>
      <c r="T12" s="5" t="inlineStr">
        <is>
          <t>R3</t>
        </is>
      </c>
      <c r="U12" s="5" t="inlineStr">
        <is>
          <t>R4</t>
        </is>
      </c>
    </row>
    <row r="13" ht="57.5" customHeight="1">
      <c r="A13" s="7" t="inlineStr">
        <is>
          <t>TC-CAREGIVER-05</t>
        </is>
      </c>
      <c r="B13" s="7" t="inlineStr">
        <is>
          <t>Tắt chia sẻ khi đã rút family_sharing</t>
        </is>
      </c>
      <c r="C13" s="8" t="inlineStr">
        <is>
          <t>Liên kết active đang chia sẻ; P đã rút family_sharing</t>
        </is>
      </c>
      <c r="D13" s="8" t="inlineStr">
        <is>
          <t>1. PATCH sharing false</t>
        </is>
      </c>
      <c r="E13" s="8" t="inlineStr">
        <is>
          <t>{"sharing_enabled": false}</t>
        </is>
      </c>
      <c r="F13" s="8" t="inlineStr">
        <is>
          <t>200; sharing_enabled=false</t>
        </is>
      </c>
      <c r="G13" s="8" t="inlineStr">
        <is>
          <t>Đúng như mong đợi</t>
        </is>
      </c>
      <c r="H13" s="7" t="inlineStr">
        <is>
          <t>Pass</t>
        </is>
      </c>
      <c r="I13" s="8" t="inlineStr">
        <is>
          <t>AC12 · test_disable_allowed_without_consent__AC12 · evidence/test-integration.log</t>
        </is>
      </c>
      <c r="Q13" s="10" t="inlineStr">
        <is>
          <t>403 + access_logs denied; không có trong danh sách nhận cảnh báo</t>
        </is>
      </c>
      <c r="R13" s="11" t="inlineStr">
        <is>
          <t>X</t>
        </is>
      </c>
      <c r="S13" s="11" t="inlineStr">
        <is>
          <t>X</t>
        </is>
      </c>
      <c r="T13" s="11" t="inlineStr">
        <is>
          <t>X</t>
        </is>
      </c>
      <c r="U13" s="11" t="inlineStr"/>
    </row>
    <row r="14" ht="74" customHeight="1">
      <c r="A14" s="7" t="inlineStr">
        <is>
          <t>TC-CAREGIVER-06</t>
        </is>
      </c>
      <c r="B14" s="7" t="inlineStr">
        <is>
          <t>Bật chia sẻ khi chưa đồng ý family_sharing</t>
        </is>
      </c>
      <c r="C14" s="8" t="inlineStr">
        <is>
          <t>Liên kết active, chia sẻ tắt; P đã rút family_sharing</t>
        </is>
      </c>
      <c r="D14" s="8" t="inlineStr">
        <is>
          <t>1. PATCH sharing true</t>
        </is>
      </c>
      <c r="E14" s="8" t="inlineStr">
        <is>
          <t>{"sharing_enabled": true}</t>
        </is>
      </c>
      <c r="F14" s="8" t="inlineStr">
        <is>
          <t>403 {"detail": "consent_revoked"}; công tắc vẫn tắt; audit enable_sharing/denied reason consent_revoked</t>
        </is>
      </c>
      <c r="G14" s="8" t="inlineStr">
        <is>
          <t>Đúng như mong đợi</t>
        </is>
      </c>
      <c r="H14" s="7" t="inlineStr">
        <is>
          <t>Pass</t>
        </is>
      </c>
      <c r="I14" s="8" t="inlineStr">
        <is>
          <t>AC7, AC10 · test_enable_without_consent_403_denied_audit__AC7_AC10 · evidence/test-integration.log</t>
        </is>
      </c>
      <c r="Q14" s="10" t="inlineStr">
        <is>
          <t>200 + access_logs allowed; có trong danh sách nhận cảnh báo</t>
        </is>
      </c>
      <c r="R14" s="11" t="inlineStr"/>
      <c r="S14" s="11" t="inlineStr"/>
      <c r="T14" s="11" t="inlineStr"/>
      <c r="U14" s="11" t="inlineStr">
        <is>
          <t>X</t>
        </is>
      </c>
    </row>
    <row r="15" ht="74" customHeight="1">
      <c r="A15" s="7" t="inlineStr">
        <is>
          <t>TC-CAREGIVER-07</t>
        </is>
      </c>
      <c r="B15" s="7" t="inlineStr">
        <is>
          <t>Bật chia sẻ cho liên kết cũ không có bằng chứng xác nhận</t>
        </is>
      </c>
      <c r="C15" s="8" t="inlineStr">
        <is>
          <t>Liên kết active tạo trước 3.16 (không có bằng chứng), chia sẻ bật</t>
        </is>
      </c>
      <c r="D15" s="8" t="inlineStr">
        <is>
          <t>1. PATCH sharing true
2. PATCH sharing false</t>
        </is>
      </c>
      <c r="E15" s="8" t="inlineStr">
        <is>
          <t>-</t>
        </is>
      </c>
      <c r="F15" s="8" t="inlineStr">
        <is>
          <t>true: 409 {"detail": "consent_confirmation_missing"}; false: 200, approved_at=null</t>
        </is>
      </c>
      <c r="G15" s="8" t="inlineStr">
        <is>
          <t>Đúng như mong đợi</t>
        </is>
      </c>
      <c r="H15" s="7" t="inlineStr">
        <is>
          <t>Pass</t>
        </is>
      </c>
      <c r="I15" s="8" t="inlineStr">
        <is>
          <t>AC10 · test_enable_legacy_link_409_confirmation_missing_but_disable_ok__AC10 · evidence/test-integration.log</t>
        </is>
      </c>
    </row>
    <row r="16" ht="90.5" customHeight="1">
      <c r="A16" s="7" t="inlineStr">
        <is>
          <t>TC-CAREGIVER-08</t>
        </is>
      </c>
      <c r="B16" s="7" t="inlineStr">
        <is>
          <t>Bật/tắt chia sẻ cho liên kết không active</t>
        </is>
      </c>
      <c r="C16" s="8" t="inlineStr">
        <is>
          <t>Liên kết pending, rejected hoặc revoked</t>
        </is>
      </c>
      <c r="D16" s="8" t="inlineStr">
        <is>
          <t>1. PATCH sharing true và false cho từng trạng thái</t>
        </is>
      </c>
      <c r="E16" s="8" t="inlineStr">
        <is>
          <t>6 tổ hợp trạng thái × giá trị</t>
        </is>
      </c>
      <c r="F16" s="8" t="inlineStr">
        <is>
          <t>409 {"detail": "family_link_not_active"}; dòng liên kết không đổi</t>
        </is>
      </c>
      <c r="G16" s="8" t="inlineStr">
        <is>
          <t>Đúng như mong đợi (6/6)</t>
        </is>
      </c>
      <c r="H16" s="7" t="inlineStr">
        <is>
          <t>Pass</t>
        </is>
      </c>
      <c r="I16" s="8" t="inlineStr">
        <is>
          <t>AC10 · EP (15) · Chuyển trạng thái (thao tác bị cấm) · test_sharing_on_non_active_link_409__AC10 · evidence/test-integration.log</t>
        </is>
      </c>
    </row>
    <row r="17" ht="74" customHeight="1">
      <c r="A17" s="7" t="inlineStr">
        <is>
          <t>TC-CAREGIVER-09</t>
        </is>
      </c>
      <c r="B17" s="7" t="inlineStr">
        <is>
          <t>Gửi body bật/tắt chia sẻ sai cấu trúc</t>
        </is>
      </c>
      <c r="C17" s="8" t="inlineStr">
        <is>
          <t>Đã đăng nhập</t>
        </is>
      </c>
      <c r="D17" s="8" t="inlineStr">
        <is>
          <t>1. PATCH /family/links/1/sharing với từng body sai</t>
        </is>
      </c>
      <c r="E17" s="8" t="inlineStr">
        <is>
          <t>(không body); {}; "true" (chuỗi); 1; null; {"sharing_enabled": true, "patient_id": "…"}</t>
        </is>
      </c>
      <c r="F17" s="8" t="inlineStr">
        <is>
          <t>422 ValidationError; không gọi use case</t>
        </is>
      </c>
      <c r="G17" s="8" t="inlineStr">
        <is>
          <t>422 cho mọi trường hợp</t>
        </is>
      </c>
      <c r="H17" s="7" t="inlineStr">
        <is>
          <t>Pass</t>
        </is>
      </c>
      <c r="I17" s="8" t="inlineStr">
        <is>
          <t>AC22 · EP (4,5,6,7,8) · test_strict_sharing_body_rejected_before_use_case · evidence/implement-final-backend.log</t>
        </is>
      </c>
    </row>
    <row r="18" ht="74" customHeight="1">
      <c r="A18" s="7" t="inlineStr">
        <is>
          <t>TC-CAREGIVER-10</t>
        </is>
      </c>
      <c r="B18" s="7" t="inlineStr">
        <is>
          <t>Gọi bật/tắt chia sẻ và hủy với link_id không hợp lệ</t>
        </is>
      </c>
      <c r="C18" s="8" t="inlineStr">
        <is>
          <t>Đã đăng nhập</t>
        </is>
      </c>
      <c r="D18" s="8" t="inlineStr">
        <is>
          <t>1. PATCH /family/links/{link_id}/sharing
2. POST /family/links/{link_id}/revoke</t>
        </is>
      </c>
      <c r="E18" s="8" t="inlineStr">
        <is>
          <t>link_id = 0, -1, abc, 1.1, 9223372036854775808</t>
        </is>
      </c>
      <c r="F18" s="8" t="inlineStr">
        <is>
          <t>422 cho mọi giá trị</t>
        </is>
      </c>
      <c r="G18" s="8" t="inlineStr">
        <is>
          <t>422</t>
        </is>
      </c>
      <c r="H18" s="7" t="inlineStr">
        <is>
          <t>Pass</t>
        </is>
      </c>
      <c r="I18" s="8" t="inlineStr">
        <is>
          <t>AC22 · EP (9,10,11,12) · BVA (min-1) · test_new_routes_invalid_path_id_is_422 · evidence/implement-final-backend.log</t>
        </is>
      </c>
    </row>
    <row r="19" ht="74" customHeight="1">
      <c r="A19" s="7" t="inlineStr">
        <is>
          <t>TC-CAREGIVER-11</t>
        </is>
      </c>
      <c r="B19" s="7" t="inlineStr">
        <is>
          <t>Thao tác trên liên kết không tồn tại</t>
        </is>
      </c>
      <c r="C19" s="8" t="inlineStr">
        <is>
          <t>P đã đăng nhập</t>
        </is>
      </c>
      <c r="D19" s="8" t="inlineStr">
        <is>
          <t>1. PATCH sharing true cho id 2000000000
2. POST revoke cho id 2000000000</t>
        </is>
      </c>
      <c r="E19" s="8" t="inlineStr">
        <is>
          <t>link_id=2000000000</t>
        </is>
      </c>
      <c r="F19" s="8" t="inlineStr">
        <is>
          <t>404 {"detail": "family_link_not_found"}; không ghi audit</t>
        </is>
      </c>
      <c r="G19" s="8" t="inlineStr">
        <is>
          <t>Đúng như mong đợi</t>
        </is>
      </c>
      <c r="H19" s="7" t="inlineStr">
        <is>
          <t>Pass</t>
        </is>
      </c>
      <c r="I19" s="8" t="inlineStr">
        <is>
          <t>AC10 · EP (13) · test_missing_link_404_without_allowed_audit__AC10 · evidence/test-integration.log</t>
        </is>
      </c>
    </row>
    <row r="20" ht="107" customHeight="1">
      <c r="A20" s="7" t="inlineStr">
        <is>
          <t>TC-CAREGIVER-12</t>
        </is>
      </c>
      <c r="B20" s="7" t="inlineStr">
        <is>
          <t>Người thân, người lạ, admin bật/tắt chia sẻ hoặc hủy liên kết thay patient</t>
        </is>
      </c>
      <c r="C20" s="8" t="inlineStr">
        <is>
          <t>Liên kết active P←F đang chia sẻ; người lạ X; admin A</t>
        </is>
      </c>
      <c r="D20" s="8" t="inlineStr">
        <is>
          <t>1. Gọi 3 endpoint không token
2. Với F, X, A: PATCH false, PATCH true, POST revoke
3. A gọi GET /family/caregivers
4. F, X gọi GET /family/caregivers
5. P gọi POST revoke</t>
        </is>
      </c>
      <c r="E20" s="8" t="inlineStr">
        <is>
          <t>-</t>
        </is>
      </c>
      <c r="F20" s="8" t="inlineStr">
        <is>
          <t>401 khi không token; 403 khong_co_quyen, liên kết không đổi, mỗi lượt 1 audit denied với actor là người gọi (admin không ghi patient/link); admin xem danh sách 403; F và X thấy items rỗng; P hủy được (200)</t>
        </is>
      </c>
      <c r="G20" s="8" t="inlineStr">
        <is>
          <t>Đúng như mong đợi</t>
        </is>
      </c>
      <c r="H20" s="7" t="inlineStr">
        <is>
          <t>Pass</t>
        </is>
      </c>
      <c r="I20" s="8" t="inlineStr">
        <is>
          <t>AC5 · EP (14) · test_new_endpoints_denied_caller_matrix__AC5 · evidence/test-integration.log</t>
        </is>
      </c>
    </row>
    <row r="21" ht="90.5" customHeight="1">
      <c r="A21" s="7" t="inlineStr">
        <is>
          <t>TC-CAREGIVER-13</t>
        </is>
      </c>
      <c r="B21" s="7" t="inlineStr">
        <is>
          <t>Hủy liên kết và gửi lại lệnh hủy</t>
        </is>
      </c>
      <c r="C21" s="8" t="inlineStr">
        <is>
          <t>Liên kết active đang chia sẻ</t>
        </is>
      </c>
      <c r="D21" s="8" t="inlineStr">
        <is>
          <t>1. POST /family/links/{id}/revoke
2. POST revoke lần 2
3. GET /family/caregivers</t>
        </is>
      </c>
      <c r="E21" s="8" t="inlineStr">
        <is>
          <t>(không body)</t>
        </is>
      </c>
      <c r="F21" s="8" t="inlineStr">
        <is>
          <t>200 {link_id, family_user_id, status: revoked, revoked_at}; lần 2 trả y hệt; bằng chứng đồng ý vẫn còn 1 dòng; audit revoke x2; danh sách rỗng</t>
        </is>
      </c>
      <c r="G21" s="8" t="inlineStr">
        <is>
          <t>Đúng như mong đợi</t>
        </is>
      </c>
      <c r="H21" s="7" t="inlineStr">
        <is>
          <t>Pass</t>
        </is>
      </c>
      <c r="I21" s="8" t="inlineStr">
        <is>
          <t>AC13 · Chuyển trạng thái (active→revoked) · test_revoke_keeps_history_and_replay_returns_same_time__AC13 · evidence/test-integration.log</t>
        </is>
      </c>
    </row>
    <row r="22" ht="74" customHeight="1">
      <c r="A22" s="7" t="inlineStr">
        <is>
          <t>TC-CAREGIVER-14</t>
        </is>
      </c>
      <c r="B22" s="7" t="inlineStr">
        <is>
          <t>Liên kết lại sau khi hủy</t>
        </is>
      </c>
      <c r="C22" s="8" t="inlineStr">
        <is>
          <t>Liên kết đã chấp thuận, bật chia sẻ, rồi bị hủy</t>
        </is>
      </c>
      <c r="D22" s="8" t="inlineStr">
        <is>
          <t>1. F gửi lại yêu cầu bằng mã của P
2. P chấp thuận</t>
        </is>
      </c>
      <c r="E22" s="8" t="inlineStr">
        <is>
          <t>client_uuid mới</t>
        </is>
      </c>
      <c r="F22" s="8" t="inlineStr">
        <is>
          <t>201 tạo liên kết mới pending (id khác); sau chấp thuận sharing_enabled=false; bằng chứng mới riêng, bằng chứng cũ còn; liên kết cũ vẫn revoked</t>
        </is>
      </c>
      <c r="G22" s="8" t="inlineStr">
        <is>
          <t>Đúng như mong đợi</t>
        </is>
      </c>
      <c r="H22" s="7" t="inlineStr">
        <is>
          <t>Pass</t>
        </is>
      </c>
      <c r="I22" s="8" t="inlineStr">
        <is>
          <t>AC13 · test_relink_after_revoke_starts_unshared_with_new_evidence__AC13 · evidence/test-integration.log</t>
        </is>
      </c>
    </row>
    <row r="23" ht="74" customHeight="1">
      <c r="A23" s="7" t="inlineStr">
        <is>
          <t>TC-CAREGIVER-15</t>
        </is>
      </c>
      <c r="B23" s="7" t="inlineStr">
        <is>
          <t>Hủy liên kết đang chờ hoặc đã bị từ chối</t>
        </is>
      </c>
      <c r="C23" s="8" t="inlineStr">
        <is>
          <t>Liên kết pending hoặc rejected</t>
        </is>
      </c>
      <c r="D23" s="8" t="inlineStr">
        <is>
          <t>1. POST revoke</t>
        </is>
      </c>
      <c r="E23" s="8" t="inlineStr">
        <is>
          <t>-</t>
        </is>
      </c>
      <c r="F23" s="8" t="inlineStr">
        <is>
          <t>409 {"detail": "invalid_link_transition"}; liên kết không đổi</t>
        </is>
      </c>
      <c r="G23" s="8" t="inlineStr">
        <is>
          <t>Đúng như mong đợi</t>
        </is>
      </c>
      <c r="H23" s="7" t="inlineStr">
        <is>
          <t>Pass</t>
        </is>
      </c>
      <c r="I23" s="8" t="inlineStr">
        <is>
          <t>AC10 · Chuyển trạng thái (chuyển bị cấm) · test_revoke_pending_or_rejected_409__AC10 · evidence/test-integration.log</t>
        </is>
      </c>
    </row>
    <row r="24" ht="57.5" customHeight="1">
      <c r="A24" s="7" t="inlineStr">
        <is>
          <t>TC-CAREGIVER-16</t>
        </is>
      </c>
      <c r="B24" s="7" t="inlineStr">
        <is>
          <t>Gửi body khi hủy liên kết</t>
        </is>
      </c>
      <c r="C24" s="8" t="inlineStr">
        <is>
          <t>Liên kết active</t>
        </is>
      </c>
      <c r="D24" s="8" t="inlineStr">
        <is>
          <t>1. POST revoke với body {}</t>
        </is>
      </c>
      <c r="E24" s="8" t="inlineStr">
        <is>
          <t>{}</t>
        </is>
      </c>
      <c r="F24" s="8" t="inlineStr">
        <is>
          <t>422; liên kết vẫn active</t>
        </is>
      </c>
      <c r="G24" s="8" t="inlineStr">
        <is>
          <t>422</t>
        </is>
      </c>
      <c r="H24" s="7" t="inlineStr">
        <is>
          <t>Pass</t>
        </is>
      </c>
      <c r="I24" s="8" t="inlineStr">
        <is>
          <t>AC10 · Đoán lỗi · test_revoke_with_body_is_422__AC10 · evidence/test-integration.log</t>
        </is>
      </c>
    </row>
    <row r="25" ht="123.5" customHeight="1">
      <c r="A25" s="7" t="inlineStr">
        <is>
          <t>TC-CAREGIVER-17</t>
        </is>
      </c>
      <c r="B25" s="7" t="inlineStr">
        <is>
          <t>Mỗi quyết định của patient có hiệu lực ngay ở request kế tiếp của người thân</t>
        </is>
      </c>
      <c r="C25" s="8" t="inlineStr">
        <is>
          <t>P có health_data và family_sharing, có một thuốc; F dùng một token duy nhất</t>
        </is>
      </c>
      <c r="D25" s="8" t="inlineStr">
        <is>
          <t>1. F gửi yêu cầu (pending) → F đọc GET /medications/{id}
2. P chấp thuận → F đọc
3. P bật chia sẻ → F đọc
4. P tắt chia sẻ → F đọc
5. P bật lại → F đọc, P hủy liên kết → F đọc
6. F gửi lại, P từ chối → F đọc</t>
        </is>
      </c>
      <c r="E25" s="8" t="inlineStr">
        <is>
          <t>-</t>
        </is>
      </c>
      <c r="F25" s="8" t="inlineStr">
        <is>
          <t>403 + access_logs denied ở pending, chấp thuận (chia sẻ tắt), tắt chia sẻ, hủy, từ chối; 200 + allowed (actor_role family) khi đang chia sẻ; danh sách nhận cảnh báo (authorized_caregivers) có F đúng khi được 200</t>
        </is>
      </c>
      <c r="G25" s="8" t="inlineStr">
        <is>
          <t>Đúng như mong đợi</t>
        </is>
      </c>
      <c r="H25" s="7" t="inlineStr">
        <is>
          <t>Pass</t>
        </is>
      </c>
      <c r="I25" s="8" t="inlineStr">
        <is>
          <t>AC6 · Decision Table (R1, R2, R4) · test_every_decision_applies_on_next_request_same_token__AC6 · evidence/test-integration.log</t>
        </is>
      </c>
    </row>
    <row r="26" ht="74" customHeight="1">
      <c r="A26" s="7" t="inlineStr">
        <is>
          <t>TC-CAREGIVER-18</t>
        </is>
      </c>
      <c r="B26" s="7" t="inlineStr">
        <is>
          <t>Rút family_sharing khi công tắc vẫn bật</t>
        </is>
      </c>
      <c r="C26" s="8" t="inlineStr">
        <is>
          <t>Liên kết active đang chia sẻ, F đọc được</t>
        </is>
      </c>
      <c r="D26" s="8" t="inlineStr">
        <is>
          <t>1. P rút family_sharing
2. F đọc GET /medications/{id} ngay</t>
        </is>
      </c>
      <c r="E26" s="8" t="inlineStr">
        <is>
          <t>-</t>
        </is>
      </c>
      <c r="F26" s="8" t="inlineStr">
        <is>
          <t>403 + access_logs denied; F không còn trong danh sách nhận cảnh báo; công tắc không tự đổi</t>
        </is>
      </c>
      <c r="G26" s="8" t="inlineStr">
        <is>
          <t>Đúng như mong đợi</t>
        </is>
      </c>
      <c r="H26" s="7" t="inlineStr">
        <is>
          <t>Pass</t>
        </is>
      </c>
      <c r="I26" s="8" t="inlineStr">
        <is>
          <t>AC6 · Decision Table (R3) · test_consent_withdrawal_blocks_even_with_sharing_on__AC6 · evidence/test-integration.log</t>
        </is>
      </c>
    </row>
    <row r="27" ht="74" customHeight="1">
      <c r="A27" s="7" t="inlineStr">
        <is>
          <t>TC-CAREGIVER-19</t>
        </is>
      </c>
      <c r="B27" s="7" t="inlineStr">
        <is>
          <t>Hủy liên kết và bật chia sẻ cùng lúc</t>
        </is>
      </c>
      <c r="C27" s="8" t="inlineStr">
        <is>
          <t>Liên kết active, chia sẻ tắt; giữ khóa dòng để hai request cùng chờ</t>
        </is>
      </c>
      <c r="D27" s="8" t="inlineStr">
        <is>
          <t>1. Gửi đồng thời PATCH sharing true và POST revoke
2. Nhả khóa
3. F đọc dữ liệu</t>
        </is>
      </c>
      <c r="E27" s="8" t="inlineStr">
        <is>
          <t>-</t>
        </is>
      </c>
      <c r="F27" s="8" t="inlineStr">
        <is>
          <t>Revoke 200; PATCH 200 hoặc 409 family_link_not_active; trạng thái cuối revoked; F nhận 403 + denied</t>
        </is>
      </c>
      <c r="G27" s="8" t="inlineStr">
        <is>
          <t>Đúng như mong đợi (chạy 5 lần đều pass)</t>
        </is>
      </c>
      <c r="H27" s="7" t="inlineStr">
        <is>
          <t>Pass</t>
        </is>
      </c>
      <c r="I27" s="8" t="inlineStr">
        <is>
          <t>AC15 · Đoán lỗi (chạy đua) · test_concurrent_revoke_and_enable_sharing_ends_revoked__AC15 · evidence/test-integration.log</t>
        </is>
      </c>
    </row>
    <row r="28" ht="107" customHeight="1">
      <c r="A28" s="7" t="inlineStr">
        <is>
          <t>TC-CAREGIVER-20</t>
        </is>
      </c>
      <c r="B28" s="7" t="inlineStr">
        <is>
          <t>Kiểm migration audit cho thao tác mới</t>
        </is>
      </c>
      <c r="C28" s="8" t="inlineStr">
        <is>
          <t>DB reset sạch (supabase db reset)</t>
        </is>
      </c>
      <c r="D28" s="8" t="inlineStr">
        <is>
          <t>1. Chèn audit list_caregivers không link_id
2. Chèn enable_sharing/disable_sharing/revoke allowed và denied
3. Chèn operation lạ
4. Chèn allowed gắn link không có link_id
5. UPDATE/DELETE/TRUNCATE với mọi role</t>
        </is>
      </c>
      <c r="E28" s="8" t="inlineStr">
        <is>
          <t>operation = update_sharing, delete, LIST_CAREGIVERS, (blank)</t>
        </is>
      </c>
      <c r="F28" s="8" t="inlineStr">
        <is>
          <t>Operation mới được nhận; operation lạ và allowed gắn link thiếu link_id bị từ chối; mọi role không sửa/xóa được; ràng buộc đúng định nghĩa migration</t>
        </is>
      </c>
      <c r="G28" s="8" t="inlineStr">
        <is>
          <t>Đúng như mong đợi (32 test)</t>
        </is>
      </c>
      <c r="H28" s="7" t="inlineStr">
        <is>
          <t>Pass</t>
        </is>
      </c>
      <c r="I28" s="8" t="inlineStr">
        <is>
          <t>AC14 · test_migration_family_link_audit_operations.py · evidence/test-integration.log, evidence/test-db-reset.log</t>
        </is>
      </c>
    </row>
    <row r="29" ht="74" customHeight="1">
      <c r="A29" s="7" t="inlineStr">
        <is>
          <t>TC-CAREGIVER-21</t>
        </is>
      </c>
      <c r="B29" s="7" t="inlineStr">
        <is>
          <t>Mở màn Người giám sát từ Hồ sơ</t>
        </is>
      </c>
      <c r="C29" s="8" t="inlineStr">
        <is>
          <t>App mobile; có 2 người giám sát (1 không tên, 1 liên kết cũ)</t>
        </is>
      </c>
      <c r="D29" s="8" t="inlineStr">
        <is>
          <t>1. Hồ sơ &gt; Người giám sát</t>
        </is>
      </c>
      <c r="E29" s="8" t="inlineStr">
        <is>
          <t>approved_at = 2026-10-14T18:00:00Z</t>
        </is>
      </c>
      <c r="F29" s="8" t="inlineStr">
        <is>
          <t>Không còn "Sắp ra mắt"; hiện tên, "Chấp thuận ngày 15/10/2026", "Người dùng DrugTime", "Liên kết trước khi có bước xác nhận đồng ý", công tắc đúng giá trị</t>
        </is>
      </c>
      <c r="G29" s="8" t="inlineStr">
        <is>
          <t>Đúng như mong đợi</t>
        </is>
      </c>
      <c r="H29" s="7" t="inlineStr">
        <is>
          <t>Pass</t>
        </is>
      </c>
      <c r="I29" s="8" t="inlineStr">
        <is>
          <t>AC20 · caregivers_screen_test.dart (AC20), profile_screens_test.dart (AC20) · evidence/implement-final-frontend.log</t>
        </is>
      </c>
    </row>
    <row r="30" ht="74" customHeight="1">
      <c r="A30" s="7" t="inlineStr">
        <is>
          <t>TC-CAREGIVER-22</t>
        </is>
      </c>
      <c r="B30" s="7" t="inlineStr">
        <is>
          <t>Màn trống: bấm Mở tab Người thân</t>
        </is>
      </c>
      <c r="C30" s="8" t="inlineStr">
        <is>
          <t>Chưa có người giám sát</t>
        </is>
      </c>
      <c r="D30" s="8" t="inlineStr">
        <is>
          <t>1. Hồ sơ &gt; Người giám sát
2. Bấm "Mở tab Người thân"</t>
        </is>
      </c>
      <c r="E30" s="8" t="inlineStr">
        <is>
          <t>-</t>
        </is>
      </c>
      <c r="F30" s="8" t="inlineStr">
        <is>
          <t>Hiện "Chưa có người giám sát"; bấm nút thì đóng màn, shell chuyển sang tab Người thân và tải yêu cầu đang chờ</t>
        </is>
      </c>
      <c r="G30" s="8" t="inlineStr">
        <is>
          <t>Đúng như mong đợi</t>
        </is>
      </c>
      <c r="H30" s="7" t="inlineStr">
        <is>
          <t>Pass</t>
        </is>
      </c>
      <c r="I30" s="8" t="inlineStr">
        <is>
          <t>AC20 · app_shell_test.dart (AC20), caregivers_screen_test.dart · evidence/implement-final-frontend.log</t>
        </is>
      </c>
    </row>
    <row r="31" ht="74" customHeight="1">
      <c r="A31" s="7" t="inlineStr">
        <is>
          <t>TC-CAREGIVER-23</t>
        </is>
      </c>
      <c r="B31" s="7" t="inlineStr">
        <is>
          <t>Gạt công tắc chia sẻ trên app</t>
        </is>
      </c>
      <c r="C31" s="8" t="inlineStr">
        <is>
          <t>Có người giám sát</t>
        </is>
      </c>
      <c r="D31" s="8" t="inlineStr">
        <is>
          <t>1. Gạt công tắc
2. Trong lúc chờ gạt lại
3. Lần khác: server trả lỗi mạng</t>
        </is>
      </c>
      <c r="E31" s="8" t="inlineStr">
        <is>
          <t>-</t>
        </is>
      </c>
      <c r="F31" s="8" t="inlineStr">
        <is>
          <t>Công tắc và nút hủy khóa khi đang gửi, chỉ 1 request; hiện giá trị server trả và báo "Đã bật/tắt chia sẻ với …"; lỗi mạng thì giữ giá trị cũ và báo lỗi</t>
        </is>
      </c>
      <c r="G31" s="8" t="inlineStr">
        <is>
          <t>Đúng như mong đợi</t>
        </is>
      </c>
      <c r="H31" s="7" t="inlineStr">
        <is>
          <t>Pass</t>
        </is>
      </c>
      <c r="I31" s="8" t="inlineStr">
        <is>
          <t>AC21 · Đoán lỗi (bấm liên tục, mất mạng) · caregivers_screen_test.dart (AC21) · evidence/implement-final-frontend.log</t>
        </is>
      </c>
    </row>
    <row r="32" ht="90.5" customHeight="1">
      <c r="A32" s="7" t="inlineStr">
        <is>
          <t>TC-CAREGIVER-24</t>
        </is>
      </c>
      <c r="B32" s="7" t="inlineStr">
        <is>
          <t>Hủy liên kết trên app có hộp xác nhận</t>
        </is>
      </c>
      <c r="C32" s="8" t="inlineStr">
        <is>
          <t>Có người giám sát Nguyễn Văn An</t>
        </is>
      </c>
      <c r="D32" s="8" t="inlineStr">
        <is>
          <t>1. Bấm Hủy liên kết rồi Giữ liên kết
2. Bấm Hủy liên kết rồi xác nhận</t>
        </is>
      </c>
      <c r="E32" s="8" t="inlineStr">
        <is>
          <t>-</t>
        </is>
      </c>
      <c r="F32" s="8" t="inlineStr">
        <is>
          <t>Hộp nêu người thân mất quyền xem ngay và phải gửi yêu cầu mới; giữ thì không gọi API; xác nhận thì gọi revoke rồi tải lại, mục biến mất, báo "Đã hủy liên kết với Nguyễn Văn An."</t>
        </is>
      </c>
      <c r="G32" s="8" t="inlineStr">
        <is>
          <t>Đúng như mong đợi</t>
        </is>
      </c>
      <c r="H32" s="7" t="inlineStr">
        <is>
          <t>Pass</t>
        </is>
      </c>
      <c r="I32" s="8" t="inlineStr">
        <is>
          <t>AC21 · caregivers_screen_test.dart (AC21) · evidence/implement-final-frontend.log</t>
        </is>
      </c>
    </row>
    <row r="33" ht="57.5" customHeight="1">
      <c r="A33" s="7" t="inlineStr">
        <is>
          <t>TC-CAREGIVER-25</t>
        </is>
      </c>
      <c r="B33" s="7" t="inlineStr">
        <is>
          <t>Chưa bật family_sharing: chỉ tắt được, không bật được</t>
        </is>
      </c>
      <c r="C33" s="8" t="inlineStr">
        <is>
          <t>Tài khoản chưa bật family_sharing; 1 người giám sát đang tắt, 1 đang bật</t>
        </is>
      </c>
      <c r="D33" s="8" t="inlineStr">
        <is>
          <t>1. Mở màn Người giám sát
2. Bấm "Mở Quyền riêng tư"</t>
        </is>
      </c>
      <c r="E33" s="8" t="inlineStr">
        <is>
          <t>-</t>
        </is>
      </c>
      <c r="F33" s="8" t="inlineStr">
        <is>
          <t>Có dải nhắc; công tắc đang tắt bị khóa, công tắc đang bật vẫn tắt được; nút mở màn Quyền riêng tư</t>
        </is>
      </c>
      <c r="G33" s="8" t="inlineStr">
        <is>
          <t>Đúng như mong đợi</t>
        </is>
      </c>
      <c r="H33" s="7" t="inlineStr">
        <is>
          <t>Pass</t>
        </is>
      </c>
      <c r="I33" s="8" t="inlineStr">
        <is>
          <t>AC19 · caregivers_screen_test.dart (AC19) · evidence/implement-final-frontend.log</t>
        </is>
      </c>
    </row>
    <row r="34" ht="57.5" customHeight="1">
      <c r="A34" s="7" t="inlineStr">
        <is>
          <t>TC-CAREGIVER-26</t>
        </is>
      </c>
      <c r="B34" s="7" t="inlineStr">
        <is>
          <t>Xử lý lỗi khi bật chia sẻ trên app</t>
        </is>
      </c>
      <c r="C34" s="8" t="inlineStr">
        <is>
          <t>Có người giám sát; server trả lỗi</t>
        </is>
      </c>
      <c r="D34" s="8" t="inlineStr">
        <is>
          <t>1. Bật chia sẻ khi server trả lần lượt 403 consent_revoked, 409, 404, 409 consent_confirmation_missing, lỗi mạng</t>
        </is>
      </c>
      <c r="E34" s="8" t="inlineStr">
        <is>
          <t>-</t>
        </is>
      </c>
      <c r="F34" s="8" t="inlineStr">
        <is>
          <t>Báo đúng câu cho từng lỗi; công tắc giữ giá trị cũ; 409/404 thì tải lại danh sách</t>
        </is>
      </c>
      <c r="G34" s="8" t="inlineStr">
        <is>
          <t>Đúng như mong đợi</t>
        </is>
      </c>
      <c r="H34" s="7" t="inlineStr">
        <is>
          <t>Pass</t>
        </is>
      </c>
      <c r="I34" s="8" t="inlineStr">
        <is>
          <t>AC22 · caregivers_screen_test.dart (AC22) · evidence/implement-final-frontend.log</t>
        </is>
      </c>
    </row>
    <row r="35" ht="57.5" customHeight="1">
      <c r="A35" s="7" t="inlineStr">
        <is>
          <t>TC-CAREGIVER-27</t>
        </is>
      </c>
      <c r="B35" s="7" t="inlineStr">
        <is>
          <t>Mở lại màn và kéo xuống luôn gọi lại API</t>
        </is>
      </c>
      <c r="C35" s="8" t="inlineStr">
        <is>
          <t>Có người giám sát</t>
        </is>
      </c>
      <c r="D35" s="8" t="inlineStr">
        <is>
          <t>1. Kéo xuống
2. Đóng rồi mở lại màn</t>
        </is>
      </c>
      <c r="E35" s="8" t="inlineStr">
        <is>
          <t>-</t>
        </is>
      </c>
      <c r="F35" s="8" t="inlineStr">
        <is>
          <t>Mỗi lần gọi lại listCaregivers; không dùng dữ liệu cũ</t>
        </is>
      </c>
      <c r="G35" s="8" t="inlineStr">
        <is>
          <t>Đúng như mong đợi</t>
        </is>
      </c>
      <c r="H35" s="7" t="inlineStr">
        <is>
          <t>Pass</t>
        </is>
      </c>
      <c r="I35" s="8" t="inlineStr">
        <is>
          <t>AC22 · caregivers_screen_test.dart (AC20, AC22) · evidence/implement-final-frontend.log</t>
        </is>
      </c>
    </row>
    <row r="36" ht="90.5" customHeight="1">
      <c r="A36" s="7" t="inlineStr">
        <is>
          <t>TC-CAREGIVER-28</t>
        </is>
      </c>
      <c r="B36" s="7" t="inlineStr">
        <is>
          <t>Bật/tắt chia sẻ và hủy liên kết thật trên hai thiết bị</t>
        </is>
      </c>
      <c r="C36" s="8" t="inlineStr">
        <is>
          <t>P và F đã liên kết, chia sẻ bật; backend đang chạy</t>
        </is>
      </c>
      <c r="D36" s="8" t="inlineStr">
        <is>
          <t>1. F mở dữ liệu thuốc của P
2. P tắt chia sẻ ở Hồ sơ &gt; Người giám sát
3. F tải lại
4. P bật lại rồi Hủy liên kết
5. F tải lại; F gửi lại mã</t>
        </is>
      </c>
      <c r="E36" s="8" t="inlineStr">
        <is>
          <t>-</t>
        </is>
      </c>
      <c r="F36" s="8" t="inlineStr">
        <is>
          <t>F xem được khi đang chia sẻ; sau khi tắt hoặc hủy, lần tải kế tiếp F bị từ chối; sau khi hủy F gửi lại mã tạo được yêu cầu mới</t>
        </is>
      </c>
      <c r="G36" s="8" t="inlineStr"/>
      <c r="H36" s="7" t="inlineStr">
        <is>
          <t>Pending</t>
        </is>
      </c>
      <c r="I36" s="8" t="inlineStr">
        <is>
          <t>AC23 · manual</t>
        </is>
      </c>
    </row>
    <row r="37"/>
    <row r="38"/>
    <row r="39">
      <c r="G39" s="12" t="inlineStr">
        <is>
          <t>Pass</t>
        </is>
      </c>
      <c r="H39" s="13">
        <f>COUNTIF(H9:H36,"Pass")</f>
        <v/>
      </c>
    </row>
    <row r="40">
      <c r="G40" s="12" t="inlineStr">
        <is>
          <t>Fail</t>
        </is>
      </c>
      <c r="H40" s="13">
        <f>COUNTIF(H9:H36,"Fail")</f>
        <v/>
      </c>
    </row>
    <row r="41">
      <c r="G41" s="12" t="inlineStr">
        <is>
          <t>Pending</t>
        </is>
      </c>
      <c r="H41" s="13">
        <f>COUNTIF(H9:H36,"Pending")</f>
        <v/>
      </c>
    </row>
    <row r="42">
      <c r="G42" s="12" t="inlineStr">
        <is>
          <t>Total</t>
        </is>
      </c>
      <c r="H42" s="13">
        <f>SUM(H39:H41)</f>
        <v/>
      </c>
    </row>
  </sheetData>
  <autoFilter ref="A8:I36"/>
  <conditionalFormatting sqref="H9:H36">
    <cfRule type="cellIs" priority="1" operator="equal" dxfId="0">
      <formula>"Fail"</formula>
    </cfRule>
  </conditionalFormatting>
  <dataValidations count="1">
    <dataValidation sqref="H9:H36" showDropDown="0" showInputMessage="0" showErrorMessage="0" allowBlank="0" type="list">
      <formula1>"Pass,Fail,Pending"</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W8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Cảnh báo người thân (FALERT)</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Quyền notification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TC-FALERT-01</t>
        </is>
      </c>
      <c r="B9" s="7" t="inlineStr">
        <is>
          <t>Kiểm tra hộp thư, đọc chi tiết và PATCH lặp</t>
        </is>
      </c>
      <c r="C9" s="8" t="inlineStr">
        <is>
          <t>Supabase local đã reset, API dùng api_role; dữ liệu test synthetic độc lập. Không dùng DB deploy.</t>
        </is>
      </c>
      <c r="D9" s="8" t="inlineStr">
        <is>
          <t>1. Đăng nhập người thân F có liên kết active và hai consent của P.
2. Tạo một notification chưa đọc với thuốc Thuốc snapshot, giờ 2026-10-20T01:00:00Z.
3. GET /notifications, GET /notifications/{id}; PATCH is_read=true hai lần; GET lại danh sách.
4. Đếm dose_logs và truy vấn access_logs theo P.</t>
        </is>
      </c>
      <c r="E9" s="8" t="inlineStr">
        <is>
          <t>P/F là UUID synthetic mới mỗi lần; ID notification lấy từ DB fixture; giờ 2026-10-20T01:00:00Z.</t>
        </is>
      </c>
      <c r="F9" s="8" t="inlineStr">
        <is>
          <t>List total=1/unread=1; detail đủ patient/thuốc/giờ và không mark read; PATCH 200; unread=0; 5 allowed ADHERENCE/READ; dose không đổi.</t>
        </is>
      </c>
      <c r="G9" s="8" t="inlineStr">
        <is>
          <t>Đã chạy tự động: các kiểm tra response và DB nêu ở Expected Result đều pass.</t>
        </is>
      </c>
      <c r="H9" s="7" t="inlineStr">
        <is>
          <t>Pass</t>
        </is>
      </c>
      <c r="I9" s="8" t="inlineStr">
        <is>
          <t>AC3, AC4 · đoán lỗi, chuyển trạng thái và bảo mật · test_allowed_list_detail_patch_use_read_audit_and_replay__AC3_AC4 · evidence/test-task-integration-final.log</t>
        </is>
      </c>
      <c r="K9" s="9" t="inlineStr">
        <is>
          <t>limit</t>
        </is>
      </c>
      <c r="L9" s="10" t="inlineStr">
        <is>
          <t>1..100</t>
        </is>
      </c>
      <c r="M9" s="10" t="inlineStr">
        <is>
          <t>1</t>
        </is>
      </c>
      <c r="N9" s="10" t="inlineStr">
        <is>
          <t>0
101</t>
        </is>
      </c>
      <c r="O9" s="10" t="inlineStr">
        <is>
          <t>3
4</t>
        </is>
      </c>
      <c r="Q9" s="10" t="inlineStr">
        <is>
          <t>Liên kết active?</t>
        </is>
      </c>
      <c r="R9" s="11" t="inlineStr">
        <is>
          <t>Yes</t>
        </is>
      </c>
      <c r="S9" s="11" t="inlineStr">
        <is>
          <t>No</t>
        </is>
      </c>
      <c r="T9" s="11" t="inlineStr">
        <is>
          <t>Yes</t>
        </is>
      </c>
      <c r="U9" s="11" t="inlineStr">
        <is>
          <t>Yes</t>
        </is>
      </c>
      <c r="V9" s="11" t="inlineStr">
        <is>
          <t>Yes</t>
        </is>
      </c>
      <c r="W9" s="11" t="inlineStr">
        <is>
          <t>Yes</t>
        </is>
      </c>
    </row>
    <row r="10" ht="107" customHeight="1">
      <c r="A10" s="7" t="inlineStr">
        <is>
          <t>TC-FALERT-02</t>
        </is>
      </c>
      <c r="B10" s="7" t="inlineStr">
        <is>
          <t>Kiểm tra request kế tiếp sau thu hồi quyền [list-unlinked]</t>
        </is>
      </c>
      <c r="C10" s="8" t="inlineStr">
        <is>
          <t>Supabase local đã reset, API dùng api_role; dữ liệu test synthetic độc lập. Không dùng DB deploy.</t>
        </is>
      </c>
      <c r="D1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0" s="8" t="inlineStr">
        <is>
          <t>list-unlinked</t>
        </is>
      </c>
      <c r="F10" s="8" t="inlineStr">
        <is>
          <t>List 200 items=[] total=0 unread_count=0; detail/PATCH 403 khong_co_quyen; có denied; is_read không đổi.</t>
        </is>
      </c>
      <c r="G10" s="8" t="inlineStr">
        <is>
          <t>Đã chạy tự động: các kiểm tra response và DB nêu ở Expected Result đều pass.</t>
        </is>
      </c>
      <c r="H10" s="7" t="inlineStr">
        <is>
          <t>Pass</t>
        </is>
      </c>
      <c r="I10" s="8" t="inlineStr">
        <is>
          <t>AC5 · Decision Table (R2) · test_revocation_next_request_filters_counts_or_denies_and_audits__AC5[list-unlinked] · evidence/test-task-integration-final.log</t>
        </is>
      </c>
      <c r="K10" s="9" t="inlineStr">
        <is>
          <t>offset</t>
        </is>
      </c>
      <c r="L10" s="10" t="inlineStr">
        <is>
          <t>0 hoặc số dương</t>
        </is>
      </c>
      <c r="M10" s="10" t="inlineStr">
        <is>
          <t>2</t>
        </is>
      </c>
      <c r="N10" s="10" t="inlineStr">
        <is>
          <t>-1</t>
        </is>
      </c>
      <c r="O10" s="10" t="inlineStr">
        <is>
          <t>5</t>
        </is>
      </c>
      <c r="Q10" s="10" t="inlineStr">
        <is>
          <t>Chia sẻ bật?</t>
        </is>
      </c>
      <c r="R10" s="11" t="inlineStr">
        <is>
          <t>Yes</t>
        </is>
      </c>
      <c r="S10" s="11" t="inlineStr">
        <is>
          <t>-</t>
        </is>
      </c>
      <c r="T10" s="11" t="inlineStr">
        <is>
          <t>No</t>
        </is>
      </c>
      <c r="U10" s="11" t="inlineStr">
        <is>
          <t>Yes</t>
        </is>
      </c>
      <c r="V10" s="11" t="inlineStr">
        <is>
          <t>Yes</t>
        </is>
      </c>
      <c r="W10" s="11" t="inlineStr">
        <is>
          <t>Yes</t>
        </is>
      </c>
    </row>
    <row r="11" ht="107" customHeight="1">
      <c r="A11" s="7" t="inlineStr">
        <is>
          <t>TC-FALERT-03</t>
        </is>
      </c>
      <c r="B11" s="7" t="inlineStr">
        <is>
          <t>Kiểm tra request kế tiếp sau thu hồi quyền [list-inactive]</t>
        </is>
      </c>
      <c r="C11" s="8" t="inlineStr">
        <is>
          <t>Supabase local đã reset, API dùng api_role; dữ liệu test synthetic độc lập. Không dùng DB deploy.</t>
        </is>
      </c>
      <c r="D1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1" s="8" t="inlineStr">
        <is>
          <t>list-inactive</t>
        </is>
      </c>
      <c r="F11" s="8" t="inlineStr">
        <is>
          <t>List 200 items=[] total=0 unread_count=0; detail/PATCH 403 khong_co_quyen; có denied; is_read không đổi.</t>
        </is>
      </c>
      <c r="G11" s="8" t="inlineStr">
        <is>
          <t>Đã chạy tự động: các kiểm tra response và DB nêu ở Expected Result đều pass.</t>
        </is>
      </c>
      <c r="H11" s="7" t="inlineStr">
        <is>
          <t>Pass</t>
        </is>
      </c>
      <c r="I11" s="8" t="inlineStr">
        <is>
          <t>AC5 · Decision Table (R2) · test_revocation_next_request_filters_counts_or_denies_and_audits__AC5[list-inactive] · evidence/test-task-integration-final.log</t>
        </is>
      </c>
      <c r="Q11" s="10" t="inlineStr">
        <is>
          <t>health_data còn hiệu lực?</t>
        </is>
      </c>
      <c r="R11" s="11" t="inlineStr">
        <is>
          <t>Yes</t>
        </is>
      </c>
      <c r="S11" s="11" t="inlineStr">
        <is>
          <t>-</t>
        </is>
      </c>
      <c r="T11" s="11" t="inlineStr">
        <is>
          <t>-</t>
        </is>
      </c>
      <c r="U11" s="11" t="inlineStr">
        <is>
          <t>No</t>
        </is>
      </c>
      <c r="V11" s="11" t="inlineStr">
        <is>
          <t>Yes</t>
        </is>
      </c>
      <c r="W11" s="11" t="inlineStr">
        <is>
          <t>Yes</t>
        </is>
      </c>
    </row>
    <row r="12" ht="107" customHeight="1">
      <c r="A12" s="7" t="inlineStr">
        <is>
          <t>TC-FALERT-04</t>
        </is>
      </c>
      <c r="B12" s="7" t="inlineStr">
        <is>
          <t>Kiểm tra request kế tiếp sau thu hồi quyền [list-sharing_off]</t>
        </is>
      </c>
      <c r="C12" s="8" t="inlineStr">
        <is>
          <t>Supabase local đã reset, API dùng api_role; dữ liệu test synthetic độc lập. Không dùng DB deploy.</t>
        </is>
      </c>
      <c r="D1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2" s="8" t="inlineStr">
        <is>
          <t>list-sharing_off</t>
        </is>
      </c>
      <c r="F12" s="8" t="inlineStr">
        <is>
          <t>List 200 items=[] total=0 unread_count=0; detail/PATCH 403 khong_co_quyen; có denied; is_read không đổi.</t>
        </is>
      </c>
      <c r="G12" s="8" t="inlineStr">
        <is>
          <t>Đã chạy tự động: các kiểm tra response và DB nêu ở Expected Result đều pass.</t>
        </is>
      </c>
      <c r="H12" s="7" t="inlineStr">
        <is>
          <t>Pass</t>
        </is>
      </c>
      <c r="I12" s="8" t="inlineStr">
        <is>
          <t>AC5 · Decision Table (R3) · test_revocation_next_request_filters_counts_or_denies_and_audits__AC5[list-sharing_off] · evidence/test-task-integration-final.log</t>
        </is>
      </c>
      <c r="Q12" s="10" t="inlineStr">
        <is>
          <t>family_sharing còn hiệu lực?</t>
        </is>
      </c>
      <c r="R12" s="11" t="inlineStr">
        <is>
          <t>Yes</t>
        </is>
      </c>
      <c r="S12" s="11" t="inlineStr">
        <is>
          <t>-</t>
        </is>
      </c>
      <c r="T12" s="11" t="inlineStr">
        <is>
          <t>-</t>
        </is>
      </c>
      <c r="U12" s="11" t="inlineStr">
        <is>
          <t>-</t>
        </is>
      </c>
      <c r="V12" s="11" t="inlineStr">
        <is>
          <t>No</t>
        </is>
      </c>
      <c r="W12" s="11" t="inlineStr">
        <is>
          <t>Yes</t>
        </is>
      </c>
    </row>
    <row r="13" ht="107" customHeight="1">
      <c r="A13" s="7" t="inlineStr">
        <is>
          <t>TC-FALERT-05</t>
        </is>
      </c>
      <c r="B13" s="7" t="inlineStr">
        <is>
          <t>Kiểm tra request kế tiếp sau thu hồi quyền [list-health_data]</t>
        </is>
      </c>
      <c r="C13" s="8" t="inlineStr">
        <is>
          <t>Supabase local đã reset, API dùng api_role; dữ liệu test synthetic độc lập. Không dùng DB deploy.</t>
        </is>
      </c>
      <c r="D1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3" s="8" t="inlineStr">
        <is>
          <t>list-health_data</t>
        </is>
      </c>
      <c r="F13" s="8" t="inlineStr">
        <is>
          <t>List 200 items=[] total=0 unread_count=0; detail/PATCH 403 khong_co_quyen; có denied; is_read không đổi.</t>
        </is>
      </c>
      <c r="G13" s="8" t="inlineStr">
        <is>
          <t>Đã chạy tự động: các kiểm tra response và DB nêu ở Expected Result đều pass.</t>
        </is>
      </c>
      <c r="H13" s="7" t="inlineStr">
        <is>
          <t>Pass</t>
        </is>
      </c>
      <c r="I13" s="8" t="inlineStr">
        <is>
          <t>AC5 · Decision Table (R4) · test_revocation_next_request_filters_counts_or_denies_and_audits__AC5[list-health_data] · evidence/test-task-integration-final.log</t>
        </is>
      </c>
      <c r="Q13" s="10" t="inlineStr">
        <is>
          <t>Facts/audit/commit thành công?</t>
        </is>
      </c>
      <c r="R13" s="11" t="inlineStr">
        <is>
          <t>Yes</t>
        </is>
      </c>
      <c r="S13" s="11" t="inlineStr">
        <is>
          <t>Yes</t>
        </is>
      </c>
      <c r="T13" s="11" t="inlineStr">
        <is>
          <t>Yes</t>
        </is>
      </c>
      <c r="U13" s="11" t="inlineStr">
        <is>
          <t>Yes</t>
        </is>
      </c>
      <c r="V13" s="11" t="inlineStr">
        <is>
          <t>Yes</t>
        </is>
      </c>
      <c r="W13" s="11" t="inlineStr">
        <is>
          <t>No</t>
        </is>
      </c>
    </row>
    <row r="14" ht="107" customHeight="1">
      <c r="A14" s="7" t="inlineStr">
        <is>
          <t>TC-FALERT-06</t>
        </is>
      </c>
      <c r="B14" s="7" t="inlineStr">
        <is>
          <t>Kiểm tra request kế tiếp sau thu hồi quyền [list-family_sharing]</t>
        </is>
      </c>
      <c r="C14" s="8" t="inlineStr">
        <is>
          <t>Supabase local đã reset, API dùng api_role; dữ liệu test synthetic độc lập. Không dùng DB deploy.</t>
        </is>
      </c>
      <c r="D1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4" s="8" t="inlineStr">
        <is>
          <t>list-family_sharing</t>
        </is>
      </c>
      <c r="F14" s="8" t="inlineStr">
        <is>
          <t>List 200 items=[] total=0 unread_count=0; detail/PATCH 403 khong_co_quyen; có denied; is_read không đổi.</t>
        </is>
      </c>
      <c r="G14" s="8" t="inlineStr">
        <is>
          <t>Đã chạy tự động: các kiểm tra response và DB nêu ở Expected Result đều pass.</t>
        </is>
      </c>
      <c r="H14" s="7" t="inlineStr">
        <is>
          <t>Pass</t>
        </is>
      </c>
      <c r="I14" s="8" t="inlineStr">
        <is>
          <t>AC5 · Decision Table (R5) · test_revocation_next_request_filters_counts_or_denies_and_audits__AC5[list-family_sharing] · evidence/test-task-integration-final.log</t>
        </is>
      </c>
      <c r="Q14" s="6" t="inlineStr">
        <is>
          <t>Action</t>
        </is>
      </c>
      <c r="R14" s="5" t="inlineStr">
        <is>
          <t>R1</t>
        </is>
      </c>
      <c r="S14" s="5" t="inlineStr">
        <is>
          <t>R2</t>
        </is>
      </c>
      <c r="T14" s="5" t="inlineStr">
        <is>
          <t>R3</t>
        </is>
      </c>
      <c r="U14" s="5" t="inlineStr">
        <is>
          <t>R4</t>
        </is>
      </c>
      <c r="V14" s="5" t="inlineStr">
        <is>
          <t>R5</t>
        </is>
      </c>
      <c r="W14" s="5" t="inlineStr">
        <is>
          <t>R6</t>
        </is>
      </c>
    </row>
    <row r="15" ht="107" customHeight="1">
      <c r="A15" s="7" t="inlineStr">
        <is>
          <t>TC-FALERT-07</t>
        </is>
      </c>
      <c r="B15" s="7" t="inlineStr">
        <is>
          <t>Kiểm tra request kế tiếp sau thu hồi quyền [detail-unlinked]</t>
        </is>
      </c>
      <c r="C15" s="8" t="inlineStr">
        <is>
          <t>Supabase local đã reset, API dùng api_role; dữ liệu test synthetic độc lập. Không dùng DB deploy.</t>
        </is>
      </c>
      <c r="D15"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5" s="8" t="inlineStr">
        <is>
          <t>detail-unlinked</t>
        </is>
      </c>
      <c r="F15" s="8" t="inlineStr">
        <is>
          <t>List 200 items=[] total=0 unread_count=0; detail/PATCH 403 khong_co_quyen; có denied; is_read không đổi.</t>
        </is>
      </c>
      <c r="G15" s="8" t="inlineStr">
        <is>
          <t>Đã chạy tự động: các kiểm tra response và DB nêu ở Expected Result đều pass.</t>
        </is>
      </c>
      <c r="H15" s="7" t="inlineStr">
        <is>
          <t>Pass</t>
        </is>
      </c>
      <c r="I15" s="8" t="inlineStr">
        <is>
          <t>AC5 · Decision Table (R2) · test_revocation_next_request_filters_counts_or_denies_and_audits__AC5[detail-unlinked] · evidence/test-task-integration-final.log</t>
        </is>
      </c>
      <c r="Q15" s="10" t="inlineStr">
        <is>
          <t>200 và allowed</t>
        </is>
      </c>
      <c r="R15" s="11" t="inlineStr">
        <is>
          <t>X</t>
        </is>
      </c>
      <c r="S15" s="11" t="inlineStr"/>
      <c r="T15" s="11" t="inlineStr"/>
      <c r="U15" s="11" t="inlineStr"/>
      <c r="V15" s="11" t="inlineStr"/>
      <c r="W15" s="11" t="inlineStr"/>
    </row>
    <row r="16" ht="107" customHeight="1">
      <c r="A16" s="7" t="inlineStr">
        <is>
          <t>TC-FALERT-08</t>
        </is>
      </c>
      <c r="B16" s="7" t="inlineStr">
        <is>
          <t>Kiểm tra request kế tiếp sau thu hồi quyền [detail-inactive]</t>
        </is>
      </c>
      <c r="C16" s="8" t="inlineStr">
        <is>
          <t>Supabase local đã reset, API dùng api_role; dữ liệu test synthetic độc lập. Không dùng DB deploy.</t>
        </is>
      </c>
      <c r="D16"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6" s="8" t="inlineStr">
        <is>
          <t>detail-inactive</t>
        </is>
      </c>
      <c r="F16" s="8" t="inlineStr">
        <is>
          <t>List 200 items=[] total=0 unread_count=0; detail/PATCH 403 khong_co_quyen; có denied; is_read không đổi.</t>
        </is>
      </c>
      <c r="G16" s="8" t="inlineStr">
        <is>
          <t>Đã chạy tự động: các kiểm tra response và DB nêu ở Expected Result đều pass.</t>
        </is>
      </c>
      <c r="H16" s="7" t="inlineStr">
        <is>
          <t>Pass</t>
        </is>
      </c>
      <c r="I16" s="8" t="inlineStr">
        <is>
          <t>AC5 · Decision Table (R2) · test_revocation_next_request_filters_counts_or_denies_and_audits__AC5[detail-inactive] · evidence/test-task-integration-final.log</t>
        </is>
      </c>
      <c r="Q16" s="10" t="inlineStr">
        <is>
          <t>List lọc/count 0; detail/PATCH 403; denied</t>
        </is>
      </c>
      <c r="R16" s="11" t="inlineStr"/>
      <c r="S16" s="11" t="inlineStr">
        <is>
          <t>X</t>
        </is>
      </c>
      <c r="T16" s="11" t="inlineStr">
        <is>
          <t>X</t>
        </is>
      </c>
      <c r="U16" s="11" t="inlineStr">
        <is>
          <t>X</t>
        </is>
      </c>
      <c r="V16" s="11" t="inlineStr">
        <is>
          <t>X</t>
        </is>
      </c>
      <c r="W16" s="11" t="inlineStr"/>
    </row>
    <row r="17" ht="107" customHeight="1">
      <c r="A17" s="7" t="inlineStr">
        <is>
          <t>TC-FALERT-09</t>
        </is>
      </c>
      <c r="B17" s="7" t="inlineStr">
        <is>
          <t>Kiểm tra request kế tiếp sau thu hồi quyền [detail-sharing_off]</t>
        </is>
      </c>
      <c r="C17" s="8" t="inlineStr">
        <is>
          <t>Supabase local đã reset, API dùng api_role; dữ liệu test synthetic độc lập. Không dùng DB deploy.</t>
        </is>
      </c>
      <c r="D17"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7" s="8" t="inlineStr">
        <is>
          <t>detail-sharing_off</t>
        </is>
      </c>
      <c r="F17" s="8" t="inlineStr">
        <is>
          <t>List 200 items=[] total=0 unread_count=0; detail/PATCH 403 khong_co_quyen; có denied; is_read không đổi.</t>
        </is>
      </c>
      <c r="G17" s="8" t="inlineStr">
        <is>
          <t>Đã chạy tự động: các kiểm tra response và DB nêu ở Expected Result đều pass.</t>
        </is>
      </c>
      <c r="H17" s="7" t="inlineStr">
        <is>
          <t>Pass</t>
        </is>
      </c>
      <c r="I17" s="8" t="inlineStr">
        <is>
          <t>AC5 · Decision Table (R3) · test_revocation_next_request_filters_counts_or_denies_and_audits__AC5[detail-sharing_off] · evidence/test-task-integration-final.log</t>
        </is>
      </c>
      <c r="Q17" s="10" t="inlineStr">
        <is>
          <t>503 không trả health hoặc đổi is_read</t>
        </is>
      </c>
      <c r="R17" s="11" t="inlineStr"/>
      <c r="S17" s="11" t="inlineStr"/>
      <c r="T17" s="11" t="inlineStr"/>
      <c r="U17" s="11" t="inlineStr"/>
      <c r="V17" s="11" t="inlineStr"/>
      <c r="W17" s="11" t="inlineStr">
        <is>
          <t>X</t>
        </is>
      </c>
    </row>
    <row r="18" ht="107" customHeight="1">
      <c r="A18" s="7" t="inlineStr">
        <is>
          <t>TC-FALERT-10</t>
        </is>
      </c>
      <c r="B18" s="7" t="inlineStr">
        <is>
          <t>Kiểm tra request kế tiếp sau thu hồi quyền [detail-health_data]</t>
        </is>
      </c>
      <c r="C18" s="8" t="inlineStr">
        <is>
          <t>Supabase local đã reset, API dùng api_role; dữ liệu test synthetic độc lập. Không dùng DB deploy.</t>
        </is>
      </c>
      <c r="D18"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8" s="8" t="inlineStr">
        <is>
          <t>detail-health_data</t>
        </is>
      </c>
      <c r="F18" s="8" t="inlineStr">
        <is>
          <t>List 200 items=[] total=0 unread_count=0; detail/PATCH 403 khong_co_quyen; có denied; is_read không đổi.</t>
        </is>
      </c>
      <c r="G18" s="8" t="inlineStr">
        <is>
          <t>Đã chạy tự động: các kiểm tra response và DB nêu ở Expected Result đều pass.</t>
        </is>
      </c>
      <c r="H18" s="7" t="inlineStr">
        <is>
          <t>Pass</t>
        </is>
      </c>
      <c r="I18" s="8" t="inlineStr">
        <is>
          <t>AC5 · Decision Table (R4) · test_revocation_next_request_filters_counts_or_denies_and_audits__AC5[detail-health_data] · evidence/test-task-integration-final.log</t>
        </is>
      </c>
    </row>
    <row r="19" ht="107" customHeight="1">
      <c r="A19" s="7" t="inlineStr">
        <is>
          <t>TC-FALERT-11</t>
        </is>
      </c>
      <c r="B19" s="7" t="inlineStr">
        <is>
          <t>Kiểm tra request kế tiếp sau thu hồi quyền [detail-family_sharing]</t>
        </is>
      </c>
      <c r="C19" s="8" t="inlineStr">
        <is>
          <t>Supabase local đã reset, API dùng api_role; dữ liệu test synthetic độc lập. Không dùng DB deploy.</t>
        </is>
      </c>
      <c r="D19"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9" s="8" t="inlineStr">
        <is>
          <t>detail-family_sharing</t>
        </is>
      </c>
      <c r="F19" s="8" t="inlineStr">
        <is>
          <t>List 200 items=[] total=0 unread_count=0; detail/PATCH 403 khong_co_quyen; có denied; is_read không đổi.</t>
        </is>
      </c>
      <c r="G19" s="8" t="inlineStr">
        <is>
          <t>Đã chạy tự động: các kiểm tra response và DB nêu ở Expected Result đều pass.</t>
        </is>
      </c>
      <c r="H19" s="7" t="inlineStr">
        <is>
          <t>Pass</t>
        </is>
      </c>
      <c r="I19" s="8" t="inlineStr">
        <is>
          <t>AC5 · Decision Table (R5) · test_revocation_next_request_filters_counts_or_denies_and_audits__AC5[detail-family_sharing] · evidence/test-task-integration-final.log</t>
        </is>
      </c>
    </row>
    <row r="20" ht="107" customHeight="1">
      <c r="A20" s="7" t="inlineStr">
        <is>
          <t>TC-FALERT-12</t>
        </is>
      </c>
      <c r="B20" s="7" t="inlineStr">
        <is>
          <t>Kiểm tra request kế tiếp sau thu hồi quyền [patch-unlinked]</t>
        </is>
      </c>
      <c r="C20" s="8" t="inlineStr">
        <is>
          <t>Supabase local đã reset, API dùng api_role; dữ liệu test synthetic độc lập. Không dùng DB deploy.</t>
        </is>
      </c>
      <c r="D2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0" s="8" t="inlineStr">
        <is>
          <t>patch-unlinked</t>
        </is>
      </c>
      <c r="F20" s="8" t="inlineStr">
        <is>
          <t>List 200 items=[] total=0 unread_count=0; detail/PATCH 403 khong_co_quyen; có denied; is_read không đổi.</t>
        </is>
      </c>
      <c r="G20" s="8" t="inlineStr">
        <is>
          <t>Đã chạy tự động: các kiểm tra response và DB nêu ở Expected Result đều pass.</t>
        </is>
      </c>
      <c r="H20" s="7" t="inlineStr">
        <is>
          <t>Pass</t>
        </is>
      </c>
      <c r="I20" s="8" t="inlineStr">
        <is>
          <t>AC5 · Decision Table (R2) · test_revocation_next_request_filters_counts_or_denies_and_audits__AC5[patch-unlinked] · evidence/test-task-integration-final.log</t>
        </is>
      </c>
    </row>
    <row r="21" ht="107" customHeight="1">
      <c r="A21" s="7" t="inlineStr">
        <is>
          <t>TC-FALERT-13</t>
        </is>
      </c>
      <c r="B21" s="7" t="inlineStr">
        <is>
          <t>Kiểm tra request kế tiếp sau thu hồi quyền [patch-inactive]</t>
        </is>
      </c>
      <c r="C21" s="8" t="inlineStr">
        <is>
          <t>Supabase local đã reset, API dùng api_role; dữ liệu test synthetic độc lập. Không dùng DB deploy.</t>
        </is>
      </c>
      <c r="D2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1" s="8" t="inlineStr">
        <is>
          <t>patch-inactive</t>
        </is>
      </c>
      <c r="F21" s="8" t="inlineStr">
        <is>
          <t>List 200 items=[] total=0 unread_count=0; detail/PATCH 403 khong_co_quyen; có denied; is_read không đổi.</t>
        </is>
      </c>
      <c r="G21" s="8" t="inlineStr">
        <is>
          <t>Đã chạy tự động: các kiểm tra response và DB nêu ở Expected Result đều pass.</t>
        </is>
      </c>
      <c r="H21" s="7" t="inlineStr">
        <is>
          <t>Pass</t>
        </is>
      </c>
      <c r="I21" s="8" t="inlineStr">
        <is>
          <t>AC5 · Decision Table (R2) · test_revocation_next_request_filters_counts_or_denies_and_audits__AC5[patch-inactive] · evidence/test-task-integration-final.log</t>
        </is>
      </c>
    </row>
    <row r="22" ht="107" customHeight="1">
      <c r="A22" s="7" t="inlineStr">
        <is>
          <t>TC-FALERT-14</t>
        </is>
      </c>
      <c r="B22" s="7" t="inlineStr">
        <is>
          <t>Kiểm tra request kế tiếp sau thu hồi quyền [patch-sharing_off]</t>
        </is>
      </c>
      <c r="C22" s="8" t="inlineStr">
        <is>
          <t>Supabase local đã reset, API dùng api_role; dữ liệu test synthetic độc lập. Không dùng DB deploy.</t>
        </is>
      </c>
      <c r="D2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2" s="8" t="inlineStr">
        <is>
          <t>patch-sharing_off</t>
        </is>
      </c>
      <c r="F22" s="8" t="inlineStr">
        <is>
          <t>List 200 items=[] total=0 unread_count=0; detail/PATCH 403 khong_co_quyen; có denied; is_read không đổi.</t>
        </is>
      </c>
      <c r="G22" s="8" t="inlineStr">
        <is>
          <t>Đã chạy tự động: các kiểm tra response và DB nêu ở Expected Result đều pass.</t>
        </is>
      </c>
      <c r="H22" s="7" t="inlineStr">
        <is>
          <t>Pass</t>
        </is>
      </c>
      <c r="I22" s="8" t="inlineStr">
        <is>
          <t>AC5 · Decision Table (R3) · test_revocation_next_request_filters_counts_or_denies_and_audits__AC5[patch-sharing_off] · evidence/test-task-integration-final.log</t>
        </is>
      </c>
    </row>
    <row r="23" ht="107" customHeight="1">
      <c r="A23" s="7" t="inlineStr">
        <is>
          <t>TC-FALERT-15</t>
        </is>
      </c>
      <c r="B23" s="7" t="inlineStr">
        <is>
          <t>Kiểm tra request kế tiếp sau thu hồi quyền [patch-health_data]</t>
        </is>
      </c>
      <c r="C23" s="8" t="inlineStr">
        <is>
          <t>Supabase local đã reset, API dùng api_role; dữ liệu test synthetic độc lập. Không dùng DB deploy.</t>
        </is>
      </c>
      <c r="D2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3" s="8" t="inlineStr">
        <is>
          <t>patch-health_data</t>
        </is>
      </c>
      <c r="F23" s="8" t="inlineStr">
        <is>
          <t>List 200 items=[] total=0 unread_count=0; detail/PATCH 403 khong_co_quyen; có denied; is_read không đổi.</t>
        </is>
      </c>
      <c r="G23" s="8" t="inlineStr">
        <is>
          <t>Đã chạy tự động: các kiểm tra response và DB nêu ở Expected Result đều pass.</t>
        </is>
      </c>
      <c r="H23" s="7" t="inlineStr">
        <is>
          <t>Pass</t>
        </is>
      </c>
      <c r="I23" s="8" t="inlineStr">
        <is>
          <t>AC5 · Decision Table (R4) · test_revocation_next_request_filters_counts_or_denies_and_audits__AC5[patch-health_data] · evidence/test-task-integration-final.log</t>
        </is>
      </c>
    </row>
    <row r="24" ht="107" customHeight="1">
      <c r="A24" s="7" t="inlineStr">
        <is>
          <t>TC-FALERT-16</t>
        </is>
      </c>
      <c r="B24" s="7" t="inlineStr">
        <is>
          <t>Kiểm tra request kế tiếp sau thu hồi quyền [patch-family_sharing]</t>
        </is>
      </c>
      <c r="C24" s="8" t="inlineStr">
        <is>
          <t>Supabase local đã reset, API dùng api_role; dữ liệu test synthetic độc lập. Không dùng DB deploy.</t>
        </is>
      </c>
      <c r="D2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4" s="8" t="inlineStr">
        <is>
          <t>patch-family_sharing</t>
        </is>
      </c>
      <c r="F24" s="8" t="inlineStr">
        <is>
          <t>List 200 items=[] total=0 unread_count=0; detail/PATCH 403 khong_co_quyen; có denied; is_read không đổi.</t>
        </is>
      </c>
      <c r="G24" s="8" t="inlineStr">
        <is>
          <t>Đã chạy tự động: các kiểm tra response và DB nêu ở Expected Result đều pass.</t>
        </is>
      </c>
      <c r="H24" s="7" t="inlineStr">
        <is>
          <t>Pass</t>
        </is>
      </c>
      <c r="I24" s="8" t="inlineStr">
        <is>
          <t>AC5 · Decision Table (R5) · test_revocation_next_request_filters_counts_or_denies_and_audits__AC5[patch-family_sharing] · evidence/test-task-integration-final.log</t>
        </is>
      </c>
    </row>
    <row r="25" ht="107" customHeight="1">
      <c r="A25" s="7" t="inlineStr">
        <is>
          <t>TC-FALERT-17</t>
        </is>
      </c>
      <c r="B25" s="7" t="inlineStr">
        <is>
          <t>Từ chối ID thuộc hộp thư người khác [detail]</t>
        </is>
      </c>
      <c r="C25" s="8" t="inlineStr">
        <is>
          <t>Supabase local đã reset, API dùng api_role; dữ liệu test synthetic độc lập. Không dùng DB deploy.</t>
        </is>
      </c>
      <c r="D25" s="8" t="inlineStr">
        <is>
          <t>1. Tạo notification cho F/P; đăng nhập user X khác F.
2. GET hoặc PATCH /notifications/{id} theo biến thể bằng session X.
3. GET /notifications/9223372036854775807 bằng session F; kiểm audit của P.</t>
        </is>
      </c>
      <c r="E25" s="8" t="inlineStr">
        <is>
          <t>detail</t>
        </is>
      </c>
      <c r="F25" s="8" t="inlineStr">
        <is>
          <t>Cả ID khác hộp thư và ID không tồn tại trả 404 notification_not_found; không audit hoặc đọc health của P.</t>
        </is>
      </c>
      <c r="G25" s="8" t="inlineStr">
        <is>
          <t>Đã chạy tự động: các kiểm tra response và DB nêu ở Expected Result đều pass.</t>
        </is>
      </c>
      <c r="H25" s="7" t="inlineStr">
        <is>
          <t>Pass</t>
        </is>
      </c>
      <c r="I25" s="8" t="inlineStr">
        <is>
          <t>AC5 · đoán lỗi, chuyển trạng thái và bảo mật · test_other_recipient_and_unknown_id_return_404__AC5[detail] · evidence/test-task-integration-final.log</t>
        </is>
      </c>
    </row>
    <row r="26" ht="107" customHeight="1">
      <c r="A26" s="7" t="inlineStr">
        <is>
          <t>TC-FALERT-18</t>
        </is>
      </c>
      <c r="B26" s="7" t="inlineStr">
        <is>
          <t>Từ chối ID thuộc hộp thư người khác [patch]</t>
        </is>
      </c>
      <c r="C26" s="8" t="inlineStr">
        <is>
          <t>Supabase local đã reset, API dùng api_role; dữ liệu test synthetic độc lập. Không dùng DB deploy.</t>
        </is>
      </c>
      <c r="D26" s="8" t="inlineStr">
        <is>
          <t>1. Tạo notification cho F/P; đăng nhập user X khác F.
2. GET hoặc PATCH /notifications/{id} theo biến thể bằng session X.
3. GET /notifications/9223372036854775807 bằng session F; kiểm audit của P.</t>
        </is>
      </c>
      <c r="E26" s="8" t="inlineStr">
        <is>
          <t>patch</t>
        </is>
      </c>
      <c r="F26" s="8" t="inlineStr">
        <is>
          <t>Cả ID khác hộp thư và ID không tồn tại trả 404 notification_not_found; không audit hoặc đọc health của P.</t>
        </is>
      </c>
      <c r="G26" s="8" t="inlineStr">
        <is>
          <t>Đã chạy tự động: các kiểm tra response và DB nêu ở Expected Result đều pass.</t>
        </is>
      </c>
      <c r="H26" s="7" t="inlineStr">
        <is>
          <t>Pass</t>
        </is>
      </c>
      <c r="I26" s="8" t="inlineStr">
        <is>
          <t>AC5 · đoán lỗi, chuyển trạng thái và bảo mật · test_other_recipient_and_unknown_id_return_404__AC5[patch] · evidence/test-task-integration-final.log</t>
        </is>
      </c>
    </row>
    <row r="27" ht="107" customHeight="1">
      <c r="A27" s="7" t="inlineStr">
        <is>
          <t>TC-FALERT-19</t>
        </is>
      </c>
      <c r="B27" s="7" t="inlineStr">
        <is>
          <t>Lọc hộp thư mixed patient và từ chối patient_id trong PATCH</t>
        </is>
      </c>
      <c r="C27" s="8" t="inlineStr">
        <is>
          <t>Supabase local đã reset, API dùng api_role; dữ liệu test synthetic độc lập. Không dùng DB deploy.</t>
        </is>
      </c>
      <c r="D27" s="8" t="inlineStr">
        <is>
          <t>1. Tạo hai notification cho F: P được phép và Q không có liên kết.
2. GET /notifications?patient_id=P&amp;user_id=Q; kiểm item và count.
3. PATCH notification Q với JSON {is_read:true,patient_id:P}.</t>
        </is>
      </c>
      <c r="E27" s="8" t="inlineStr">
        <is>
          <t>P/F là UUID synthetic mới mỗi lần; ID notification lấy từ DB fixture; giờ 2026-10-20T01:00:00Z.</t>
        </is>
      </c>
      <c r="F27" s="8" t="inlineStr">
        <is>
          <t>List chỉ trả P, total=unread_count=1 và Q có denied; PATCH field lạ phải trả 422.</t>
        </is>
      </c>
      <c r="G27" s="8" t="inlineStr">
        <is>
          <t>HTTP 503 notification_access_unavailable thay vì 422; assertion fail.</t>
        </is>
      </c>
      <c r="H27" s="7" t="inlineStr">
        <is>
          <t>Fail</t>
        </is>
      </c>
      <c r="I27" s="8" t="inlineStr">
        <is>
          <t>AC3, AC5 · đoán lỗi, chuyển trạng thái và bảo mật · test_mixed_patient_filter_and_selector_tamper_do_not_leak__AC3_AC5 · evidence/test-task-integration-final.log</t>
        </is>
      </c>
    </row>
    <row r="28" ht="90.5" customHeight="1">
      <c r="A28" s="7" t="inlineStr">
        <is>
          <t>TC-FALERT-20</t>
        </is>
      </c>
      <c r="B28" s="7" t="inlineStr">
        <is>
          <t>Từ chối admin truy cập hộp thư người dùng [list]</t>
        </is>
      </c>
      <c r="C28" s="8" t="inlineStr">
        <is>
          <t>Supabase local đã reset, API dùng api_role; dữ liệu test synthetic độc lập. Không dùng DB deploy.</t>
        </is>
      </c>
      <c r="D28" s="8" t="inlineStr">
        <is>
          <t>1. Đăng nhập admin bằng app session admin_web.
2. Gọi list/detail/PATCH theo biến thể vào notification của F.</t>
        </is>
      </c>
      <c r="E28" s="8" t="inlineStr">
        <is>
          <t>list</t>
        </is>
      </c>
      <c r="F28" s="8" t="inlineStr">
        <is>
          <t>403 khong_co_quyen, không trả dữ liệu sức khỏe.</t>
        </is>
      </c>
      <c r="G28" s="8" t="inlineStr">
        <is>
          <t>Đã chạy tự động: các kiểm tra response và DB nêu ở Expected Result đều pass.</t>
        </is>
      </c>
      <c r="H28" s="7" t="inlineStr">
        <is>
          <t>Pass</t>
        </is>
      </c>
      <c r="I28" s="8" t="inlineStr">
        <is>
          <t>AC5 · đoán lỗi, chuyển trạng thái và bảo mật · test_admin_session_forbidden__AC5[list] · evidence/test-task-integration-final.log</t>
        </is>
      </c>
    </row>
    <row r="29" ht="90.5" customHeight="1">
      <c r="A29" s="7" t="inlineStr">
        <is>
          <t>TC-FALERT-21</t>
        </is>
      </c>
      <c r="B29" s="7" t="inlineStr">
        <is>
          <t>Từ chối admin truy cập hộp thư người dùng [detail]</t>
        </is>
      </c>
      <c r="C29" s="8" t="inlineStr">
        <is>
          <t>Supabase local đã reset, API dùng api_role; dữ liệu test synthetic độc lập. Không dùng DB deploy.</t>
        </is>
      </c>
      <c r="D29" s="8" t="inlineStr">
        <is>
          <t>1. Đăng nhập admin bằng app session admin_web.
2. Gọi list/detail/PATCH theo biến thể vào notification của F.</t>
        </is>
      </c>
      <c r="E29" s="8" t="inlineStr">
        <is>
          <t>detail</t>
        </is>
      </c>
      <c r="F29" s="8" t="inlineStr">
        <is>
          <t>403 khong_co_quyen, không trả dữ liệu sức khỏe.</t>
        </is>
      </c>
      <c r="G29" s="8" t="inlineStr">
        <is>
          <t>Đã chạy tự động: các kiểm tra response và DB nêu ở Expected Result đều pass.</t>
        </is>
      </c>
      <c r="H29" s="7" t="inlineStr">
        <is>
          <t>Pass</t>
        </is>
      </c>
      <c r="I29" s="8" t="inlineStr">
        <is>
          <t>AC5 · đoán lỗi, chuyển trạng thái và bảo mật · test_admin_session_forbidden__AC5[detail] · evidence/test-task-integration-final.log</t>
        </is>
      </c>
    </row>
    <row r="30" ht="90.5" customHeight="1">
      <c r="A30" s="7" t="inlineStr">
        <is>
          <t>TC-FALERT-22</t>
        </is>
      </c>
      <c r="B30" s="7" t="inlineStr">
        <is>
          <t>Từ chối admin truy cập hộp thư người dùng [patch]</t>
        </is>
      </c>
      <c r="C30" s="8" t="inlineStr">
        <is>
          <t>Supabase local đã reset, API dùng api_role; dữ liệu test synthetic độc lập. Không dùng DB deploy.</t>
        </is>
      </c>
      <c r="D30" s="8" t="inlineStr">
        <is>
          <t>1. Đăng nhập admin bằng app session admin_web.
2. Gọi list/detail/PATCH theo biến thể vào notification của F.</t>
        </is>
      </c>
      <c r="E30" s="8" t="inlineStr">
        <is>
          <t>patch</t>
        </is>
      </c>
      <c r="F30" s="8" t="inlineStr">
        <is>
          <t>403 khong_co_quyen, không trả dữ liệu sức khỏe.</t>
        </is>
      </c>
      <c r="G30" s="8" t="inlineStr">
        <is>
          <t>Đã chạy tự động: các kiểm tra response và DB nêu ở Expected Result đều pass.</t>
        </is>
      </c>
      <c r="H30" s="7" t="inlineStr">
        <is>
          <t>Pass</t>
        </is>
      </c>
      <c r="I30" s="8" t="inlineStr">
        <is>
          <t>AC5 · đoán lỗi, chuyển trạng thái và bảo mật · test_admin_session_forbidden__AC5[patch] · evidence/test-task-integration-final.log</t>
        </is>
      </c>
    </row>
    <row r="31" ht="123.5" customHeight="1">
      <c r="A31" s="7" t="inlineStr">
        <is>
          <t>TC-FALERT-23</t>
        </is>
      </c>
      <c r="B31" s="7" t="inlineStr">
        <is>
          <t>Fail-closed khi facts, audit hoặc commit lỗi [facts-list]</t>
        </is>
      </c>
      <c r="C31" s="8" t="inlineStr">
        <is>
          <t>Supabase local đã reset, API dùng api_role; dữ liệu test synthetic độc lập. Không dùng DB deploy.</t>
        </is>
      </c>
      <c r="D3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1" s="8" t="inlineStr">
        <is>
          <t>facts-list</t>
        </is>
      </c>
      <c r="F31" s="8" t="inlineStr">
        <is>
          <t>503 notification_access_unavailable + Cache-Control:no-store; không health, không audit dang dở, is_read vẫn false.</t>
        </is>
      </c>
      <c r="G31" s="8" t="inlineStr">
        <is>
          <t>Đã chạy tự động: các kiểm tra response và DB nêu ở Expected Result đều pass.</t>
        </is>
      </c>
      <c r="H31" s="7" t="inlineStr">
        <is>
          <t>Pass</t>
        </is>
      </c>
      <c r="I31" s="8" t="inlineStr">
        <is>
          <t>AC5 · Decision Table (R6) · test_access_audit_commit_failure_returns_503_without_health_or_write__AC5[facts-list] · evidence/test-task-integration-final.log</t>
        </is>
      </c>
    </row>
    <row r="32" ht="123.5" customHeight="1">
      <c r="A32" s="7" t="inlineStr">
        <is>
          <t>TC-FALERT-24</t>
        </is>
      </c>
      <c r="B32" s="7" t="inlineStr">
        <is>
          <t>Fail-closed khi facts, audit hoặc commit lỗi [facts-detail]</t>
        </is>
      </c>
      <c r="C32" s="8" t="inlineStr">
        <is>
          <t>Supabase local đã reset, API dùng api_role; dữ liệu test synthetic độc lập. Không dùng DB deploy.</t>
        </is>
      </c>
      <c r="D3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2" s="8" t="inlineStr">
        <is>
          <t>facts-detail</t>
        </is>
      </c>
      <c r="F32" s="8" t="inlineStr">
        <is>
          <t>503 notification_access_unavailable + Cache-Control:no-store; không health, không audit dang dở, is_read vẫn false.</t>
        </is>
      </c>
      <c r="G32" s="8" t="inlineStr">
        <is>
          <t>Đã chạy tự động: các kiểm tra response và DB nêu ở Expected Result đều pass.</t>
        </is>
      </c>
      <c r="H32" s="7" t="inlineStr">
        <is>
          <t>Pass</t>
        </is>
      </c>
      <c r="I32" s="8" t="inlineStr">
        <is>
          <t>AC5 · Decision Table (R6) · test_access_audit_commit_failure_returns_503_without_health_or_write__AC5[facts-detail] · evidence/test-task-integration-final.log</t>
        </is>
      </c>
    </row>
    <row r="33" ht="123.5" customHeight="1">
      <c r="A33" s="7" t="inlineStr">
        <is>
          <t>TC-FALERT-25</t>
        </is>
      </c>
      <c r="B33" s="7" t="inlineStr">
        <is>
          <t>Fail-closed khi facts, audit hoặc commit lỗi [facts-patch]</t>
        </is>
      </c>
      <c r="C33" s="8" t="inlineStr">
        <is>
          <t>Supabase local đã reset, API dùng api_role; dữ liệu test synthetic độc lập. Không dùng DB deploy.</t>
        </is>
      </c>
      <c r="D33"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3" s="8" t="inlineStr">
        <is>
          <t>facts-patch</t>
        </is>
      </c>
      <c r="F33" s="8" t="inlineStr">
        <is>
          <t>503 notification_access_unavailable + Cache-Control:no-store; không health, không audit dang dở, is_read vẫn false.</t>
        </is>
      </c>
      <c r="G33" s="8" t="inlineStr">
        <is>
          <t>Đã chạy tự động: các kiểm tra response và DB nêu ở Expected Result đều pass.</t>
        </is>
      </c>
      <c r="H33" s="7" t="inlineStr">
        <is>
          <t>Pass</t>
        </is>
      </c>
      <c r="I33" s="8" t="inlineStr">
        <is>
          <t>AC5 · Decision Table (R6) · test_access_audit_commit_failure_returns_503_without_health_or_write__AC5[facts-patch] · evidence/test-task-integration-final.log</t>
        </is>
      </c>
    </row>
    <row r="34" ht="123.5" customHeight="1">
      <c r="A34" s="7" t="inlineStr">
        <is>
          <t>TC-FALERT-26</t>
        </is>
      </c>
      <c r="B34" s="7" t="inlineStr">
        <is>
          <t>Fail-closed khi facts, audit hoặc commit lỗi [allowed_insert-list]</t>
        </is>
      </c>
      <c r="C34" s="8" t="inlineStr">
        <is>
          <t>Supabase local đã reset, API dùng api_role; dữ liệu test synthetic độc lập. Không dùng DB deploy.</t>
        </is>
      </c>
      <c r="D34"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4" s="8" t="inlineStr">
        <is>
          <t>allowed_insert-list</t>
        </is>
      </c>
      <c r="F34" s="8" t="inlineStr">
        <is>
          <t>503 notification_access_unavailable + Cache-Control:no-store; không health, không audit dang dở, is_read vẫn false.</t>
        </is>
      </c>
      <c r="G34" s="8" t="inlineStr">
        <is>
          <t>Đã chạy tự động: các kiểm tra response và DB nêu ở Expected Result đều pass.</t>
        </is>
      </c>
      <c r="H34" s="7" t="inlineStr">
        <is>
          <t>Pass</t>
        </is>
      </c>
      <c r="I34" s="8" t="inlineStr">
        <is>
          <t>AC5 · Decision Table (R6) · test_access_audit_commit_failure_returns_503_without_health_or_write__AC5[allowed_insert-list] · evidence/test-task-integration-final.log</t>
        </is>
      </c>
    </row>
    <row r="35" ht="123.5" customHeight="1">
      <c r="A35" s="7" t="inlineStr">
        <is>
          <t>TC-FALERT-27</t>
        </is>
      </c>
      <c r="B35" s="7" t="inlineStr">
        <is>
          <t>Fail-closed khi facts, audit hoặc commit lỗi [allowed_insert-detail]</t>
        </is>
      </c>
      <c r="C35" s="8" t="inlineStr">
        <is>
          <t>Supabase local đã reset, API dùng api_role; dữ liệu test synthetic độc lập. Không dùng DB deploy.</t>
        </is>
      </c>
      <c r="D35"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5" s="8" t="inlineStr">
        <is>
          <t>allowed_insert-detail</t>
        </is>
      </c>
      <c r="F35" s="8" t="inlineStr">
        <is>
          <t>503 notification_access_unavailable + Cache-Control:no-store; không health, không audit dang dở, is_read vẫn false.</t>
        </is>
      </c>
      <c r="G35" s="8" t="inlineStr">
        <is>
          <t>Đã chạy tự động: các kiểm tra response và DB nêu ở Expected Result đều pass.</t>
        </is>
      </c>
      <c r="H35" s="7" t="inlineStr">
        <is>
          <t>Pass</t>
        </is>
      </c>
      <c r="I35" s="8" t="inlineStr">
        <is>
          <t>AC5 · Decision Table (R6) · test_access_audit_commit_failure_returns_503_without_health_or_write__AC5[allowed_insert-detail] · evidence/test-task-integration-final.log</t>
        </is>
      </c>
    </row>
    <row r="36" ht="123.5" customHeight="1">
      <c r="A36" s="7" t="inlineStr">
        <is>
          <t>TC-FALERT-28</t>
        </is>
      </c>
      <c r="B36" s="7" t="inlineStr">
        <is>
          <t>Fail-closed khi facts, audit hoặc commit lỗi [allowed_insert-patch]</t>
        </is>
      </c>
      <c r="C36" s="8" t="inlineStr">
        <is>
          <t>Supabase local đã reset, API dùng api_role; dữ liệu test synthetic độc lập. Không dùng DB deploy.</t>
        </is>
      </c>
      <c r="D36"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6" s="8" t="inlineStr">
        <is>
          <t>allowed_insert-patch</t>
        </is>
      </c>
      <c r="F36" s="8" t="inlineStr">
        <is>
          <t>503 notification_access_unavailable + Cache-Control:no-store; không health, không audit dang dở, is_read vẫn false.</t>
        </is>
      </c>
      <c r="G36" s="8" t="inlineStr">
        <is>
          <t>Đã chạy tự động: các kiểm tra response và DB nêu ở Expected Result đều pass.</t>
        </is>
      </c>
      <c r="H36" s="7" t="inlineStr">
        <is>
          <t>Pass</t>
        </is>
      </c>
      <c r="I36" s="8" t="inlineStr">
        <is>
          <t>AC5 · Decision Table (R6) · test_access_audit_commit_failure_returns_503_without_health_or_write__AC5[allowed_insert-patch] · evidence/test-task-integration-final.log</t>
        </is>
      </c>
    </row>
    <row r="37" ht="123.5" customHeight="1">
      <c r="A37" s="7" t="inlineStr">
        <is>
          <t>TC-FALERT-29</t>
        </is>
      </c>
      <c r="B37" s="7" t="inlineStr">
        <is>
          <t>Fail-closed khi facts, audit hoặc commit lỗi [denied_insert-list]</t>
        </is>
      </c>
      <c r="C37" s="8" t="inlineStr">
        <is>
          <t>Supabase local đã reset, API dùng api_role; dữ liệu test synthetic độc lập. Không dùng DB deploy.</t>
        </is>
      </c>
      <c r="D37"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7" s="8" t="inlineStr">
        <is>
          <t>denied_insert-list</t>
        </is>
      </c>
      <c r="F37" s="8" t="inlineStr">
        <is>
          <t>503 notification_access_unavailable + Cache-Control:no-store; không health, không audit dang dở, is_read vẫn false.</t>
        </is>
      </c>
      <c r="G37" s="8" t="inlineStr">
        <is>
          <t>Đã chạy tự động: các kiểm tra response và DB nêu ở Expected Result đều pass.</t>
        </is>
      </c>
      <c r="H37" s="7" t="inlineStr">
        <is>
          <t>Pass</t>
        </is>
      </c>
      <c r="I37" s="8" t="inlineStr">
        <is>
          <t>AC5 · Decision Table (R6) · test_access_audit_commit_failure_returns_503_without_health_or_write__AC5[denied_insert-list] · evidence/test-task-integration-final.log</t>
        </is>
      </c>
    </row>
    <row r="38" ht="123.5" customHeight="1">
      <c r="A38" s="7" t="inlineStr">
        <is>
          <t>TC-FALERT-30</t>
        </is>
      </c>
      <c r="B38" s="7" t="inlineStr">
        <is>
          <t>Fail-closed khi facts, audit hoặc commit lỗi [denied_insert-detail]</t>
        </is>
      </c>
      <c r="C38" s="8" t="inlineStr">
        <is>
          <t>Supabase local đã reset, API dùng api_role; dữ liệu test synthetic độc lập. Không dùng DB deploy.</t>
        </is>
      </c>
      <c r="D38"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8" s="8" t="inlineStr">
        <is>
          <t>denied_insert-detail</t>
        </is>
      </c>
      <c r="F38" s="8" t="inlineStr">
        <is>
          <t>503 notification_access_unavailable + Cache-Control:no-store; không health, không audit dang dở, is_read vẫn false.</t>
        </is>
      </c>
      <c r="G38" s="8" t="inlineStr">
        <is>
          <t>Đã chạy tự động: các kiểm tra response và DB nêu ở Expected Result đều pass.</t>
        </is>
      </c>
      <c r="H38" s="7" t="inlineStr">
        <is>
          <t>Pass</t>
        </is>
      </c>
      <c r="I38" s="8" t="inlineStr">
        <is>
          <t>AC5 · Decision Table (R6) · test_access_audit_commit_failure_returns_503_without_health_or_write__AC5[denied_insert-detail] · evidence/test-task-integration-final.log</t>
        </is>
      </c>
    </row>
    <row r="39" ht="123.5" customHeight="1">
      <c r="A39" s="7" t="inlineStr">
        <is>
          <t>TC-FALERT-31</t>
        </is>
      </c>
      <c r="B39" s="7" t="inlineStr">
        <is>
          <t>Fail-closed khi facts, audit hoặc commit lỗi [denied_insert-patch]</t>
        </is>
      </c>
      <c r="C39" s="8" t="inlineStr">
        <is>
          <t>Supabase local đã reset, API dùng api_role; dữ liệu test synthetic độc lập. Không dùng DB deploy.</t>
        </is>
      </c>
      <c r="D39"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9" s="8" t="inlineStr">
        <is>
          <t>denied_insert-patch</t>
        </is>
      </c>
      <c r="F39" s="8" t="inlineStr">
        <is>
          <t>503 notification_access_unavailable + Cache-Control:no-store; không health, không audit dang dở, is_read vẫn false.</t>
        </is>
      </c>
      <c r="G39" s="8" t="inlineStr">
        <is>
          <t>Đã chạy tự động: các kiểm tra response và DB nêu ở Expected Result đều pass.</t>
        </is>
      </c>
      <c r="H39" s="7" t="inlineStr">
        <is>
          <t>Pass</t>
        </is>
      </c>
      <c r="I39" s="8" t="inlineStr">
        <is>
          <t>AC5 · Decision Table (R6) · test_access_audit_commit_failure_returns_503_without_health_or_write__AC5[denied_insert-patch] · evidence/test-task-integration-final.log</t>
        </is>
      </c>
    </row>
    <row r="40" ht="123.5" customHeight="1">
      <c r="A40" s="7" t="inlineStr">
        <is>
          <t>TC-FALERT-32</t>
        </is>
      </c>
      <c r="B40" s="7" t="inlineStr">
        <is>
          <t>Fail-closed khi facts, audit hoặc commit lỗi [commit-list]</t>
        </is>
      </c>
      <c r="C40" s="8" t="inlineStr">
        <is>
          <t>Supabase local đã reset, API dùng api_role; dữ liệu test synthetic độc lập. Không dùng DB deploy.</t>
        </is>
      </c>
      <c r="D40"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0" s="8" t="inlineStr">
        <is>
          <t>commit-list</t>
        </is>
      </c>
      <c r="F40" s="8" t="inlineStr">
        <is>
          <t>503 notification_access_unavailable + Cache-Control:no-store; không health, không audit dang dở, is_read vẫn false.</t>
        </is>
      </c>
      <c r="G40" s="8" t="inlineStr">
        <is>
          <t>Đã chạy tự động: các kiểm tra response và DB nêu ở Expected Result đều pass.</t>
        </is>
      </c>
      <c r="H40" s="7" t="inlineStr">
        <is>
          <t>Pass</t>
        </is>
      </c>
      <c r="I40" s="8" t="inlineStr">
        <is>
          <t>AC5 · Decision Table (R6) · test_access_audit_commit_failure_returns_503_without_health_or_write__AC5[commit-list] · evidence/test-task-integration-final.log</t>
        </is>
      </c>
    </row>
    <row r="41" ht="123.5" customHeight="1">
      <c r="A41" s="7" t="inlineStr">
        <is>
          <t>TC-FALERT-33</t>
        </is>
      </c>
      <c r="B41" s="7" t="inlineStr">
        <is>
          <t>Fail-closed khi facts, audit hoặc commit lỗi [commit-detail]</t>
        </is>
      </c>
      <c r="C41" s="8" t="inlineStr">
        <is>
          <t>Supabase local đã reset, API dùng api_role; dữ liệu test synthetic độc lập. Không dùng DB deploy.</t>
        </is>
      </c>
      <c r="D4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1" s="8" t="inlineStr">
        <is>
          <t>commit-detail</t>
        </is>
      </c>
      <c r="F41" s="8" t="inlineStr">
        <is>
          <t>503 notification_access_unavailable + Cache-Control:no-store; không health, không audit dang dở, is_read vẫn false.</t>
        </is>
      </c>
      <c r="G41" s="8" t="inlineStr">
        <is>
          <t>Đã chạy tự động: các kiểm tra response và DB nêu ở Expected Result đều pass.</t>
        </is>
      </c>
      <c r="H41" s="7" t="inlineStr">
        <is>
          <t>Pass</t>
        </is>
      </c>
      <c r="I41" s="8" t="inlineStr">
        <is>
          <t>AC5 · Decision Table (R6) · test_access_audit_commit_failure_returns_503_without_health_or_write__AC5[commit-detail] · evidence/test-task-integration-final.log</t>
        </is>
      </c>
    </row>
    <row r="42" ht="123.5" customHeight="1">
      <c r="A42" s="7" t="inlineStr">
        <is>
          <t>TC-FALERT-34</t>
        </is>
      </c>
      <c r="B42" s="7" t="inlineStr">
        <is>
          <t>Fail-closed khi facts, audit hoặc commit lỗi [commit-patch]</t>
        </is>
      </c>
      <c r="C42" s="8" t="inlineStr">
        <is>
          <t>Supabase local đã reset, API dùng api_role; dữ liệu test synthetic độc lập. Không dùng DB deploy.</t>
        </is>
      </c>
      <c r="D4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2" s="8" t="inlineStr">
        <is>
          <t>commit-patch</t>
        </is>
      </c>
      <c r="F42" s="8" t="inlineStr">
        <is>
          <t>503 notification_access_unavailable + Cache-Control:no-store; không health, không audit dang dở, is_read vẫn false.</t>
        </is>
      </c>
      <c r="G42" s="8" t="inlineStr">
        <is>
          <t>Đã chạy tự động: các kiểm tra response và DB nêu ở Expected Result đều pass.</t>
        </is>
      </c>
      <c r="H42" s="7" t="inlineStr">
        <is>
          <t>Pass</t>
        </is>
      </c>
      <c r="I42" s="8" t="inlineStr">
        <is>
          <t>AC5 · Decision Table (R6) · test_access_audit_commit_failure_returns_503_without_health_or_write__AC5[commit-patch] · evidence/test-task-integration-final.log</t>
        </is>
      </c>
    </row>
    <row r="43" ht="107" customHeight="1">
      <c r="A43" s="7" t="inlineStr">
        <is>
          <t>TC-FALERT-35</t>
        </is>
      </c>
      <c r="B43" s="7" t="inlineStr">
        <is>
          <t>Giữ audit denied sau rollback request</t>
        </is>
      </c>
      <c r="C43" s="8" t="inlineStr">
        <is>
          <t>Supabase local đã reset, API dùng api_role; dữ liệu test synthetic độc lập. Không dùng DB deploy.</t>
        </is>
      </c>
      <c r="D43" s="8" t="inlineStr">
        <is>
          <t>1. Rút family_sharing của P sau khi tạo notification cho F.
2. Gọi service detail trong UoW thật để Forbidden thoát ra và rollback.
3. Dùng connection khác SELECT access_logs của P.</t>
        </is>
      </c>
      <c r="E43" s="8" t="inlineStr">
        <is>
          <t>P/F là UUID synthetic mới mỗi lần; ID notification lấy từ DB fixture; giờ 2026-10-20T01:00:00Z.</t>
        </is>
      </c>
      <c r="F43" s="8" t="inlineStr">
        <is>
          <t>Có đúng một denied dù transaction request đã rollback.</t>
        </is>
      </c>
      <c r="G43" s="8" t="inlineStr">
        <is>
          <t>Đã chạy tự động: các kiểm tra response và DB nêu ở Expected Result đều pass.</t>
        </is>
      </c>
      <c r="H43" s="7" t="inlineStr">
        <is>
          <t>Pass</t>
        </is>
      </c>
      <c r="I43" s="8" t="inlineStr">
        <is>
          <t>AC5 · đoán lỗi, chuyển trạng thái và bảo mật · test_denied_audit_survives_request_transaction_rollback__AC5 · evidence/test-task-integration-final.log</t>
        </is>
      </c>
    </row>
    <row r="44" ht="90.5" customHeight="1">
      <c r="A44" s="7" t="inlineStr">
        <is>
          <t>TC-FALERT-36</t>
        </is>
      </c>
      <c r="B44" s="7" t="inlineStr">
        <is>
          <t>Từ chối tham số phân trang ngoài biên [params0]</t>
        </is>
      </c>
      <c r="C44" s="8" t="inlineStr">
        <is>
          <t>Supabase local đã reset, API dùng api_role; dữ liệu test synthetic độc lập. Không dùng DB deploy.</t>
        </is>
      </c>
      <c r="D44" s="8" t="inlineStr">
        <is>
          <t>1. Đăng nhập F có notification và quyền hợp lệ.
2. GET /notifications với limit=0, limit=101 hoặc offset=-1 theo Test Data.
3. Kiểm HTTP status và Cache-Control.</t>
        </is>
      </c>
      <c r="E44" s="8" t="inlineStr">
        <is>
          <t>limit=0; offset=0</t>
        </is>
      </c>
      <c r="F44" s="8" t="inlineStr">
        <is>
          <t>422 validation, Cache-Control:no-store; không trả dữ liệu notification.</t>
        </is>
      </c>
      <c r="G44" s="8" t="inlineStr">
        <is>
          <t>HTTP 503 notification_access_unavailable thay vì 422; assertion fail.</t>
        </is>
      </c>
      <c r="H44" s="7" t="inlineStr">
        <is>
          <t>Fail</t>
        </is>
      </c>
      <c r="I44" s="8" t="inlineStr">
        <is>
          <t>AC3 · BVA (min-1), EP (3) · test_invalid_pagination_is_422_no_store__AC3[params0] · evidence/test-task-integration-final.log</t>
        </is>
      </c>
    </row>
    <row r="45" ht="90.5" customHeight="1">
      <c r="A45" s="7" t="inlineStr">
        <is>
          <t>TC-FALERT-37</t>
        </is>
      </c>
      <c r="B45" s="7" t="inlineStr">
        <is>
          <t>Từ chối tham số phân trang ngoài biên [params1]</t>
        </is>
      </c>
      <c r="C45" s="8" t="inlineStr">
        <is>
          <t>Supabase local đã reset, API dùng api_role; dữ liệu test synthetic độc lập. Không dùng DB deploy.</t>
        </is>
      </c>
      <c r="D45" s="8" t="inlineStr">
        <is>
          <t>1. Đăng nhập F có notification và quyền hợp lệ.
2. GET /notifications với limit=0, limit=101 hoặc offset=-1 theo Test Data.
3. Kiểm HTTP status và Cache-Control.</t>
        </is>
      </c>
      <c r="E45" s="8" t="inlineStr">
        <is>
          <t>limit=101; offset=0</t>
        </is>
      </c>
      <c r="F45" s="8" t="inlineStr">
        <is>
          <t>422 validation, Cache-Control:no-store; không trả dữ liệu notification.</t>
        </is>
      </c>
      <c r="G45" s="8" t="inlineStr">
        <is>
          <t>HTTP 503 notification_access_unavailable thay vì 422; assertion fail.</t>
        </is>
      </c>
      <c r="H45" s="7" t="inlineStr">
        <is>
          <t>Fail</t>
        </is>
      </c>
      <c r="I45" s="8" t="inlineStr">
        <is>
          <t>AC3 · BVA (max+1), EP (4) · test_invalid_pagination_is_422_no_store__AC3[params1] · evidence/test-task-integration-final.log</t>
        </is>
      </c>
    </row>
    <row r="46" ht="90.5" customHeight="1">
      <c r="A46" s="7" t="inlineStr">
        <is>
          <t>TC-FALERT-38</t>
        </is>
      </c>
      <c r="B46" s="7" t="inlineStr">
        <is>
          <t>Từ chối tham số phân trang ngoài biên [params2]</t>
        </is>
      </c>
      <c r="C46" s="8" t="inlineStr">
        <is>
          <t>Supabase local đã reset, API dùng api_role; dữ liệu test synthetic độc lập. Không dùng DB deploy.</t>
        </is>
      </c>
      <c r="D46" s="8" t="inlineStr">
        <is>
          <t>1. Đăng nhập F có notification và quyền hợp lệ.
2. GET /notifications với limit=0, limit=101 hoặc offset=-1 theo Test Data.
3. Kiểm HTTP status và Cache-Control.</t>
        </is>
      </c>
      <c r="E46" s="8" t="inlineStr">
        <is>
          <t>limit=20; offset=-1</t>
        </is>
      </c>
      <c r="F46" s="8" t="inlineStr">
        <is>
          <t>422 validation, Cache-Control:no-store; không trả dữ liệu notification.</t>
        </is>
      </c>
      <c r="G46" s="8" t="inlineStr">
        <is>
          <t>HTTP 503 notification_access_unavailable thay vì 422; assertion fail.</t>
        </is>
      </c>
      <c r="H46" s="7" t="inlineStr">
        <is>
          <t>Fail</t>
        </is>
      </c>
      <c r="I46" s="8" t="inlineStr">
        <is>
          <t>AC3 · BVA (min-1), EP (5) · test_invalid_pagination_is_422_no_store__AC3[params2] · evidence/test-task-integration-final.log</t>
        </is>
      </c>
    </row>
    <row r="47" ht="74" customHeight="1">
      <c r="A47" s="7" t="inlineStr">
        <is>
          <t>TC-FALERT-39</t>
        </is>
      </c>
      <c r="B47" s="7" t="inlineStr">
        <is>
          <t>Chấp nhận giới hạn phân trang tại biên [1]</t>
        </is>
      </c>
      <c r="C47" s="8" t="inlineStr">
        <is>
          <t>Supabase local đã reset, API dùng api_role; dữ liệu test synthetic độc lập. Không dùng DB deploy.</t>
        </is>
      </c>
      <c r="D47" s="8" t="inlineStr">
        <is>
          <t>1. Tạo một notification cho F.
2. GET /notifications?limit=&lt;Test Data&gt;&amp;offset=0 bằng session F.</t>
        </is>
      </c>
      <c r="E47" s="8" t="inlineStr">
        <is>
          <t>1</t>
        </is>
      </c>
      <c r="F47" s="8" t="inlineStr">
        <is>
          <t>200 và danh sách có đúng ID notification của F.</t>
        </is>
      </c>
      <c r="G47" s="8" t="inlineStr">
        <is>
          <t>Đã chạy tự động: các kiểm tra response và DB nêu ở Expected Result đều pass.</t>
        </is>
      </c>
      <c r="H47" s="7" t="inlineStr">
        <is>
          <t>Pass</t>
        </is>
      </c>
      <c r="I47" s="8" t="inlineStr">
        <is>
          <t>AC3 · BVA (min), EP (1,2) · test_valid_pagination_boundaries__AC3[1] · evidence/test-task-integration-final.log</t>
        </is>
      </c>
    </row>
    <row r="48" ht="74" customHeight="1">
      <c r="A48" s="7" t="inlineStr">
        <is>
          <t>TC-FALERT-40</t>
        </is>
      </c>
      <c r="B48" s="7" t="inlineStr">
        <is>
          <t>Chấp nhận giới hạn phân trang tại biên [100]</t>
        </is>
      </c>
      <c r="C48" s="8" t="inlineStr">
        <is>
          <t>Supabase local đã reset, API dùng api_role; dữ liệu test synthetic độc lập. Không dùng DB deploy.</t>
        </is>
      </c>
      <c r="D48" s="8" t="inlineStr">
        <is>
          <t>1. Tạo một notification cho F.
2. GET /notifications?limit=&lt;Test Data&gt;&amp;offset=0 bằng session F.</t>
        </is>
      </c>
      <c r="E48" s="8" t="inlineStr">
        <is>
          <t>100</t>
        </is>
      </c>
      <c r="F48" s="8" t="inlineStr">
        <is>
          <t>200 và danh sách có đúng ID notification của F.</t>
        </is>
      </c>
      <c r="G48" s="8" t="inlineStr">
        <is>
          <t>Đã chạy tự động: các kiểm tra response và DB nêu ở Expected Result đều pass.</t>
        </is>
      </c>
      <c r="H48" s="7" t="inlineStr">
        <is>
          <t>Pass</t>
        </is>
      </c>
      <c r="I48" s="8" t="inlineStr">
        <is>
          <t>AC3 · BVA (max), EP (1,2) · test_valid_pagination_boundaries__AC3[100] · evidence/test-task-integration-final.log</t>
        </is>
      </c>
    </row>
    <row r="49" ht="107" customHeight="1">
      <c r="A49" s="7" t="inlineStr">
        <is>
          <t>TC-FALERT-41</t>
        </is>
      </c>
      <c r="B49" s="7" t="inlineStr">
        <is>
          <t>Từ chối khi chưa có liên kết active [list-missing]</t>
        </is>
      </c>
      <c r="C49" s="8" t="inlineStr">
        <is>
          <t>Supabase local đã reset, API dùng api_role; dữ liệu test synthetic độc lập. Không dùng DB deploy.</t>
        </is>
      </c>
      <c r="D49" s="8" t="inlineStr">
        <is>
          <t>1. Tạo P có health_data và family_sharing nhưng F chưa có link hoặc link pending theo Test Data.
2. Tạo notification cũ cho F/P; gọi list/detail/PATCH bằng session F.
3. Kiểm access_logs theo P.</t>
        </is>
      </c>
      <c r="E49" s="8" t="inlineStr">
        <is>
          <t>list-missing</t>
        </is>
      </c>
      <c r="F49" s="8" t="inlineStr">
        <is>
          <t>List 200 rỗng/count 0 hoặc detail/PATCH 403; một denied cho P.</t>
        </is>
      </c>
      <c r="G49" s="8" t="inlineStr">
        <is>
          <t>Đã chạy tự động: các kiểm tra response và DB nêu ở Expected Result đều pass.</t>
        </is>
      </c>
      <c r="H49" s="7" t="inlineStr">
        <is>
          <t>Pass</t>
        </is>
      </c>
      <c r="I49" s="8" t="inlineStr">
        <is>
          <t>AC5 · Decision Table (R2) · test_initial_missing_or_pending_link_denied_with_audit__AC5[list-missing] · evidence/test-task-integration-final.log</t>
        </is>
      </c>
    </row>
    <row r="50" ht="107" customHeight="1">
      <c r="A50" s="7" t="inlineStr">
        <is>
          <t>TC-FALERT-42</t>
        </is>
      </c>
      <c r="B50" s="7" t="inlineStr">
        <is>
          <t>Từ chối khi chưa có liên kết active [list-pending]</t>
        </is>
      </c>
      <c r="C50" s="8" t="inlineStr">
        <is>
          <t>Supabase local đã reset, API dùng api_role; dữ liệu test synthetic độc lập. Không dùng DB deploy.</t>
        </is>
      </c>
      <c r="D50" s="8" t="inlineStr">
        <is>
          <t>1. Tạo P có health_data và family_sharing nhưng F chưa có link hoặc link pending theo Test Data.
2. Tạo notification cũ cho F/P; gọi list/detail/PATCH bằng session F.
3. Kiểm access_logs theo P.</t>
        </is>
      </c>
      <c r="E50" s="8" t="inlineStr">
        <is>
          <t>list-pending</t>
        </is>
      </c>
      <c r="F50" s="8" t="inlineStr">
        <is>
          <t>List 200 rỗng/count 0 hoặc detail/PATCH 403; một denied cho P.</t>
        </is>
      </c>
      <c r="G50" s="8" t="inlineStr">
        <is>
          <t>Đã chạy tự động: các kiểm tra response và DB nêu ở Expected Result đều pass.</t>
        </is>
      </c>
      <c r="H50" s="7" t="inlineStr">
        <is>
          <t>Pass</t>
        </is>
      </c>
      <c r="I50" s="8" t="inlineStr">
        <is>
          <t>AC5 · Decision Table (R2) · test_initial_missing_or_pending_link_denied_with_audit__AC5[list-pending] · evidence/test-task-integration-final.log</t>
        </is>
      </c>
    </row>
    <row r="51" ht="107" customHeight="1">
      <c r="A51" s="7" t="inlineStr">
        <is>
          <t>TC-FALERT-43</t>
        </is>
      </c>
      <c r="B51" s="7" t="inlineStr">
        <is>
          <t>Từ chối khi chưa có liên kết active [detail-missing]</t>
        </is>
      </c>
      <c r="C51" s="8" t="inlineStr">
        <is>
          <t>Supabase local đã reset, API dùng api_role; dữ liệu test synthetic độc lập. Không dùng DB deploy.</t>
        </is>
      </c>
      <c r="D51" s="8" t="inlineStr">
        <is>
          <t>1. Tạo P có health_data và family_sharing nhưng F chưa có link hoặc link pending theo Test Data.
2. Tạo notification cũ cho F/P; gọi list/detail/PATCH bằng session F.
3. Kiểm access_logs theo P.</t>
        </is>
      </c>
      <c r="E51" s="8" t="inlineStr">
        <is>
          <t>detail-missing</t>
        </is>
      </c>
      <c r="F51" s="8" t="inlineStr">
        <is>
          <t>List 200 rỗng/count 0 hoặc detail/PATCH 403; một denied cho P.</t>
        </is>
      </c>
      <c r="G51" s="8" t="inlineStr">
        <is>
          <t>Đã chạy tự động: các kiểm tra response và DB nêu ở Expected Result đều pass.</t>
        </is>
      </c>
      <c r="H51" s="7" t="inlineStr">
        <is>
          <t>Pass</t>
        </is>
      </c>
      <c r="I51" s="8" t="inlineStr">
        <is>
          <t>AC5 · Decision Table (R2) · test_initial_missing_or_pending_link_denied_with_audit__AC5[detail-missing] · evidence/test-task-integration-final.log</t>
        </is>
      </c>
    </row>
    <row r="52" ht="107" customHeight="1">
      <c r="A52" s="7" t="inlineStr">
        <is>
          <t>TC-FALERT-44</t>
        </is>
      </c>
      <c r="B52" s="7" t="inlineStr">
        <is>
          <t>Từ chối khi chưa có liên kết active [detail-pending]</t>
        </is>
      </c>
      <c r="C52" s="8" t="inlineStr">
        <is>
          <t>Supabase local đã reset, API dùng api_role; dữ liệu test synthetic độc lập. Không dùng DB deploy.</t>
        </is>
      </c>
      <c r="D52" s="8" t="inlineStr">
        <is>
          <t>1. Tạo P có health_data và family_sharing nhưng F chưa có link hoặc link pending theo Test Data.
2. Tạo notification cũ cho F/P; gọi list/detail/PATCH bằng session F.
3. Kiểm access_logs theo P.</t>
        </is>
      </c>
      <c r="E52" s="8" t="inlineStr">
        <is>
          <t>detail-pending</t>
        </is>
      </c>
      <c r="F52" s="8" t="inlineStr">
        <is>
          <t>List 200 rỗng/count 0 hoặc detail/PATCH 403; một denied cho P.</t>
        </is>
      </c>
      <c r="G52" s="8" t="inlineStr">
        <is>
          <t>Đã chạy tự động: các kiểm tra response và DB nêu ở Expected Result đều pass.</t>
        </is>
      </c>
      <c r="H52" s="7" t="inlineStr">
        <is>
          <t>Pass</t>
        </is>
      </c>
      <c r="I52" s="8" t="inlineStr">
        <is>
          <t>AC5 · Decision Table (R2) · test_initial_missing_or_pending_link_denied_with_audit__AC5[detail-pending] · evidence/test-task-integration-final.log</t>
        </is>
      </c>
    </row>
    <row r="53" ht="107" customHeight="1">
      <c r="A53" s="7" t="inlineStr">
        <is>
          <t>TC-FALERT-45</t>
        </is>
      </c>
      <c r="B53" s="7" t="inlineStr">
        <is>
          <t>Từ chối khi chưa có liên kết active [patch-missing]</t>
        </is>
      </c>
      <c r="C53" s="8" t="inlineStr">
        <is>
          <t>Supabase local đã reset, API dùng api_role; dữ liệu test synthetic độc lập. Không dùng DB deploy.</t>
        </is>
      </c>
      <c r="D53" s="8" t="inlineStr">
        <is>
          <t>1. Tạo P có health_data và family_sharing nhưng F chưa có link hoặc link pending theo Test Data.
2. Tạo notification cũ cho F/P; gọi list/detail/PATCH bằng session F.
3. Kiểm access_logs theo P.</t>
        </is>
      </c>
      <c r="E53" s="8" t="inlineStr">
        <is>
          <t>patch-missing</t>
        </is>
      </c>
      <c r="F53" s="8" t="inlineStr">
        <is>
          <t>List 200 rỗng/count 0 hoặc detail/PATCH 403; một denied cho P.</t>
        </is>
      </c>
      <c r="G53" s="8" t="inlineStr">
        <is>
          <t>Đã chạy tự động: các kiểm tra response và DB nêu ở Expected Result đều pass.</t>
        </is>
      </c>
      <c r="H53" s="7" t="inlineStr">
        <is>
          <t>Pass</t>
        </is>
      </c>
      <c r="I53" s="8" t="inlineStr">
        <is>
          <t>AC5 · Decision Table (R2) · test_initial_missing_or_pending_link_denied_with_audit__AC5[patch-missing] · evidence/test-task-integration-final.log</t>
        </is>
      </c>
    </row>
    <row r="54" ht="107" customHeight="1">
      <c r="A54" s="7" t="inlineStr">
        <is>
          <t>TC-FALERT-46</t>
        </is>
      </c>
      <c r="B54" s="7" t="inlineStr">
        <is>
          <t>Từ chối khi chưa có liên kết active [patch-pending]</t>
        </is>
      </c>
      <c r="C54" s="8" t="inlineStr">
        <is>
          <t>Supabase local đã reset, API dùng api_role; dữ liệu test synthetic độc lập. Không dùng DB deploy.</t>
        </is>
      </c>
      <c r="D54" s="8" t="inlineStr">
        <is>
          <t>1. Tạo P có health_data và family_sharing nhưng F chưa có link hoặc link pending theo Test Data.
2. Tạo notification cũ cho F/P; gọi list/detail/PATCH bằng session F.
3. Kiểm access_logs theo P.</t>
        </is>
      </c>
      <c r="E54" s="8" t="inlineStr">
        <is>
          <t>patch-pending</t>
        </is>
      </c>
      <c r="F54" s="8" t="inlineStr">
        <is>
          <t>List 200 rỗng/count 0 hoặc detail/PATCH 403; một denied cho P.</t>
        </is>
      </c>
      <c r="G54" s="8" t="inlineStr">
        <is>
          <t>Đã chạy tự động: các kiểm tra response và DB nêu ở Expected Result đều pass.</t>
        </is>
      </c>
      <c r="H54" s="7" t="inlineStr">
        <is>
          <t>Pass</t>
        </is>
      </c>
      <c r="I54" s="8" t="inlineStr">
        <is>
          <t>AC5 · Decision Table (R2) · test_initial_missing_or_pending_link_denied_with_audit__AC5[patch-pending] · evidence/test-task-integration-final.log</t>
        </is>
      </c>
    </row>
    <row r="55" ht="90.5" customHeight="1">
      <c r="A55" s="7" t="inlineStr">
        <is>
          <t>TC-FALERT-47</t>
        </is>
      </c>
      <c r="B55" s="7" t="inlineStr">
        <is>
          <t>Từ chối request notification thiếu session [list]</t>
        </is>
      </c>
      <c r="C55" s="8" t="inlineStr">
        <is>
          <t>Supabase local đã reset, API dùng api_role; dữ liệu test synthetic độc lập. Không dùng DB deploy.</t>
        </is>
      </c>
      <c r="D55" s="8" t="inlineStr">
        <is>
          <t>1. Tạo notification hợp lệ.
2. Gọi list/detail/PATCH theo Test Data không có Authorization.</t>
        </is>
      </c>
      <c r="E55" s="8" t="inlineStr">
        <is>
          <t>list</t>
        </is>
      </c>
      <c r="F55" s="8" t="inlineStr">
        <is>
          <t>401 và Cache-Control:no-store, không trả dữ liệu sức khỏe.</t>
        </is>
      </c>
      <c r="G55" s="8" t="inlineStr">
        <is>
          <t>Đã chạy tự động: các kiểm tra response và DB nêu ở Expected Result đều pass.</t>
        </is>
      </c>
      <c r="H55" s="7" t="inlineStr">
        <is>
          <t>Pass</t>
        </is>
      </c>
      <c r="I55" s="8" t="inlineStr">
        <is>
          <t>AC5 · đoán lỗi, chuyển trạng thái và bảo mật · test_missing_session_returns_401_no_store__AC5[list] · evidence/test-task-integration-final.log</t>
        </is>
      </c>
    </row>
    <row r="56" ht="90.5" customHeight="1">
      <c r="A56" s="7" t="inlineStr">
        <is>
          <t>TC-FALERT-48</t>
        </is>
      </c>
      <c r="B56" s="7" t="inlineStr">
        <is>
          <t>Từ chối request notification thiếu session [detail]</t>
        </is>
      </c>
      <c r="C56" s="8" t="inlineStr">
        <is>
          <t>Supabase local đã reset, API dùng api_role; dữ liệu test synthetic độc lập. Không dùng DB deploy.</t>
        </is>
      </c>
      <c r="D56" s="8" t="inlineStr">
        <is>
          <t>1. Tạo notification hợp lệ.
2. Gọi list/detail/PATCH theo Test Data không có Authorization.</t>
        </is>
      </c>
      <c r="E56" s="8" t="inlineStr">
        <is>
          <t>detail</t>
        </is>
      </c>
      <c r="F56" s="8" t="inlineStr">
        <is>
          <t>401 và Cache-Control:no-store, không trả dữ liệu sức khỏe.</t>
        </is>
      </c>
      <c r="G56" s="8" t="inlineStr">
        <is>
          <t>Đã chạy tự động: các kiểm tra response và DB nêu ở Expected Result đều pass.</t>
        </is>
      </c>
      <c r="H56" s="7" t="inlineStr">
        <is>
          <t>Pass</t>
        </is>
      </c>
      <c r="I56" s="8" t="inlineStr">
        <is>
          <t>AC5 · đoán lỗi, chuyển trạng thái và bảo mật · test_missing_session_returns_401_no_store__AC5[detail] · evidence/test-task-integration-final.log</t>
        </is>
      </c>
    </row>
    <row r="57" ht="90.5" customHeight="1">
      <c r="A57" s="7" t="inlineStr">
        <is>
          <t>TC-FALERT-49</t>
        </is>
      </c>
      <c r="B57" s="7" t="inlineStr">
        <is>
          <t>Từ chối request notification thiếu session [patch]</t>
        </is>
      </c>
      <c r="C57" s="8" t="inlineStr">
        <is>
          <t>Supabase local đã reset, API dùng api_role; dữ liệu test synthetic độc lập. Không dùng DB deploy.</t>
        </is>
      </c>
      <c r="D57" s="8" t="inlineStr">
        <is>
          <t>1. Tạo notification hợp lệ.
2. Gọi list/detail/PATCH theo Test Data không có Authorization.</t>
        </is>
      </c>
      <c r="E57" s="8" t="inlineStr">
        <is>
          <t>patch</t>
        </is>
      </c>
      <c r="F57" s="8" t="inlineStr">
        <is>
          <t>401 và Cache-Control:no-store, không trả dữ liệu sức khỏe.</t>
        </is>
      </c>
      <c r="G57" s="8" t="inlineStr">
        <is>
          <t>Đã chạy tự động: các kiểm tra response và DB nêu ở Expected Result đều pass.</t>
        </is>
      </c>
      <c r="H57" s="7" t="inlineStr">
        <is>
          <t>Pass</t>
        </is>
      </c>
      <c r="I57" s="8" t="inlineStr">
        <is>
          <t>AC5 · đoán lỗi, chuyển trạng thái và bảo mật · test_missing_session_returns_401_no_store__AC5[patch] · evidence/test-task-integration-final.log</t>
        </is>
      </c>
    </row>
    <row r="58" ht="156.5" customHeight="1">
      <c r="A58" s="7" t="inlineStr">
        <is>
          <t>TC-FALERT-50</t>
        </is>
      </c>
      <c r="B58" s="7" t="inlineStr">
        <is>
          <t>Giữ snapshot event sau sửa thuốc/lịch và quét lại</t>
        </is>
      </c>
      <c r="C58" s="8" t="inlineStr">
        <is>
          <t>Supabase local đã reset, API dùng api_role; dữ liệu test synthetic độc lập. Không dùng DB deploy.</t>
        </is>
      </c>
      <c r="D58" s="8" t="inlineStr">
        <is>
          <t>1. Tạo lịch P lúc 2026-10-20T01:00:00Z, thuốc Integration medicine; F không có token Android.
2. Scan bằng worker_role hai lần với controlled occurrence port tại giờ liều+3h.
3. GET inbox/detail bằng session F; sửa tên catalog và giờ lịch thành 19:00; GET detail lại.
4. PATCH is_read=true hai lần rồi đếm dose/notification và unread_count.</t>
        </is>
      </c>
      <c r="E58" s="8" t="inlineStr">
        <is>
          <t>P/F là UUID synthetic mới mỗi lần; ID notification lấy từ DB fixture; giờ 2026-10-20T01:00:00Z.</t>
        </is>
      </c>
      <c r="F58" s="8" t="inlineStr">
        <is>
          <t>Một dose bo_lo và một notification; snapshot thuốc/giờ giữ nguyên, badge về 0; PATCH không đổi dose; inbox không cần FCM token.</t>
        </is>
      </c>
      <c r="G58" s="8" t="inlineStr">
        <is>
          <t>Đã chạy tự động: các kiểm tra response và DB nêu ở Expected Result đều pass.</t>
        </is>
      </c>
      <c r="H58" s="7" t="inlineStr">
        <is>
          <t>Pass</t>
        </is>
      </c>
      <c r="I58" s="8" t="inlineStr">
        <is>
          <t>AC2, AC3, AC4 · đoán lỗi, chuyển trạng thái và bảo mật · test_scan_snapshot_survives_catalog_schedule_edit_and_replay__AC2_AC3_AC4 · evidence/test-task-integration-final.log</t>
        </is>
      </c>
    </row>
    <row r="59" ht="107" customHeight="1">
      <c r="A59" s="7" t="inlineStr">
        <is>
          <t>TC-FALERT-51</t>
        </is>
      </c>
      <c r="B59" s="7" t="inlineStr">
        <is>
          <t>Phân trang theo ID khi created_at bằng nhau và giữ badge toàn tập</t>
        </is>
      </c>
      <c r="C59" s="8" t="inlineStr">
        <is>
          <t>Supabase local đã reset, API dùng api_role; dữ liệu test synthetic độc lập. Không dùng DB deploy.</t>
        </is>
      </c>
      <c r="D59" s="8" t="inlineStr">
        <is>
          <t>1. Tạo 3 notification được phép, 2 unread, tất cả cùng created_at; thêm một notification patient bị từ chối.
2. GET với limit=1, offset=1; is_read=true/false; và limit=100,offset=100.
3. So ID và total/unread_count, kiểm denied.</t>
        </is>
      </c>
      <c r="E59" s="8" t="inlineStr">
        <is>
          <t>P/F là UUID synthetic mới mỗi lần; ID notification lấy từ DB fixture; giờ 2026-10-20T01:00:00Z.</t>
        </is>
      </c>
      <c r="F59" s="8" t="inlineStr">
        <is>
          <t>created_at DESC/id DESC; total theo is_read trước offset; unread_count luôn 2; patient bị từ chối không có trong count.</t>
        </is>
      </c>
      <c r="G59" s="8" t="inlineStr">
        <is>
          <t>Đã chạy tự động: các kiểm tra response và DB nêu ở Expected Result đều pass.</t>
        </is>
      </c>
      <c r="H59" s="7" t="inlineStr">
        <is>
          <t>Pass</t>
        </is>
      </c>
      <c r="I59" s="8" t="inlineStr">
        <is>
          <t>AC3, AC4 · đoán lỗi, chuyển trạng thái và bảo mật · test_filter_offset_tied_order_and_global_badge__AC3_AC4 · evidence/test-task-integration-final.log</t>
        </is>
      </c>
    </row>
    <row r="60" ht="107" customHeight="1">
      <c r="A60" s="7" t="inlineStr">
        <is>
          <t>TC-FALERT-52</t>
        </is>
      </c>
      <c r="B60" s="7" t="inlineStr">
        <is>
          <t>Giữ một bản ghi khi worker và xác nhận liều chạy đua [False]</t>
        </is>
      </c>
      <c r="C60" s="8" t="inlineStr">
        <is>
          <t>Supabase local đã reset, API dùng api_role; dữ liệu test synthetic độc lập. Không dùng DB deploy.</t>
        </is>
      </c>
      <c r="D60" s="8" t="inlineStr">
        <is>
          <t>1. Tạo lịch lúc 2026-10-20T01:00:00Z.
2. Giữ transaction INSERT bo_lo hoặc da_uong theo Test Data; chạy thao tác còn lại ở connection khác.
3. Chờ lock waiter, commit transaction giữ; kiểm dose_logs theo occurrence.</t>
        </is>
      </c>
      <c r="E60" s="8" t="inlineStr">
        <is>
          <t>False</t>
        </is>
      </c>
      <c r="F60" s="8" t="inlineStr">
        <is>
          <t>Một dòng; xác nhận đến muộn biến bo_lo thành uong_tre; worker không ghi đè da_uong.</t>
        </is>
      </c>
      <c r="G60" s="8" t="inlineStr">
        <is>
          <t>Đã chạy tự động: các kiểm tra response và DB nêu ở Expected Result đều pass.</t>
        </is>
      </c>
      <c r="H60" s="7" t="inlineStr">
        <is>
          <t>Pass</t>
        </is>
      </c>
      <c r="I60" s="8" t="inlineStr">
        <is>
          <t>AC3 · đoán lỗi, chuyển trạng thái và bảo mật · test_worker_database_race_never_overwrites_confirmation__AC3[False] · evidence/test-task-integration-final.log</t>
        </is>
      </c>
    </row>
    <row r="61" ht="107" customHeight="1">
      <c r="A61" s="7" t="inlineStr">
        <is>
          <t>TC-FALERT-53</t>
        </is>
      </c>
      <c r="B61" s="7" t="inlineStr">
        <is>
          <t>Giữ một bản ghi khi worker và xác nhận liều chạy đua [True]</t>
        </is>
      </c>
      <c r="C61" s="8" t="inlineStr">
        <is>
          <t>Supabase local đã reset, API dùng api_role; dữ liệu test synthetic độc lập. Không dùng DB deploy.</t>
        </is>
      </c>
      <c r="D61" s="8" t="inlineStr">
        <is>
          <t>1. Tạo lịch lúc 2026-10-20T01:00:00Z.
2. Giữ transaction INSERT bo_lo hoặc da_uong theo Test Data; chạy thao tác còn lại ở connection khác.
3. Chờ lock waiter, commit transaction giữ; kiểm dose_logs theo occurrence.</t>
        </is>
      </c>
      <c r="E61" s="8" t="inlineStr">
        <is>
          <t>True</t>
        </is>
      </c>
      <c r="F61" s="8" t="inlineStr">
        <is>
          <t>Một dòng; xác nhận đến muộn biến bo_lo thành uong_tre; worker không ghi đè da_uong.</t>
        </is>
      </c>
      <c r="G61" s="8" t="inlineStr">
        <is>
          <t>Đã chạy tự động: các kiểm tra response và DB nêu ở Expected Result đều pass.</t>
        </is>
      </c>
      <c r="H61" s="7" t="inlineStr">
        <is>
          <t>Pass</t>
        </is>
      </c>
      <c r="I61" s="8" t="inlineStr">
        <is>
          <t>AC3 · đoán lỗi, chuyển trạng thái và bảo mật · test_worker_database_race_never_overwrites_confirmation__AC3[True] · evidence/test-task-integration-final.log</t>
        </is>
      </c>
    </row>
    <row r="62" ht="123.5" customHeight="1">
      <c r="A62" s="7" t="inlineStr">
        <is>
          <t>TC-FALERT-54</t>
        </is>
      </c>
      <c r="B62" s="7" t="inlineStr">
        <is>
          <t>Nâng cấp schema giữ nguyên notification legacy</t>
        </is>
      </c>
      <c r="C62" s="8" t="inlineStr">
        <is>
          <t>Supabase local đã reset, API dùng api_role; dữ liệu test synthetic độc lập. Không dùng DB deploy.</t>
        </is>
      </c>
      <c r="D62" s="8" t="inlineStr">
        <is>
          <t>1. Trong transaction rollback-only, tái lập schema trước migration snapshot và INSERT notification legacy.
2. Chạy chính SQL migration 20261021093454 bên trong transaction test.
3. So dòng trước/sau; SET ROLE api_role rồi UPDATE is_read; rollback toàn bộ test.</t>
        </is>
      </c>
      <c r="E62" s="8" t="inlineStr">
        <is>
          <t>P/F là UUID synthetic mới mỗi lần; ID notification lấy từ DB fixture; giờ 2026-10-20T01:00:00Z.</t>
        </is>
      </c>
      <c r="F62" s="8" t="inlineStr">
        <is>
          <t>ID/nội dung/ngày/trạng thái legacy giữ nguyên; snapshot NULL; api_role vẫn đổi được is_read; không sửa migration đã áp dụng.</t>
        </is>
      </c>
      <c r="G62" s="8" t="inlineStr">
        <is>
          <t>Đã chạy tự động: các kiểm tra response và DB nêu ở Expected Result đều pass.</t>
        </is>
      </c>
      <c r="H62" s="7" t="inlineStr">
        <is>
          <t>Pass</t>
        </is>
      </c>
      <c r="I62" s="8" t="inlineStr">
        <is>
          <t>AC3 · đoán lỗi, chuyển trạng thái và bảo mật · test_upgrade_preserves_legacy_and_read_update__AC3 · evidence/test-task-integration-final.log</t>
        </is>
      </c>
    </row>
    <row r="63" ht="90.5" customHeight="1">
      <c r="A63" s="7" t="inlineStr">
        <is>
          <t>TC-FALERT-55</t>
        </is>
      </c>
      <c r="B63" s="7" t="inlineStr">
        <is>
          <t>Đọc và đánh dấu cảnh báo legacy thiếu snapshot</t>
        </is>
      </c>
      <c r="C63" s="8" t="inlineStr">
        <is>
          <t>Supabase local đã reset, API dùng api_role; dữ liệu test synthetic độc lập. Không dùng DB deploy.</t>
        </is>
      </c>
      <c r="D63" s="8" t="inlineStr">
        <is>
          <t>1. Chuẩn bị notification legacy có medication_name/scheduled_at=NULL.
2. GET detail rồi PATCH is_read=true bằng người thân có quyền.</t>
        </is>
      </c>
      <c r="E63" s="8" t="inlineStr">
        <is>
          <t>P/F là UUID synthetic mới mỗi lần; ID notification lấy từ DB fixture; giờ 2026-10-20T01:00:00Z.</t>
        </is>
      </c>
      <c r="F63" s="8" t="inlineStr">
        <is>
          <t>200 đủ field nullable và is_read=true sau PATCH; không backfill bằng lịch hiện tại.</t>
        </is>
      </c>
      <c r="G63" s="8" t="inlineStr">
        <is>
          <t>Đã chạy tự động: các kiểm tra response và DB nêu ở Expected Result đều pass.</t>
        </is>
      </c>
      <c r="H63" s="7" t="inlineStr">
        <is>
          <t>Pass</t>
        </is>
      </c>
      <c r="I63" s="8" t="inlineStr">
        <is>
          <t>AC3, AC4 · đoán lỗi, chuyển trạng thái và bảo mật · test_legacy_null_snapshot_can_be_read_and_marked__AC3_AC4 · evidence/test-task-integration-final.log</t>
        </is>
      </c>
    </row>
    <row r="64" ht="90.5" customHeight="1">
      <c r="A64" s="7" t="inlineStr">
        <is>
          <t>TC-FALERT-56</t>
        </is>
      </c>
      <c r="B64" s="7" t="inlineStr">
        <is>
          <t>Chặn notification mới thiếu snapshot [None-at0]</t>
        </is>
      </c>
      <c r="C64" s="8" t="inlineStr">
        <is>
          <t>Supabase local đã reset, API dùng api_role; dữ liệu test synthetic độc lập. Không dùng DB deploy.</t>
        </is>
      </c>
      <c r="D64" s="8" t="inlineStr">
        <is>
          <t>1. Tạo patient/recipient synthetic.
2. INSERT notifications với name/time theo Test Data bằng connection quản trị.</t>
        </is>
      </c>
      <c r="E64" s="8" t="inlineStr">
        <is>
          <t>medication_name=NULL; scheduled_at=2026-10-20T01:00:00Z</t>
        </is>
      </c>
      <c r="F64" s="8" t="inlineStr">
        <is>
          <t>DB từ chối với SQLSTATE 23514; không tạo dòng thiếu snapshot.</t>
        </is>
      </c>
      <c r="G64" s="8" t="inlineStr">
        <is>
          <t>Đã chạy tự động: các kiểm tra response và DB nêu ở Expected Result đều pass.</t>
        </is>
      </c>
      <c r="H64" s="7" t="inlineStr">
        <is>
          <t>Pass</t>
        </is>
      </c>
      <c r="I64" s="8" t="inlineStr">
        <is>
          <t>AC3 · đoán lỗi, chuyển trạng thái và bảo mật · test_new_insert_requires_snapshot__AC3[None-at0] · evidence/test-task-integration-final.log</t>
        </is>
      </c>
    </row>
    <row r="65" ht="90.5" customHeight="1">
      <c r="A65" s="7" t="inlineStr">
        <is>
          <t>TC-FALERT-57</t>
        </is>
      </c>
      <c r="B65" s="7" t="inlineStr">
        <is>
          <t>Chặn notification mới thiếu snapshot [-at1]</t>
        </is>
      </c>
      <c r="C65" s="8" t="inlineStr">
        <is>
          <t>Supabase local đã reset, API dùng api_role; dữ liệu test synthetic độc lập. Không dùng DB deploy.</t>
        </is>
      </c>
      <c r="D65" s="8" t="inlineStr">
        <is>
          <t>1. Tạo patient/recipient synthetic.
2. INSERT notifications với name/time theo Test Data bằng connection quản trị.</t>
        </is>
      </c>
      <c r="E65" s="8" t="inlineStr">
        <is>
          <t>medication_name=(blank); scheduled_at=2026-10-20T01:00:00Z</t>
        </is>
      </c>
      <c r="F65" s="8" t="inlineStr">
        <is>
          <t>DB từ chối với SQLSTATE 23514; không tạo dòng thiếu snapshot.</t>
        </is>
      </c>
      <c r="G65" s="8" t="inlineStr">
        <is>
          <t>Đã chạy tự động: các kiểm tra response và DB nêu ở Expected Result đều pass.</t>
        </is>
      </c>
      <c r="H65" s="7" t="inlineStr">
        <is>
          <t>Pass</t>
        </is>
      </c>
      <c r="I65" s="8" t="inlineStr">
        <is>
          <t>AC3 · đoán lỗi, chuyển trạng thái và bảo mật · test_new_insert_requires_snapshot__AC3[-at1] · evidence/test-task-integration-final.log</t>
        </is>
      </c>
    </row>
    <row r="66" ht="90.5" customHeight="1">
      <c r="A66" s="7" t="inlineStr">
        <is>
          <t>TC-FALERT-58</t>
        </is>
      </c>
      <c r="B66" s="7" t="inlineStr">
        <is>
          <t>Chặn notification mới thiếu snapshot [   -at2]</t>
        </is>
      </c>
      <c r="C66" s="8" t="inlineStr">
        <is>
          <t>Supabase local đã reset, API dùng api_role; dữ liệu test synthetic độc lập. Không dùng DB deploy.</t>
        </is>
      </c>
      <c r="D66" s="8" t="inlineStr">
        <is>
          <t>1. Tạo patient/recipient synthetic.
2. INSERT notifications với name/time theo Test Data bằng connection quản trị.</t>
        </is>
      </c>
      <c r="E66" s="8" t="inlineStr">
        <is>
          <t>medication_name="   "; scheduled_at=2026-10-20T01:00:00Z</t>
        </is>
      </c>
      <c r="F66" s="8" t="inlineStr">
        <is>
          <t>DB từ chối với SQLSTATE 23514; không tạo dòng thiếu snapshot.</t>
        </is>
      </c>
      <c r="G66" s="8" t="inlineStr">
        <is>
          <t>Đã chạy tự động: các kiểm tra response và DB nêu ở Expected Result đều pass.</t>
        </is>
      </c>
      <c r="H66" s="7" t="inlineStr">
        <is>
          <t>Pass</t>
        </is>
      </c>
      <c r="I66" s="8" t="inlineStr">
        <is>
          <t>AC3 · đoán lỗi, chuyển trạng thái và bảo mật · test_new_insert_requires_snapshot__AC3[   -at2] · evidence/test-task-integration-final.log</t>
        </is>
      </c>
    </row>
    <row r="67" ht="90.5" customHeight="1">
      <c r="A67" s="7" t="inlineStr">
        <is>
          <t>TC-FALERT-59</t>
        </is>
      </c>
      <c r="B67" s="7" t="inlineStr">
        <is>
          <t>Chặn notification mới thiếu snapshot [Valid-None]</t>
        </is>
      </c>
      <c r="C67" s="8" t="inlineStr">
        <is>
          <t>Supabase local đã reset, API dùng api_role; dữ liệu test synthetic độc lập. Không dùng DB deploy.</t>
        </is>
      </c>
      <c r="D67" s="8" t="inlineStr">
        <is>
          <t>1. Tạo patient/recipient synthetic.
2. INSERT notifications với name/time theo Test Data bằng connection quản trị.</t>
        </is>
      </c>
      <c r="E67" s="8" t="inlineStr">
        <is>
          <t>medication_name="Valid"; scheduled_at=NULL</t>
        </is>
      </c>
      <c r="F67" s="8" t="inlineStr">
        <is>
          <t>DB từ chối với SQLSTATE 23514; không tạo dòng thiếu snapshot.</t>
        </is>
      </c>
      <c r="G67" s="8" t="inlineStr">
        <is>
          <t>Đã chạy tự động: các kiểm tra response và DB nêu ở Expected Result đều pass.</t>
        </is>
      </c>
      <c r="H67" s="7" t="inlineStr">
        <is>
          <t>Pass</t>
        </is>
      </c>
      <c r="I67" s="8" t="inlineStr">
        <is>
          <t>AC3 · đoán lỗi, chuyển trạng thái và bảo mật · test_new_insert_requires_snapshot__AC3[Valid-None] · evidence/test-task-integration-final.log</t>
        </is>
      </c>
    </row>
    <row r="68" ht="140" customHeight="1">
      <c r="A68" s="7" t="inlineStr">
        <is>
          <t>TC-FALERT-60</t>
        </is>
      </c>
      <c r="B68" s="7" t="inlineStr">
        <is>
          <t>Giữ RLS, quyền tối thiểu và index cho inbox [anon]</t>
        </is>
      </c>
      <c r="C68" s="8" t="inlineStr">
        <is>
          <t>Supabase local đã reset, API dùng api_role; dữ liệu test synthetic độc lập. Không dùng DB deploy.</t>
        </is>
      </c>
      <c r="D68"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8" s="8" t="inlineStr">
        <is>
          <t>anon</t>
        </is>
      </c>
      <c r="F68" s="8" t="inlineStr">
        <is>
          <t>Client roles không đọc; API chỉ đổi is_read; worker INSERT được và UPDATE bị chặn; RLS bật, không policy client; index inbox được dùng.</t>
        </is>
      </c>
      <c r="G68" s="8" t="inlineStr">
        <is>
          <t>Đã chạy tự động: các kiểm tra response và DB nêu ở Expected Result đều pass.</t>
        </is>
      </c>
      <c r="H68" s="7" t="inlineStr">
        <is>
          <t>Pass</t>
        </is>
      </c>
      <c r="I68" s="8" t="inlineStr">
        <is>
          <t>AC3, AC5 · đoán lỗi, chuyển trạng thái và bảo mật · test_snapshot_roles_rls_and_indexes__AC3_AC5[anon] · evidence/test-task-integration-final.log</t>
        </is>
      </c>
    </row>
    <row r="69" ht="140" customHeight="1">
      <c r="A69" s="7" t="inlineStr">
        <is>
          <t>TC-FALERT-61</t>
        </is>
      </c>
      <c r="B69" s="7" t="inlineStr">
        <is>
          <t>Giữ RLS, quyền tối thiểu và index cho inbox [authenticated]</t>
        </is>
      </c>
      <c r="C69" s="8" t="inlineStr">
        <is>
          <t>Supabase local đã reset, API dùng api_role; dữ liệu test synthetic độc lập. Không dùng DB deploy.</t>
        </is>
      </c>
      <c r="D69"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9" s="8" t="inlineStr">
        <is>
          <t>authenticated</t>
        </is>
      </c>
      <c r="F69" s="8" t="inlineStr">
        <is>
          <t>Client roles không đọc; API chỉ đổi is_read; worker INSERT được và UPDATE bị chặn; RLS bật, không policy client; index inbox được dùng.</t>
        </is>
      </c>
      <c r="G69" s="8" t="inlineStr">
        <is>
          <t>Đã chạy tự động: các kiểm tra response và DB nêu ở Expected Result đều pass.</t>
        </is>
      </c>
      <c r="H69" s="7" t="inlineStr">
        <is>
          <t>Pass</t>
        </is>
      </c>
      <c r="I69" s="8" t="inlineStr">
        <is>
          <t>AC3, AC5 · đoán lỗi, chuyển trạng thái và bảo mật · test_snapshot_roles_rls_and_indexes__AC3_AC5[authenticated] · evidence/test-task-integration-final.log</t>
        </is>
      </c>
    </row>
    <row r="70" ht="140" customHeight="1">
      <c r="A70" s="7" t="inlineStr">
        <is>
          <t>TC-FALERT-62</t>
        </is>
      </c>
      <c r="B70" s="7" t="inlineStr">
        <is>
          <t>Giữ RLS, quyền tối thiểu và index cho inbox [api_role]</t>
        </is>
      </c>
      <c r="C70" s="8" t="inlineStr">
        <is>
          <t>Supabase local đã reset, API dùng api_role; dữ liệu test synthetic độc lập. Không dùng DB deploy.</t>
        </is>
      </c>
      <c r="D70"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0" s="8" t="inlineStr">
        <is>
          <t>api_role</t>
        </is>
      </c>
      <c r="F70" s="8" t="inlineStr">
        <is>
          <t>Client roles không đọc; API chỉ đổi is_read; worker INSERT được và UPDATE bị chặn; RLS bật, không policy client; index inbox được dùng.</t>
        </is>
      </c>
      <c r="G70" s="8" t="inlineStr">
        <is>
          <t>Đã chạy tự động: các kiểm tra response và DB nêu ở Expected Result đều pass.</t>
        </is>
      </c>
      <c r="H70" s="7" t="inlineStr">
        <is>
          <t>Pass</t>
        </is>
      </c>
      <c r="I70" s="8" t="inlineStr">
        <is>
          <t>AC3, AC5 · đoán lỗi, chuyển trạng thái và bảo mật · test_snapshot_roles_rls_and_indexes__AC3_AC5[api_role] · evidence/test-task-integration-final.log</t>
        </is>
      </c>
    </row>
    <row r="71" ht="140" customHeight="1">
      <c r="A71" s="7" t="inlineStr">
        <is>
          <t>TC-FALERT-63</t>
        </is>
      </c>
      <c r="B71" s="7" t="inlineStr">
        <is>
          <t>Giữ RLS, quyền tối thiểu và index cho inbox [worker_role]</t>
        </is>
      </c>
      <c r="C71" s="8" t="inlineStr">
        <is>
          <t>Supabase local đã reset, API dùng api_role; dữ liệu test synthetic độc lập. Không dùng DB deploy.</t>
        </is>
      </c>
      <c r="D71"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1" s="8" t="inlineStr">
        <is>
          <t>worker_role</t>
        </is>
      </c>
      <c r="F71" s="8" t="inlineStr">
        <is>
          <t>Client roles không đọc; API chỉ đổi is_read; worker INSERT được và UPDATE bị chặn; RLS bật, không policy client; index inbox được dùng.</t>
        </is>
      </c>
      <c r="G71" s="8" t="inlineStr">
        <is>
          <t>Đã chạy tự động: các kiểm tra response và DB nêu ở Expected Result đều pass.</t>
        </is>
      </c>
      <c r="H71" s="7" t="inlineStr">
        <is>
          <t>Pass</t>
        </is>
      </c>
      <c r="I71" s="8" t="inlineStr">
        <is>
          <t>AC3, AC5 · đoán lỗi, chuyển trạng thái và bảo mật · test_snapshot_roles_rls_and_indexes__AC3_AC5[worker_role] · evidence/test-task-integration-final.log</t>
        </is>
      </c>
    </row>
    <row r="72" ht="107" customHeight="1">
      <c r="A72" s="7" t="inlineStr">
        <is>
          <t>TC-FALERT-64</t>
        </is>
      </c>
      <c r="B72" s="7" t="inlineStr">
        <is>
          <t>Nhận và mở FCM ở foreground</t>
        </is>
      </c>
      <c r="C72" s="8" t="inlineStr">
        <is>
          <t>Cần APK/thiết bị Android hoặc môi trường iOS và dispatcher FCM thật; chưa có bằng chứng thao tác thiết bị trong phiên Windows này.</t>
        </is>
      </c>
      <c r="D72" s="8" t="inlineStr">
        <is>
          <t>1. Đăng nhập F trên Android có Google Play services và bật quyền notification.
2. Gây missed-dose thật cho P liên kết; giữ app foreground; nhận push và chạm mở.
3. So patient/notification_id với API và kiểm không mở nhầm patient.</t>
        </is>
      </c>
      <c r="E72" s="8" t="inlineStr">
        <is>
          <t>Foreground; payload notification_id hợp lệ.</t>
        </is>
      </c>
      <c r="F72" s="8" t="inlineStr">
        <is>
          <t>Token được đăng ký; local notification mở đúng cảnh báo sau GET detail.</t>
        </is>
      </c>
      <c r="G72" s="8" t="inlineStr"/>
      <c r="H72" s="7" t="inlineStr">
        <is>
          <t>Pending</t>
        </is>
      </c>
      <c r="I72" s="8" t="inlineStr">
        <is>
          <t>AC1, AC2 · manual · M1–M4 · chưa chạy thiết bị</t>
        </is>
      </c>
    </row>
    <row r="73" ht="90.5" customHeight="1">
      <c r="A73" s="7" t="inlineStr">
        <is>
          <t>TC-FALERT-65</t>
        </is>
      </c>
      <c r="B73" s="7" t="inlineStr">
        <is>
          <t>Nhận và mở FCM ở background</t>
        </is>
      </c>
      <c r="C73" s="8" t="inlineStr">
        <is>
          <t>Cần APK/thiết bị Android hoặc môi trường iOS và dispatcher FCM thật; chưa có bằng chứng thao tác thiết bị trong phiên Windows này.</t>
        </is>
      </c>
      <c r="D73" s="8" t="inlineStr">
        <is>
          <t>1. Đưa app xuống nền bình thường.
2. Gây cảnh báo thật cho P và chạm notification hệ điều hành.
3. So patient/detail với API.</t>
        </is>
      </c>
      <c r="E73" s="8" t="inlineStr">
        <is>
          <t>Background; thiết bị Android thật.</t>
        </is>
      </c>
      <c r="F73" s="8" t="inlineStr">
        <is>
          <t>Mở đúng cảnh báo và patient; quyền được kiểm lại.</t>
        </is>
      </c>
      <c r="G73" s="8" t="inlineStr"/>
      <c r="H73" s="7" t="inlineStr">
        <is>
          <t>Pending</t>
        </is>
      </c>
      <c r="I73" s="8" t="inlineStr">
        <is>
          <t>AC2 · manual · M1–M4 · chưa chạy thiết bị</t>
        </is>
      </c>
    </row>
    <row r="74" ht="107" customHeight="1">
      <c r="A74" s="7" t="inlineStr">
        <is>
          <t>TC-FALERT-66</t>
        </is>
      </c>
      <c r="B74" s="7" t="inlineStr">
        <is>
          <t>Mở FCM từ terminated thông thường</t>
        </is>
      </c>
      <c r="C74" s="8" t="inlineStr">
        <is>
          <t>Cần APK/thiết bị Android hoặc môi trường iOS và dispatcher FCM thật; chưa có bằng chứng thao tác thiết bị trong phiên Windows này.</t>
        </is>
      </c>
      <c r="D74" s="8" t="inlineStr">
        <is>
          <t>1. Đóng app theo cách thông thường, không force-stop.
2. Gửi cảnh báo thật; chạm notification khởi động app.
3. Kiểm initial message chỉ điều hướng một lần tới đúng detail.</t>
        </is>
      </c>
      <c r="E74" s="8" t="inlineStr">
        <is>
          <t>Terminated; không force-stop.</t>
        </is>
      </c>
      <c r="F74" s="8" t="inlineStr">
        <is>
          <t>Cold start lấy đúng notification bằng session hiện hành.</t>
        </is>
      </c>
      <c r="G74" s="8" t="inlineStr"/>
      <c r="H74" s="7" t="inlineStr">
        <is>
          <t>Pending</t>
        </is>
      </c>
      <c r="I74" s="8" t="inlineStr">
        <is>
          <t>AC2 · manual · M1–M4 · chưa chạy thiết bị</t>
        </is>
      </c>
    </row>
    <row r="75" ht="90.5" customHeight="1">
      <c r="A75" s="7" t="inlineStr">
        <is>
          <t>TC-FALERT-67</t>
        </is>
      </c>
      <c r="B75" s="7" t="inlineStr">
        <is>
          <t>Từ chối payload sai và vẫn dùng inbox khi tắt quyền notification</t>
        </is>
      </c>
      <c r="C75" s="8" t="inlineStr">
        <is>
          <t>Cần APK/thiết bị Android hoặc môi trường iOS và dispatcher FCM thật; chưa có bằng chứng thao tác thiết bị trong phiên Windows này.</t>
        </is>
      </c>
      <c r="D75" s="8" t="inlineStr">
        <is>
          <t>1. Gửi payload thiếu ID, ID=0, không phải số và ID vượt int64.
2. Tắt quyền notification Android rồi mở hộp thư và đánh dấu đã đọc.</t>
        </is>
      </c>
      <c r="E75" s="8" t="inlineStr">
        <is>
          <t>ID=(blank),0,abc,9223372036854775808; permission denied.</t>
        </is>
      </c>
      <c r="F75" s="8" t="inlineStr">
        <is>
          <t>Payload sai không điều hướng; inbox vẫn GET/PATCH và badge theo server.</t>
        </is>
      </c>
      <c r="G75" s="8" t="inlineStr"/>
      <c r="H75" s="7" t="inlineStr">
        <is>
          <t>Pending</t>
        </is>
      </c>
      <c r="I75" s="8" t="inlineStr">
        <is>
          <t>AC2, AC3 · manual · M1–M4 · chưa chạy thiết bị</t>
        </is>
      </c>
    </row>
    <row r="76" ht="107" customHeight="1">
      <c r="A76" s="7" t="inlineStr">
        <is>
          <t>TC-FALERT-68</t>
        </is>
      </c>
      <c r="B76" s="7" t="inlineStr">
        <is>
          <t>Kiểm preview remote background và màn hình khóa</t>
        </is>
      </c>
      <c r="C76" s="8" t="inlineStr">
        <is>
          <t>Cần APK/thiết bị Android hoặc môi trường iOS và dispatcher FCM thật; chưa có bằng chứng thao tác thiết bị trong phiên Windows này.</t>
        </is>
      </c>
      <c r="D76" s="8" t="inlineStr">
        <is>
          <t>1. Bật preview trên thiết bị Android rồi nhận remote push khi app ở nền.
2. Đổi cài đặt ẩn nội dung trên màn hình khóa và lặp lại.
3. Ghi phiên bản OS, cài đặt và nội dung nhìn thấy.</t>
        </is>
      </c>
      <c r="E76" s="8" t="inlineStr">
        <is>
          <t>Preview show/hide; remote background.</t>
        </is>
      </c>
      <c r="F76" s="8" t="inlineStr">
        <is>
          <t>Nội dung theo cài đặt OS; không có tên thuốc/giờ/chi tiết liều.</t>
        </is>
      </c>
      <c r="G76" s="8" t="inlineStr"/>
      <c r="H76" s="7" t="inlineStr">
        <is>
          <t>Pending</t>
        </is>
      </c>
      <c r="I76" s="8" t="inlineStr">
        <is>
          <t>AC6 · manual · M1–M4 · chưa chạy thiết bị</t>
        </is>
      </c>
    </row>
    <row r="77" ht="90.5" customHeight="1">
      <c r="A77" s="7" t="inlineStr">
        <is>
          <t>TC-FALERT-69</t>
        </is>
      </c>
      <c r="B77" s="7" t="inlineStr">
        <is>
          <t>Kiểm preview local foreground và quiet hours</t>
        </is>
      </c>
      <c r="C77" s="8" t="inlineStr">
        <is>
          <t>Cần APK/thiết bị Android hoặc môi trường iOS và dispatcher FCM thật; chưa có bằng chứng thao tác thiết bị trong phiên Windows này.</t>
        </is>
      </c>
      <c r="D77" s="8" t="inlineStr">
        <is>
          <t>1. Lặp thao tác preview bật/ẩn với push ở foreground tạo local notification.
2. Kiểm family channel không full-screen và không phá quiet hours/reminder.</t>
        </is>
      </c>
      <c r="E77" s="8" t="inlineStr">
        <is>
          <t>Local foreground; preview show/hide; quiet hours bật.</t>
        </is>
      </c>
      <c r="F77" s="8" t="inlineStr">
        <is>
          <t>Nội dung khóa chung khi ẩn; không thuốc/giờ, không full-screen, giữ reminder.</t>
        </is>
      </c>
      <c r="G77" s="8" t="inlineStr"/>
      <c r="H77" s="7" t="inlineStr">
        <is>
          <t>Pending</t>
        </is>
      </c>
      <c r="I77" s="8" t="inlineStr">
        <is>
          <t>AC6 · manual · M1–M4 · chưa chạy thiết bị</t>
        </is>
      </c>
    </row>
    <row r="78" ht="107" customHeight="1">
      <c r="A78" s="7" t="inlineStr">
        <is>
          <t>TC-FALERT-70</t>
        </is>
      </c>
      <c r="B78" s="7" t="inlineStr">
        <is>
          <t>Đăng xuất và đổi tài khoản khi PUT đang bay</t>
        </is>
      </c>
      <c r="C78" s="8" t="inlineStr">
        <is>
          <t>Cần APK/thiết bị Android hoặc môi trường iOS và dispatcher FCM thật; chưa có bằng chứng thao tác thiết bị trong phiên Windows này.</t>
        </is>
      </c>
      <c r="D78" s="8" t="inlineStr">
        <is>
          <t>1. A đăng nhập trên Android thật; trì hoãn PUT/refresh ở proxy local.
2. Bấm logout/đổi sang B rồi thả request theo cả thứ tự.
3. Kiểm server chọn token và gửi missed-dose mới cho A.</t>
        </is>
      </c>
      <c r="E78" s="8" t="inlineStr">
        <is>
          <t>A→B; delayed PUT/refresh/DELETE; dispatcher thật.</t>
        </is>
      </c>
      <c r="F78" s="8" t="inlineStr">
        <is>
          <t>Cleanup hoàn tất hoặc token cũ vô hiệu trước khi kết thúc session; không nhận cảnh báo mới của A; không hiện health A khi dùng B.</t>
        </is>
      </c>
      <c r="G78" s="8" t="inlineStr"/>
      <c r="H78" s="7" t="inlineStr">
        <is>
          <t>Pending</t>
        </is>
      </c>
      <c r="I78" s="8" t="inlineStr">
        <is>
          <t>AC8 · manual · M1–M4 · chưa chạy thiết bị</t>
        </is>
      </c>
    </row>
    <row r="79" ht="90.5" customHeight="1">
      <c r="A79" s="7" t="inlineStr">
        <is>
          <t>TC-FALERT-71</t>
        </is>
      </c>
      <c r="B79" s="7" t="inlineStr">
        <is>
          <t>Khôi phục cleanup sau offline, hết hạn và kill</t>
        </is>
      </c>
      <c r="C79" s="8" t="inlineStr">
        <is>
          <t>Cần APK/thiết bị Android hoặc môi trường iOS và dispatcher FCM thật; chưa có bằng chứng thao tác thiết bị trong phiên Windows này.</t>
        </is>
      </c>
      <c r="D79" s="8" t="inlineStr">
        <is>
          <t>1. A đăng nhập; tắt mạng khi cleanup hoặc để session hết hạn.
2. Kill app giữa cleanup, khởi động lại rồi bật mạng và đăng nhập B.
3. Gửi cảnh báo cho A và thử stale push tap.</t>
        </is>
      </c>
      <c r="E79" s="8" t="inlineStr">
        <is>
          <t>Offline; expired bearer; kill/restart; upstream dispatch recheck.</t>
        </is>
      </c>
      <c r="F79" s="8" t="inlineStr">
        <is>
          <t>Retry/rotation không chuyển token cho sai user; stale tap/response không hiện A. Push đã giao FCM ghi riêng.</t>
        </is>
      </c>
      <c r="G79" s="8" t="inlineStr"/>
      <c r="H79" s="7" t="inlineStr">
        <is>
          <t>Pending</t>
        </is>
      </c>
      <c r="I79" s="8" t="inlineStr">
        <is>
          <t>AC8 · manual · M1–M4 · chưa chạy thiết bị</t>
        </is>
      </c>
    </row>
    <row r="80" ht="90.5" customHeight="1">
      <c r="A80" s="7" t="inlineStr">
        <is>
          <t>TC-FALERT-72</t>
        </is>
      </c>
      <c r="B80" s="7" t="inlineStr">
        <is>
          <t>Kiểm hộp thư iOS trên thiết bị hoặc simulator</t>
        </is>
      </c>
      <c r="C80" s="8" t="inlineStr">
        <is>
          <t>Cần APK/thiết bị Android hoặc môi trường iOS và dispatcher FCM thật; chưa có bằng chứng thao tác thiết bị trong phiên Windows này.</t>
        </is>
      </c>
      <c r="D80" s="8" t="inlineStr">
        <is>
          <t>1. Mở app iOS và đăng nhập F có notification.
2. Kiểm dòng “Thông báo đẩy chưa được hỗ trợ”, patient, thuốc và giờ VN.
3. Đánh dấu đọc, kiểm badge; background/resume rồi tải lại.</t>
        </is>
      </c>
      <c r="E80" s="8" t="inlineStr">
        <is>
          <t>iOS simulator/device; giờ UTC+7; không APNs.</t>
        </is>
      </c>
      <c r="F80" s="8" t="inlineStr">
        <is>
          <t>Inbox GET/PATCH hoạt động; note đúng câu; badge đúng; không gọi đăng ký token Android.</t>
        </is>
      </c>
      <c r="G80" s="8" t="inlineStr"/>
      <c r="H80" s="7" t="inlineStr">
        <is>
          <t>Pending</t>
        </is>
      </c>
      <c r="I80" s="8" t="inlineStr">
        <is>
          <t>AC3, AC4, AC7 · manual · M1–M4 · chưa chạy thiết bị</t>
        </is>
      </c>
    </row>
    <row r="81" ht="74" customHeight="1">
      <c r="A81" s="7" t="inlineStr">
        <is>
          <t>TC-FALERT-73</t>
        </is>
      </c>
      <c r="B81" s="7" t="inlineStr">
        <is>
          <t>Hiển thị note iOS, thuốc và ngày VN trong widget</t>
        </is>
      </c>
      <c r="C81" s="8" t="inlineStr">
        <is>
          <t>Môi trường Flutter test với fake repository có dữ liệu đã định nghĩa.</t>
        </is>
      </c>
      <c r="D81" s="8" t="inlineStr">
        <is>
          <t>1. Chạy flutter test test/features/family/family_alert_screens_test.dart.
2. Quan sát assertion iOS inbox has support note, patient, medicine, VN day and read status.</t>
        </is>
      </c>
      <c r="E81" s="8" t="inlineStr">
        <is>
          <t>TargetPlatform.iOS; timestamp fixture của widget.</t>
        </is>
      </c>
      <c r="F81" s="8" t="inlineStr">
        <is>
          <t>Có note iOS, patient, medicine, ngày VN và read status trong widget.</t>
        </is>
      </c>
      <c r="G81" s="8" t="inlineStr">
        <is>
          <t>Widget được chạy trong full Flutter: 563 tests pass, gồm assertion nêu trên.</t>
        </is>
      </c>
      <c r="H81" s="7" t="inlineStr">
        <is>
          <t>Pass</t>
        </is>
      </c>
      <c r="I81" s="8" t="inlineStr">
        <is>
          <t>AC3, AC7 · widget · evidence/test-mobile.log; không phải iOS runtime</t>
        </is>
      </c>
    </row>
    <row r="82"/>
    <row r="83"/>
    <row r="84">
      <c r="G84" s="12" t="inlineStr">
        <is>
          <t>Pass</t>
        </is>
      </c>
      <c r="H84" s="13">
        <f>COUNTIF(H9:H81,"Pass")</f>
        <v/>
      </c>
    </row>
    <row r="85">
      <c r="G85" s="12" t="inlineStr">
        <is>
          <t>Fail</t>
        </is>
      </c>
      <c r="H85" s="13">
        <f>COUNTIF(H9:H81,"Fail")</f>
        <v/>
      </c>
    </row>
    <row r="86">
      <c r="G86" s="12" t="inlineStr">
        <is>
          <t>Pending</t>
        </is>
      </c>
      <c r="H86" s="13">
        <f>COUNTIF(H9:H81,"Pending")</f>
        <v/>
      </c>
    </row>
    <row r="87">
      <c r="G87" s="12" t="inlineStr">
        <is>
          <t>Total</t>
        </is>
      </c>
      <c r="H87" s="13">
        <f>SUM(H84:H86)</f>
        <v/>
      </c>
    </row>
  </sheetData>
  <autoFilter ref="A8:I81"/>
  <conditionalFormatting sqref="H9:H81">
    <cfRule type="cellIs" priority="1" operator="equal" dxfId="0">
      <formula>"Fail"</formula>
    </cfRule>
  </conditionalFormatting>
  <dataValidations count="1">
    <dataValidation sqref="H9:H81" showDropDown="0" showInputMessage="0" showErrorMessage="0" allowBlank="0" type="list">
      <formula1>"Pass,Fail,Pending"</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FCM token Android (FCMTOKEN)</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Chủ sở hữu token</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TC-FCMTOKEN-01</t>
        </is>
      </c>
      <c r="B9" s="7" t="inlineStr">
        <is>
          <t>Đăng ký lặp, refresh và gỡ token trước logout</t>
        </is>
      </c>
      <c r="C9" s="8" t="inlineStr">
        <is>
          <t>Supabase local đã reset, API dùng api_role; dữ liệu test synthetic độc lập. Không dùng DB deploy.</t>
        </is>
      </c>
      <c r="D9" s="8" t="inlineStr">
        <is>
          <t>1. PUT /me/device-tokens token T cho A hai lần; B PUT T.
2. A PUT token N với previous_fcm_token=T; kiểm android_tokens(A).
3. B DELETE N, rồi A DELETE N hai lần; kiểm DB và android_tokens(A).</t>
        </is>
      </c>
      <c r="E9" s="8" t="inlineStr">
        <is>
          <t>P/F là UUID synthetic mới mỗi lần; ID notification lấy từ DB fixture; giờ 2026-10-20T01:00:00Z.</t>
        </is>
      </c>
      <c r="F9" s="8" t="inlineStr">
        <is>
          <t>PUT lặp 204/một dòng; B 409; refresh chỉ còn N; DELETE khác chủ không xóa; DELETE của A 204 không body; dispatch mới không chọn token đã gỡ.</t>
        </is>
      </c>
      <c r="G9" s="8" t="inlineStr">
        <is>
          <t>Đã chạy tự động: các kiểm tra response và DB nêu ở Expected Result đều pass.</t>
        </is>
      </c>
      <c r="H9" s="7" t="inlineStr">
        <is>
          <t>Pass</t>
        </is>
      </c>
      <c r="I9" s="8" t="inlineStr">
        <is>
          <t>AC1, AC8 · EP (1) · chuyển trạng thái/ownership · test_replay_refresh_logout_and_dispatch_selection__AC1_AC8 · evidence/test-task-integration-final.log</t>
        </is>
      </c>
      <c r="K9" s="9" t="inlineStr">
        <is>
          <t>fcm_token</t>
        </is>
      </c>
      <c r="L9" s="10" t="inlineStr">
        <is>
          <t>Chuỗi không rỗng, không khoảng trắng</t>
        </is>
      </c>
      <c r="M9" s="10" t="inlineStr">
        <is>
          <t>1</t>
        </is>
      </c>
      <c r="N9" s="10" t="inlineStr">
        <is>
          <t>(blank)
a b</t>
        </is>
      </c>
      <c r="O9" s="10" t="inlineStr">
        <is>
          <t>4
5</t>
        </is>
      </c>
      <c r="Q9" s="10" t="inlineStr">
        <is>
          <t>Token đã tồn tại?</t>
        </is>
      </c>
      <c r="R9" s="11" t="inlineStr">
        <is>
          <t>No</t>
        </is>
      </c>
      <c r="S9" s="11" t="inlineStr">
        <is>
          <t>Yes</t>
        </is>
      </c>
      <c r="T9" s="11" t="inlineStr">
        <is>
          <t>Yes</t>
        </is>
      </c>
    </row>
    <row r="10" ht="107" customHeight="1">
      <c r="A10" s="7" t="inlineStr">
        <is>
          <t>TC-FCMTOKEN-02</t>
        </is>
      </c>
      <c r="B10" s="7" t="inlineStr">
        <is>
          <t>Giữ token cũ khi refresh xung đột và bảo vệ token người khác</t>
        </is>
      </c>
      <c r="C10" s="8" t="inlineStr">
        <is>
          <t>Supabase local đã reset, API dùng api_role; dữ liệu test synthetic độc lập. Không dùng DB deploy.</t>
        </is>
      </c>
      <c r="D10" s="8" t="inlineStr">
        <is>
          <t>1. A đăng ký O; B đăng ký T.
2. A PUT T với previous=O: kiểm 409.
3. A PUT N với previous=T; kiểm các dòng device_tokens.</t>
        </is>
      </c>
      <c r="E10" s="8" t="inlineStr">
        <is>
          <t>P/F là UUID synthetic mới mỗi lần; ID notification lấy từ DB fixture; giờ 2026-10-20T01:00:00Z.</t>
        </is>
      </c>
      <c r="F10" s="8" t="inlineStr">
        <is>
          <t>Không chuyển chủ T, O còn sau lỗi; request mới không xóa T của B; cuối cùng O/N thuộc A và T thuộc B.</t>
        </is>
      </c>
      <c r="G10" s="8" t="inlineStr">
        <is>
          <t>Đã chạy tự động: các kiểm tra response và DB nêu ở Expected Result đều pass.</t>
        </is>
      </c>
      <c r="H10" s="7" t="inlineStr">
        <is>
          <t>Pass</t>
        </is>
      </c>
      <c r="I10" s="8" t="inlineStr">
        <is>
          <t>AC1 · EP (1) · chuyển trạng thái/ownership · test_conflicting_refresh_rolls_back_and_foreign_previous_is_preserved__AC1 · evidence/test-task-integration-final.log</t>
        </is>
      </c>
      <c r="K10" s="9" t="inlineStr">
        <is>
          <t>platform</t>
        </is>
      </c>
      <c r="L10" s="10" t="inlineStr">
        <is>
          <t>android</t>
        </is>
      </c>
      <c r="M10" s="10" t="inlineStr">
        <is>
          <t>2</t>
        </is>
      </c>
      <c r="N10" s="10" t="inlineStr">
        <is>
          <t>ios</t>
        </is>
      </c>
      <c r="O10" s="10" t="inlineStr">
        <is>
          <t>6</t>
        </is>
      </c>
      <c r="Q10" s="10" t="inlineStr">
        <is>
          <t>Cùng user?</t>
        </is>
      </c>
      <c r="R10" s="11" t="inlineStr">
        <is>
          <t>-</t>
        </is>
      </c>
      <c r="S10" s="11" t="inlineStr">
        <is>
          <t>Yes</t>
        </is>
      </c>
      <c r="T10" s="11" t="inlineStr">
        <is>
          <t>No</t>
        </is>
      </c>
    </row>
    <row r="11" ht="90.5" customHeight="1">
      <c r="A11" s="7" t="inlineStr">
        <is>
          <t>TC-FCMTOKEN-03</t>
        </is>
      </c>
      <c r="B11" s="7" t="inlineStr">
        <is>
          <t>Từ chối JSON đăng ký token sai contract [body0]</t>
        </is>
      </c>
      <c r="C11" s="8" t="inlineStr">
        <is>
          <t>Supabase local đã reset, API dùng api_role; dữ liệu test synthetic độc lập. Không dùng DB deploy.</t>
        </is>
      </c>
      <c r="D11" s="8" t="inlineStr">
        <is>
          <t>1. Đăng nhập user thường bằng app session.
2. PUT /me/device-tokens với JSON theo Test Data.
3. Kiểm status 422.</t>
        </is>
      </c>
      <c r="E11" s="8" t="inlineStr">
        <is>
          <t>fcm_token=(blank), platform=android</t>
        </is>
      </c>
      <c r="F11" s="8" t="inlineStr">
        <is>
          <t>422 validation; không thêm token hoặc đổi chủ.</t>
        </is>
      </c>
      <c r="G11" s="8" t="inlineStr">
        <is>
          <t>Đã chạy tự động: các kiểm tra response và DB nêu ở Expected Result đều pass.</t>
        </is>
      </c>
      <c r="H11" s="7" t="inlineStr">
        <is>
          <t>Pass</t>
        </is>
      </c>
      <c r="I11" s="8" t="inlineStr">
        <is>
          <t>AC1 · EP (1) · chuyển trạng thái/ownership · test_invalid_registration_is_rejected__AC1[body0] · evidence/test-task-integration-final.log</t>
        </is>
      </c>
      <c r="K11" s="9" t="inlineStr">
        <is>
          <t>previous_fcm_token</t>
        </is>
      </c>
      <c r="L11" s="10" t="inlineStr">
        <is>
          <t>Bỏ qua hoặc chuỗi không rỗng</t>
        </is>
      </c>
      <c r="M11" s="10" t="inlineStr">
        <is>
          <t>3</t>
        </is>
      </c>
      <c r="N11" s="10" t="inlineStr">
        <is>
          <t>Một dấu cách</t>
        </is>
      </c>
      <c r="O11" s="10" t="inlineStr">
        <is>
          <t>7</t>
        </is>
      </c>
      <c r="Q11" s="6" t="inlineStr">
        <is>
          <t>Action</t>
        </is>
      </c>
      <c r="R11" s="5" t="inlineStr">
        <is>
          <t>R1</t>
        </is>
      </c>
      <c r="S11" s="5" t="inlineStr">
        <is>
          <t>R2</t>
        </is>
      </c>
      <c r="T11" s="5" t="inlineStr">
        <is>
          <t>R3</t>
        </is>
      </c>
    </row>
    <row r="12" ht="90.5" customHeight="1">
      <c r="A12" s="7" t="inlineStr">
        <is>
          <t>TC-FCMTOKEN-04</t>
        </is>
      </c>
      <c r="B12" s="7" t="inlineStr">
        <is>
          <t>Từ chối JSON đăng ký token sai contract [body1]</t>
        </is>
      </c>
      <c r="C12" s="8" t="inlineStr">
        <is>
          <t>Supabase local đã reset, API dùng api_role; dữ liệu test synthetic độc lập. Không dùng DB deploy.</t>
        </is>
      </c>
      <c r="D12" s="8" t="inlineStr">
        <is>
          <t>1. Đăng nhập user thường bằng app session.
2. PUT /me/device-tokens với JSON theo Test Data.
3. Kiểm status 422.</t>
        </is>
      </c>
      <c r="E12" s="8" t="inlineStr">
        <is>
          <t>fcm_token="a b", platform=android</t>
        </is>
      </c>
      <c r="F12" s="8" t="inlineStr">
        <is>
          <t>422 validation; không thêm token hoặc đổi chủ.</t>
        </is>
      </c>
      <c r="G12" s="8" t="inlineStr">
        <is>
          <t>Đã chạy tự động: các kiểm tra response và DB nêu ở Expected Result đều pass.</t>
        </is>
      </c>
      <c r="H12" s="7" t="inlineStr">
        <is>
          <t>Pass</t>
        </is>
      </c>
      <c r="I12" s="8" t="inlineStr">
        <is>
          <t>AC1 · EP (1) · chuyển trạng thái/ownership · test_invalid_registration_is_rejected__AC1[body1] · evidence/test-task-integration-final.log</t>
        </is>
      </c>
      <c r="Q12" s="10" t="inlineStr">
        <is>
          <t>PUT 204 một dòng</t>
        </is>
      </c>
      <c r="R12" s="11" t="inlineStr">
        <is>
          <t>X</t>
        </is>
      </c>
      <c r="S12" s="11" t="inlineStr">
        <is>
          <t>X</t>
        </is>
      </c>
      <c r="T12" s="11" t="inlineStr"/>
    </row>
    <row r="13" ht="90.5" customHeight="1">
      <c r="A13" s="7" t="inlineStr">
        <is>
          <t>TC-FCMTOKEN-05</t>
        </is>
      </c>
      <c r="B13" s="7" t="inlineStr">
        <is>
          <t>Từ chối JSON đăng ký token sai contract [body2]</t>
        </is>
      </c>
      <c r="C13" s="8" t="inlineStr">
        <is>
          <t>Supabase local đã reset, API dùng api_role; dữ liệu test synthetic độc lập. Không dùng DB deploy.</t>
        </is>
      </c>
      <c r="D13" s="8" t="inlineStr">
        <is>
          <t>1. Đăng nhập user thường bằng app session.
2. PUT /me/device-tokens với JSON theo Test Data.
3. Kiểm status 422.</t>
        </is>
      </c>
      <c r="E13" s="8" t="inlineStr">
        <is>
          <t>fcm_token="a", platform=ios</t>
        </is>
      </c>
      <c r="F13" s="8" t="inlineStr">
        <is>
          <t>422 validation; không thêm token hoặc đổi chủ.</t>
        </is>
      </c>
      <c r="G13" s="8" t="inlineStr">
        <is>
          <t>Đã chạy tự động: các kiểm tra response và DB nêu ở Expected Result đều pass.</t>
        </is>
      </c>
      <c r="H13" s="7" t="inlineStr">
        <is>
          <t>Pass</t>
        </is>
      </c>
      <c r="I13" s="8" t="inlineStr">
        <is>
          <t>AC1 · EP (1) · chuyển trạng thái/ownership · test_invalid_registration_is_rejected__AC1[body2] · evidence/test-task-integration-final.log</t>
        </is>
      </c>
      <c r="Q13" s="10" t="inlineStr">
        <is>
          <t>PUT 409 không chuyển chủ</t>
        </is>
      </c>
      <c r="R13" s="11" t="inlineStr"/>
      <c r="S13" s="11" t="inlineStr"/>
      <c r="T13" s="11" t="inlineStr">
        <is>
          <t>X</t>
        </is>
      </c>
    </row>
    <row r="14" ht="90.5" customHeight="1">
      <c r="A14" s="7" t="inlineStr">
        <is>
          <t>TC-FCMTOKEN-06</t>
        </is>
      </c>
      <c r="B14" s="7" t="inlineStr">
        <is>
          <t>Từ chối JSON đăng ký token sai contract [body3]</t>
        </is>
      </c>
      <c r="C14" s="8" t="inlineStr">
        <is>
          <t>Supabase local đã reset, API dùng api_role; dữ liệu test synthetic độc lập. Không dùng DB deploy.</t>
        </is>
      </c>
      <c r="D14" s="8" t="inlineStr">
        <is>
          <t>1. Đăng nhập user thường bằng app session.
2. PUT /me/device-tokens với JSON theo Test Data.
3. Kiểm status 422.</t>
        </is>
      </c>
      <c r="E14" s="8" t="inlineStr">
        <is>
          <t>fcm_token="a", platform=android, previous_fcm_token=" "</t>
        </is>
      </c>
      <c r="F14" s="8" t="inlineStr">
        <is>
          <t>422 validation; không thêm token hoặc đổi chủ.</t>
        </is>
      </c>
      <c r="G14" s="8" t="inlineStr">
        <is>
          <t>Đã chạy tự động: các kiểm tra response và DB nêu ở Expected Result đều pass.</t>
        </is>
      </c>
      <c r="H14" s="7" t="inlineStr">
        <is>
          <t>Pass</t>
        </is>
      </c>
      <c r="I14" s="8" t="inlineStr">
        <is>
          <t>AC1 · EP (1) · chuyển trạng thái/ownership · test_invalid_registration_is_rejected__AC1[body3] · evidence/test-task-integration-final.log</t>
        </is>
      </c>
    </row>
    <row r="15" ht="90.5" customHeight="1">
      <c r="A15" s="7" t="inlineStr">
        <is>
          <t>TC-FCMTOKEN-07</t>
        </is>
      </c>
      <c r="B15" s="7" t="inlineStr">
        <is>
          <t>Từ chối JSON đăng ký token sai contract [body4]</t>
        </is>
      </c>
      <c r="C15" s="8" t="inlineStr">
        <is>
          <t>Supabase local đã reset, API dùng api_role; dữ liệu test synthetic độc lập. Không dùng DB deploy.</t>
        </is>
      </c>
      <c r="D15" s="8" t="inlineStr">
        <is>
          <t>1. Đăng nhập user thường bằng app session.
2. PUT /me/device-tokens với JSON theo Test Data.
3. Kiểm status 422.</t>
        </is>
      </c>
      <c r="E15" s="8" t="inlineStr">
        <is>
          <t>fcm_token="a", platform=android, user_id="injected"</t>
        </is>
      </c>
      <c r="F15" s="8" t="inlineStr">
        <is>
          <t>422 validation; không thêm token hoặc đổi chủ.</t>
        </is>
      </c>
      <c r="G15" s="8" t="inlineStr">
        <is>
          <t>Đã chạy tự động: các kiểm tra response và DB nêu ở Expected Result đều pass.</t>
        </is>
      </c>
      <c r="H15" s="7" t="inlineStr">
        <is>
          <t>Pass</t>
        </is>
      </c>
      <c r="I15" s="8" t="inlineStr">
        <is>
          <t>AC1 · EP (1) · chuyển trạng thái/ownership · test_invalid_registration_is_rejected__AC1[body4] · evidence/test-task-integration-final.log</t>
        </is>
      </c>
    </row>
    <row r="16" ht="90.5" customHeight="1">
      <c r="A16" s="7" t="inlineStr">
        <is>
          <t>TC-FCMTOKEN-08</t>
        </is>
      </c>
      <c r="B16" s="7" t="inlineStr">
        <is>
          <t>Đăng ký token tại minLength=1</t>
        </is>
      </c>
      <c r="C16" s="8" t="inlineStr">
        <is>
          <t>Supabase local đã reset, API dùng api_role; dữ liệu test synthetic độc lập. Không dùng DB deploy.</t>
        </is>
      </c>
      <c r="D16" s="8" t="inlineStr">
        <is>
          <t>1. Đăng nhập user mới; PUT /me/device-tokens {fcm_token:"~",platform:"android"}.
2. DELETE /me/device-tokens {fcm_token:"~"} bằng cùng session.</t>
        </is>
      </c>
      <c r="E16" s="8" t="inlineStr">
        <is>
          <t>P/F là UUID synthetic mới mỗi lần; ID notification lấy từ DB fixture; giờ 2026-10-20T01:00:00Z.</t>
        </is>
      </c>
      <c r="F16" s="8" t="inlineStr">
        <is>
          <t>PUT/DELETE 204; body rỗng; fixture token được gỡ sau test.</t>
        </is>
      </c>
      <c r="G16" s="8" t="inlineStr">
        <is>
          <t>Đã chạy tự động: các kiểm tra response và DB nêu ở Expected Result đều pass.</t>
        </is>
      </c>
      <c r="H16" s="7" t="inlineStr">
        <is>
          <t>Pass</t>
        </is>
      </c>
      <c r="I16" s="8" t="inlineStr">
        <is>
          <t>AC1 · EP (1) · chuyển trạng thái/ownership · test_one_character_token_boundary__AC1 · evidence/test-task-integration-final.log</t>
        </is>
      </c>
    </row>
    <row r="17" ht="90.5" customHeight="1">
      <c r="A17" s="7" t="inlineStr">
        <is>
          <t>TC-FCMTOKEN-09</t>
        </is>
      </c>
      <c r="B17" s="7" t="inlineStr">
        <is>
          <t>Từ chối đăng ký/gỡ với session thiếu, hết hạn hoặc admin [PUT]</t>
        </is>
      </c>
      <c r="C17" s="8" t="inlineStr">
        <is>
          <t>Supabase local đã reset, API dùng api_role; dữ liệu test synthetic độc lập. Không dùng DB deploy.</t>
        </is>
      </c>
      <c r="D17" s="8" t="inlineStr">
        <is>
          <t>1. Chuẩn bị JSON token synthetic hợp lệ theo method trong Test Data.
2. Gọi không bearer; gọi bearer mobile phát hành lùi 365 ngày; gọi bearer admin_web.</t>
        </is>
      </c>
      <c r="E17" s="8" t="inlineStr">
        <is>
          <t>PUT</t>
        </is>
      </c>
      <c r="F17" s="8" t="inlineStr">
        <is>
          <t>Lần lượt 401, 401, 403; không thay token người dùng.</t>
        </is>
      </c>
      <c r="G17" s="8" t="inlineStr">
        <is>
          <t>Đã chạy tự động: các kiểm tra response và DB nêu ở Expected Result đều pass.</t>
        </is>
      </c>
      <c r="H17" s="7" t="inlineStr">
        <is>
          <t>Pass</t>
        </is>
      </c>
      <c r="I17" s="8" t="inlineStr">
        <is>
          <t>AC1, AC8 · EP (1) · chuyển trạng thái/ownership · test_missing_expired_and_admin_sessions_rejected__AC1_AC8[PUT] · evidence/test-task-integration-final.log</t>
        </is>
      </c>
    </row>
    <row r="18" ht="107" customHeight="1">
      <c r="A18" s="7" t="inlineStr">
        <is>
          <t>TC-FCMTOKEN-10</t>
        </is>
      </c>
      <c r="B18" s="7" t="inlineStr">
        <is>
          <t>Từ chối đăng ký/gỡ với session thiếu, hết hạn hoặc admin [DELETE]</t>
        </is>
      </c>
      <c r="C18" s="8" t="inlineStr">
        <is>
          <t>Supabase local đã reset, API dùng api_role; dữ liệu test synthetic độc lập. Không dùng DB deploy.</t>
        </is>
      </c>
      <c r="D18" s="8" t="inlineStr">
        <is>
          <t>1. Chuẩn bị JSON token synthetic hợp lệ theo method trong Test Data.
2. Gọi không bearer; gọi bearer mobile phát hành lùi 365 ngày; gọi bearer admin_web.</t>
        </is>
      </c>
      <c r="E18" s="8" t="inlineStr">
        <is>
          <t>DELETE</t>
        </is>
      </c>
      <c r="F18" s="8" t="inlineStr">
        <is>
          <t>Lần lượt 401, 401, 403; không thay token người dùng.</t>
        </is>
      </c>
      <c r="G18" s="8" t="inlineStr">
        <is>
          <t>Đã chạy tự động: các kiểm tra response và DB nêu ở Expected Result đều pass.</t>
        </is>
      </c>
      <c r="H18" s="7" t="inlineStr">
        <is>
          <t>Pass</t>
        </is>
      </c>
      <c r="I18" s="8" t="inlineStr">
        <is>
          <t>AC1, AC8 · EP (1) · chuyển trạng thái/ownership · test_missing_expired_and_admin_sessions_rejected__AC1_AC8[DELETE] · evidence/test-task-integration-final.log</t>
        </is>
      </c>
    </row>
    <row r="19" ht="123.5" customHeight="1">
      <c r="A19" s="7" t="inlineStr">
        <is>
          <t>TC-FCMTOKEN-11</t>
        </is>
      </c>
      <c r="B19" s="7" t="inlineStr">
        <is>
          <t>Tranh chấp đăng ký cùng token giữa hai transaction [False]</t>
        </is>
      </c>
      <c r="C19" s="8" t="inlineStr">
        <is>
          <t>Supabase local đã reset, API dùng api_role; dữ liệu test synthetic độc lập. Không dùng DB deploy.</t>
        </is>
      </c>
      <c r="D19" s="8" t="inlineStr">
        <is>
          <t>1. Giữ transaction A đã INSERT token T nhưng chưa commit.
2. Thread B PUT T bằng session cùng/khác user theo Test Data; chờ pg_stat_activity xác nhận chờ Lock.
3. Commit A, lấy response B và SELECT chủ token T.</t>
        </is>
      </c>
      <c r="E19" s="8" t="inlineStr">
        <is>
          <t>False</t>
        </is>
      </c>
      <c r="F19" s="8" t="inlineStr">
        <is>
          <t>Chỉ một dòng thuộc A; B cùng user 204, khác user 409; không deadlock.</t>
        </is>
      </c>
      <c r="G19" s="8" t="inlineStr">
        <is>
          <t>Đã chạy tự động: các kiểm tra response và DB nêu ở Expected Result đều pass.</t>
        </is>
      </c>
      <c r="H19" s="7" t="inlineStr">
        <is>
          <t>Pass</t>
        </is>
      </c>
      <c r="I19" s="8" t="inlineStr">
        <is>
          <t>AC1 · EP (1) · chuyển trạng thái/ownership · test_concurrent_registration_serializes_absent_token__AC1[False] · evidence/test-task-integration-final.log</t>
        </is>
      </c>
    </row>
    <row r="20" ht="123.5" customHeight="1">
      <c r="A20" s="7" t="inlineStr">
        <is>
          <t>TC-FCMTOKEN-12</t>
        </is>
      </c>
      <c r="B20" s="7" t="inlineStr">
        <is>
          <t>Tranh chấp đăng ký cùng token giữa hai transaction [True]</t>
        </is>
      </c>
      <c r="C20" s="8" t="inlineStr">
        <is>
          <t>Supabase local đã reset, API dùng api_role; dữ liệu test synthetic độc lập. Không dùng DB deploy.</t>
        </is>
      </c>
      <c r="D20" s="8" t="inlineStr">
        <is>
          <t>1. Giữ transaction A đã INSERT token T nhưng chưa commit.
2. Thread B PUT T bằng session cùng/khác user theo Test Data; chờ pg_stat_activity xác nhận chờ Lock.
3. Commit A, lấy response B và SELECT chủ token T.</t>
        </is>
      </c>
      <c r="E20" s="8" t="inlineStr">
        <is>
          <t>True</t>
        </is>
      </c>
      <c r="F20" s="8" t="inlineStr">
        <is>
          <t>Chỉ một dòng thuộc A; B cùng user 204, khác user 409; không deadlock.</t>
        </is>
      </c>
      <c r="G20" s="8" t="inlineStr">
        <is>
          <t>Đã chạy tự động: các kiểm tra response và DB nêu ở Expected Result đều pass.</t>
        </is>
      </c>
      <c r="H20" s="7" t="inlineStr">
        <is>
          <t>Pass</t>
        </is>
      </c>
      <c r="I20" s="8" t="inlineStr">
        <is>
          <t>AC1 · EP (1) · chuyển trạng thái/ownership · test_concurrent_registration_serializes_absent_token__AC1[True] · evidence/test-task-integration-final.log</t>
        </is>
      </c>
    </row>
    <row r="21" ht="107" customHeight="1">
      <c r="A21" s="7" t="inlineStr">
        <is>
          <t>TC-FCMTOKEN-13</t>
        </is>
      </c>
      <c r="B21" s="7" t="inlineStr">
        <is>
          <t>Hoàn tất cleanup đang chờ refresh commit</t>
        </is>
      </c>
      <c r="C21" s="8" t="inlineStr">
        <is>
          <t>Supabase local đã reset, API dùng api_role; dữ liệu test synthetic độc lập. Không dùng DB deploy.</t>
        </is>
      </c>
      <c r="D21" s="8" t="inlineStr">
        <is>
          <t>1. Transaction giữ O rồi thay bằng N, chưa commit.
2. Thread HTTP DELETE N của cùng owner; chờ DB xác nhận lock wait.
3. Commit refresh rồi chờ DELETE; SELECT device_tokens theo user.</t>
        </is>
      </c>
      <c r="E21" s="8" t="inlineStr">
        <is>
          <t>P/F là UUID synthetic mới mỗi lần; ID notification lấy từ DB fixture; giờ 2026-10-20T01:00:00Z.</t>
        </is>
      </c>
      <c r="F21" s="8" t="inlineStr">
        <is>
          <t>DELETE 204, không còn O/N sau cleanup; đây chỉ chứng minh thứ tự server, chưa chứng minh FCM thiết bị.</t>
        </is>
      </c>
      <c r="G21" s="8" t="inlineStr">
        <is>
          <t>Đã chạy tự động: các kiểm tra response và DB nêu ở Expected Result đều pass.</t>
        </is>
      </c>
      <c r="H21" s="7" t="inlineStr">
        <is>
          <t>Pass</t>
        </is>
      </c>
      <c r="I21" s="8" t="inlineStr">
        <is>
          <t>AC1, AC8 · EP (1) · chuyển trạng thái/ownership · test_concurrent_refresh_then_cleanup_has_no_token_left__AC1_AC8 · evidence/test-task-integration-final.log</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thân'!$H$47+'Landing page'!$H$43+'Yêu cầu liên kết người thân'!$H$72+'Theo dõi người thân (app)'!$H$46+'Link mời người thân'!$H$24+'Khung điều hướng app'!$H$16+'Duyệt yêu cầu liên kết'!$H$38+'Người giám sát'!$H$39</f>
        <v/>
      </c>
      <c r="D3" s="11">
        <f>'Chọn thuốc danh mục'!$H$40+'Hồi quy xác nhận liều'!$H$12+'Cảnh báo người thân'!$H$84+'FCM token Android'!$H$24</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thân'!$H$48+'Landing page'!$H$44+'Yêu cầu liên kết người thân'!$H$73+'Theo dõi người thân (app)'!$H$47+'Link mời người thân'!$H$25+'Khung điều hướng app'!$H$17+'Duyệt yêu cầu liên kết'!$H$39+'Người giám sát'!$H$40</f>
        <v/>
      </c>
      <c r="D4" s="11">
        <f>'Chọn thuốc danh mục'!$H$41+'Hồi quy xác nhận liều'!$H$13+'Cảnh báo người thân'!$H$85+'FCM token Android'!$H$25</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thân'!$H$49+'Landing page'!$H$45+'Yêu cầu liên kết người thân'!$H$74+'Theo dõi người thân (app)'!$H$48+'Link mời người thân'!$H$26+'Khung điều hướng app'!$H$18+'Duyệt yêu cầu liên kết'!$H$40+'Người giám sát'!$H$41</f>
        <v/>
      </c>
      <c r="D6" s="11">
        <f>'Chọn thuốc danh mục'!$H$42+'Hồi quy xác nhận liều'!$H$14+'Cảnh báo người thân'!$H$86+'FCM token Android'!$H$26</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40"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 Từ 3.13 (BS-05): phải đồng ý family_sharing mới lấy được mã, chưa đồng ý hoặc đã rút trả 403 family_sharing_consent_required.</t>
        </is>
      </c>
      <c r="C18" s="11" t="inlineStr">
        <is>
          <t>Mã liên kết người thân</t>
        </is>
      </c>
      <c r="D18" s="18">
        <f>IFERROR(('Mã liên kết người thân'!$H$50-'Mã liên kết người thân'!$H$49)/'Mã liên kết người thân'!$H$50,0)</f>
        <v/>
      </c>
      <c r="E18" s="18">
        <f>IFERROR('Mã liên kết người thân'!$H$47/'Mã liên kết người thân'!$H$50,0)</f>
        <v/>
      </c>
      <c r="F18" s="18">
        <f>IFERROR('Mã liên kết người thân'!$H$48/'Mã liên kết người thân'!$H$50,0)</f>
        <v/>
      </c>
      <c r="G18" s="11" t="inlineStr">
        <is>
          <t>High</t>
        </is>
      </c>
      <c r="H18" s="10" t="inlineStr">
        <is>
          <t>3.13 chạy lại toàn bộ test tự động của chức năng sau khi thêm điều kiện consent: pass. TC-LINKCODE-21, 27, 30 giữ kết quả của 3.10 (script/kiểm tay một lần, không chạy lại). Một Fail (TC-LINKCODE-28): unit test và ruff toàn repo còn lỗi có sẵn trên main ở module khác.</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23.5" customHeight="1">
      <c r="A21" s="11" t="inlineStr">
        <is>
          <t>Landing page (giao diện mới, iPhone 3D)</t>
        </is>
      </c>
      <c r="B21" s="10" t="inlineStr">
        <is>
          <t>Trang chủ landing: hero iPhone 3D (Spline) + vòng icon tính năng, dải bằng chứng, scroll-story 4 tính năng, 5 thẻ tiện ích, 3 bước, an toàn, FAQ, CTA, footer; hiệu ứng GSAP</t>
        </is>
      </c>
      <c r="C21" s="11" t="inlineStr">
        <is>
          <t>Landing page</t>
        </is>
      </c>
      <c r="D21" s="18">
        <f>IFERROR(('Landing page'!$H$46-'Landing page'!$H$45)/'Landing page'!$H$46,0)</f>
        <v/>
      </c>
      <c r="E21" s="18">
        <f>IFERROR('Landing page'!$H$43/'Landing page'!$H$46,0)</f>
        <v/>
      </c>
      <c r="F21" s="18">
        <f>IFERROR('Landing page'!$H$44/'Landing page'!$H$46,0)</f>
        <v/>
      </c>
      <c r="G21" s="11" t="inlineStr">
        <is>
          <t>High</t>
        </is>
      </c>
      <c r="H21"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21" s="11" t="inlineStr">
        <is>
          <t>zannguyen</t>
        </is>
      </c>
    </row>
    <row r="22" ht="156.5" customHeight="1">
      <c r="A22" s="11" t="inlineStr">
        <is>
          <t>Gửi yêu cầu liên kết người thân</t>
        </is>
      </c>
      <c r="B22" s="10" t="inlineStr">
        <is>
          <t>Người thân nhập/quét mã liên kết của người bệnh để gửi yêu cầu liên kết chờ duyệt: POST /family/link-requests (QD-04, QD-34, BS-04, BS-05). Chống dò mã theo tài khoản (5 lần sai/15 phút khóa 15 phút, 10 yêu cầu/ngày), chống gửi trùng bằng client_uuid. Task 3.13, PB19.</t>
        </is>
      </c>
      <c r="C22" s="11" t="inlineStr">
        <is>
          <t>Yêu cầu liên kết người thân</t>
        </is>
      </c>
      <c r="D22" s="18">
        <f>IFERROR(('Yêu cầu liên kết người thân'!$H$75-'Yêu cầu liên kết người thân'!$H$74)/'Yêu cầu liên kết người thân'!$H$75,0)</f>
        <v/>
      </c>
      <c r="E22" s="18">
        <f>IFERROR('Yêu cầu liên kết người thân'!$H$72/'Yêu cầu liên kết người thân'!$H$75,0)</f>
        <v/>
      </c>
      <c r="F22" s="18">
        <f>IFERROR('Yêu cầu liên kết người thân'!$H$73/'Yêu cầu liên kết người thân'!$H$75,0)</f>
        <v/>
      </c>
      <c r="G22" s="11" t="inlineStr">
        <is>
          <t>High</t>
        </is>
      </c>
      <c r="H22" s="10" t="inlineStr">
        <is>
          <t>Toàn bộ test tự động (tích hợp với Postgres thật, app chạy bằng api_role; unit; contract) pass; các test chạy đua chạy lặp 5 lần đều pass. Review tìm ra lỗi treo API khi nhập sai đồng thời vượt pool kết nối (H1), đã sửa và có test hồi quy TC-LINKREQ-46. Chống dò theo IP/thiết bị (QD-34 (d)) chưa làm trong 3.13.</t>
        </is>
      </c>
      <c r="I22" s="11" t="inlineStr">
        <is>
          <t>zannguyen</t>
        </is>
      </c>
    </row>
    <row r="23" ht="107" customHeight="1">
      <c r="A23" s="11" t="inlineStr">
        <is>
          <t>Theo dõi người thân bằng QR, mã hoặc link (mobile)</t>
        </is>
      </c>
      <c r="B23" s="10" t="inlineStr">
        <is>
          <t>Người thân quét QR, nhập mã hoặc mở link mời để gửi yêu cầu liên kết tới patient (POST /family/link-requests).</t>
        </is>
      </c>
      <c r="C23" s="11" t="inlineStr">
        <is>
          <t>Theo dõi người thân (app)</t>
        </is>
      </c>
      <c r="D23" s="18">
        <f>IFERROR(('Theo dõi người thân (app)'!$H$49-'Theo dõi người thân (app)'!$H$48)/'Theo dõi người thân (app)'!$H$49,0)</f>
        <v/>
      </c>
      <c r="E23" s="18">
        <f>IFERROR('Theo dõi người thân (app)'!$H$46/'Theo dõi người thân (app)'!$H$49,0)</f>
        <v/>
      </c>
      <c r="F23" s="18">
        <f>IFERROR('Theo dõi người thân (app)'!$H$47/'Theo dõi người thân (app)'!$H$49,0)</f>
        <v/>
      </c>
      <c r="G23" s="11" t="inlineStr">
        <is>
          <t>High</t>
        </is>
      </c>
      <c r="H23" s="10" t="inlineStr">
        <is>
          <t>Toàn bộ test tự động (widget/unit) pass trong phiên 2026-10-20. Các ca cần camera, thiết bị Android thật và backend chạy thật còn Pending.</t>
        </is>
      </c>
      <c r="I23" s="11" t="inlineStr">
        <is>
          <t>zannguyen</t>
        </is>
      </c>
    </row>
    <row r="24" ht="90.5" customHeight="1">
      <c r="A24" s="11" t="inlineStr">
        <is>
          <t>Gửi và mở link mời người thân</t>
        </is>
      </c>
      <c r="B24" s="10" t="inlineStr">
        <is>
          <t>Patient chia sẻ link mời cố định https://&lt;host&gt;/link#code=&lt;mã&gt;; trang /link trên landing và App Links mở app.</t>
        </is>
      </c>
      <c r="C24" s="11" t="inlineStr">
        <is>
          <t>Link mời người thân</t>
        </is>
      </c>
      <c r="D24" s="18">
        <f>IFERROR(('Link mời người thân'!$H$27-'Link mời người thân'!$H$26)/'Link mời người thân'!$H$27,0)</f>
        <v/>
      </c>
      <c r="E24" s="18">
        <f>IFERROR('Link mời người thân'!$H$24/'Link mời người thân'!$H$27,0)</f>
        <v/>
      </c>
      <c r="F24" s="18">
        <f>IFERROR('Link mời người thân'!$H$25/'Link mời người thân'!$H$27,0)</f>
        <v/>
      </c>
      <c r="G24" s="11" t="inlineStr">
        <is>
          <t>High</t>
        </is>
      </c>
      <c r="H24" s="10" t="inlineStr">
        <is>
          <t>Phần app và hàm thuần của landing đã test tự động; kiểm trang trên trình duyệt, App Links và Zalo cần landing lên production và thiết bị thật (Pending).</t>
        </is>
      </c>
      <c r="I24" s="11" t="inlineStr">
        <is>
          <t>zannguyen</t>
        </is>
      </c>
    </row>
    <row r="25" ht="90.5" customHeight="1">
      <c r="A25" s="11" t="inlineStr">
        <is>
          <t>Khung điều hướng: tab Hồ sơ và Người thân</t>
        </is>
      </c>
      <c r="B25" s="10" t="inlineStr">
        <is>
          <t>Tab Hồ sơ dùng màn Hồ sơ thật (sửa lỗi sau merge 3.11); bỏ trang UI Catalog; tab Người thân dùng FamilyTabScreen.</t>
        </is>
      </c>
      <c r="C25" s="11" t="inlineStr">
        <is>
          <t>Khung điều hướng app</t>
        </is>
      </c>
      <c r="D25" s="18">
        <f>IFERROR(('Khung điều hướng app'!$H$19-'Khung điều hướng app'!$H$18)/'Khung điều hướng app'!$H$19,0)</f>
        <v/>
      </c>
      <c r="E25" s="18">
        <f>IFERROR('Khung điều hướng app'!$H$16/'Khung điều hướng app'!$H$19,0)</f>
        <v/>
      </c>
      <c r="F25" s="18">
        <f>IFERROR('Khung điều hướng app'!$H$17/'Khung điều hướng app'!$H$19,0)</f>
        <v/>
      </c>
      <c r="G25" s="11" t="inlineStr">
        <is>
          <t>Medium</t>
        </is>
      </c>
      <c r="H25" s="10" t="inlineStr">
        <is>
          <t>Toàn bộ pass; test Đăng xuất từng fail trên main nay pass.</t>
        </is>
      </c>
      <c r="I25" s="11" t="inlineStr">
        <is>
          <t>zannguyen</t>
        </is>
      </c>
    </row>
    <row r="26" ht="107" customHeight="1">
      <c r="A26" s="11" t="inlineStr">
        <is>
          <t>Duyệt yêu cầu liên kết người thân</t>
        </is>
      </c>
      <c r="B26" s="10" t="inlineStr">
        <is>
          <t>Patient xem yêu cầu theo dõi đang chờ, chấp thuận kèm xác nhận đồng ý chia sẻ (PB16/3.17) hoặc từ chối; BS-04 chặn gửi lại sau 5 lần bị từ chối. Backend /family/links*, mobile tab Người thân.</t>
        </is>
      </c>
      <c r="C26" s="11" t="inlineStr">
        <is>
          <t>Duyệt yêu cầu liên kết</t>
        </is>
      </c>
      <c r="D26" s="18">
        <f>IFERROR(('Duyệt yêu cầu liên kết'!$H$41-'Duyệt yêu cầu liên kết'!$H$40)/'Duyệt yêu cầu liên kết'!$H$41,0)</f>
        <v/>
      </c>
      <c r="E26" s="18">
        <f>IFERROR('Duyệt yêu cầu liên kết'!$H$38/'Duyệt yêu cầu liên kết'!$H$41,0)</f>
        <v/>
      </c>
      <c r="F26" s="18">
        <f>IFERROR('Duyệt yêu cầu liên kết'!$H$39/'Duyệt yêu cầu liên kết'!$H$41,0)</f>
        <v/>
      </c>
      <c r="G26" s="11" t="inlineStr">
        <is>
          <t>High</t>
        </is>
      </c>
      <c r="H26" s="10" t="inlineStr">
        <is>
          <t>Toàn bộ test tự động (tích hợp Postgres thật, unit, widget) pass trong phiên 2026-10-21. Còn Pending: 2 điểm biên độ dài document_version chưa có test riêng và 2 kịch bản chạy tay trên hai thiết bị (AC23).</t>
        </is>
      </c>
      <c r="I26" s="11" t="inlineStr">
        <is>
          <t>zannguyen</t>
        </is>
      </c>
    </row>
    <row r="27" ht="123.5" customHeight="1">
      <c r="A27" s="11" t="inlineStr">
        <is>
          <t>Quản lý người giám sát</t>
        </is>
      </c>
      <c r="B27" s="10" t="inlineStr">
        <is>
          <t>Patient xem người giám sát đã chấp thuận, bật/tắt chia sẻ từng người và hủy liên kết; quyết định có hiệu lực ngay ở request kế tiếp. Backend /family/caregivers, /family/links/{id}/sharing|revoke, migration audit; mobile Hồ sơ &gt; Người giám sát.</t>
        </is>
      </c>
      <c r="C27" s="11" t="inlineStr">
        <is>
          <t>Người giám sát</t>
        </is>
      </c>
      <c r="D27" s="18">
        <f>IFERROR(('Người giám sát'!$H$42-'Người giám sát'!$H$41)/'Người giám sát'!$H$42,0)</f>
        <v/>
      </c>
      <c r="E27" s="18">
        <f>IFERROR('Người giám sát'!$H$39/'Người giám sát'!$H$42,0)</f>
        <v/>
      </c>
      <c r="F27" s="18">
        <f>IFERROR('Người giám sát'!$H$40/'Người giám sát'!$H$42,0)</f>
        <v/>
      </c>
      <c r="G27" s="11" t="inlineStr">
        <is>
          <t>High</t>
        </is>
      </c>
      <c r="H27" s="10" t="inlineStr">
        <is>
          <t>Toàn bộ test tự động (tích hợp Postgres thật gồm phân quyền chéo, hiệu lực ngay, chạy đua; unit; widget) pass trong phiên 2026-10-21. Còn Pending: kịch bản chạy tay trên hai thiết bị (AC23).</t>
        </is>
      </c>
      <c r="I27" s="11" t="inlineStr">
        <is>
          <t>zannguyen</t>
        </is>
      </c>
    </row>
    <row r="28" ht="90.5" customHeight="1">
      <c r="A28" s="11" t="inlineStr">
        <is>
          <t>Cảnh báo người thân</t>
        </is>
      </c>
      <c r="B28" s="10" t="inlineStr">
        <is>
          <t>Hộp thư, PEP, snapshot, badge và mở cảnh báo người thân.</t>
        </is>
      </c>
      <c r="C28" s="11" t="inlineStr">
        <is>
          <t>Cảnh báo người thân</t>
        </is>
      </c>
      <c r="D28" s="18">
        <f>IFERROR(('Cảnh báo người thân'!$H$87-'Cảnh báo người thân'!$H$86)/'Cảnh báo người thân'!$H$87,0)</f>
        <v/>
      </c>
      <c r="E28" s="18">
        <f>IFERROR('Cảnh báo người thân'!$H$84/'Cảnh báo người thân'!$H$87,0)</f>
        <v/>
      </c>
      <c r="F28" s="18">
        <f>IFERROR('Cảnh báo người thân'!$H$85/'Cảnh báo người thân'!$H$87,0)</f>
        <v/>
      </c>
      <c r="G28" s="11" t="inlineStr">
        <is>
          <t>High</t>
        </is>
      </c>
      <c r="H28" s="10" t="inlineStr">
        <is>
          <t>Có lỗi validation 503 thay 422; FCM/OS/iOS thật còn Pending.</t>
        </is>
      </c>
      <c r="I28" s="11" t="inlineStr">
        <is>
          <t>phucnguyenngoc</t>
        </is>
      </c>
    </row>
    <row r="29" ht="90.5" customHeight="1">
      <c r="A29" s="11" t="inlineStr">
        <is>
          <t>FCM token Android</t>
        </is>
      </c>
      <c r="B29" s="10" t="inlineStr">
        <is>
          <t>Đăng ký, refresh, ownership, cleanup và tranh chấp token Android.</t>
        </is>
      </c>
      <c r="C29" s="11" t="inlineStr">
        <is>
          <t>FCM token Android</t>
        </is>
      </c>
      <c r="D29" s="18">
        <f>IFERROR(('FCM token Android'!$H$27-'FCM token Android'!$H$26)/'FCM token Android'!$H$27,0)</f>
        <v/>
      </c>
      <c r="E29" s="18">
        <f>IFERROR('FCM token Android'!$H$24/'FCM token Android'!$H$27,0)</f>
        <v/>
      </c>
      <c r="F29" s="18">
        <f>IFERROR('FCM token Android'!$H$25/'FCM token Android'!$H$27,0)</f>
        <v/>
      </c>
      <c r="G29" s="11" t="inlineStr">
        <is>
          <t>High</t>
        </is>
      </c>
      <c r="H29" s="10" t="inlineStr">
        <is>
          <t>API local pass; chưa nghiệm thu AC8 từ DELETE đơn lẻ.</t>
        </is>
      </c>
      <c r="I29" s="11" t="inlineStr">
        <is>
          <t>phucnguyenngoc</t>
        </is>
      </c>
    </row>
    <row r="52">
      <c r="A52" s="19" t="inlineStr">
        <is>
          <t>Bug Report</t>
        </is>
      </c>
    </row>
    <row r="53">
      <c r="A53" s="20" t="inlineStr">
        <is>
          <t>Bug ID</t>
        </is>
      </c>
      <c r="B53" s="20" t="inlineStr">
        <is>
          <t>Description</t>
        </is>
      </c>
      <c r="C53" s="20" t="inlineStr">
        <is>
          <t>Steps to Reproduce</t>
        </is>
      </c>
      <c r="D53" s="20" t="inlineStr">
        <is>
          <t>Input Data</t>
        </is>
      </c>
      <c r="E53" s="20" t="inlineStr">
        <is>
          <t>Expected Result</t>
        </is>
      </c>
      <c r="F53" s="20" t="inlineStr">
        <is>
          <t>Actual Result</t>
        </is>
      </c>
      <c r="G53" s="20" t="inlineStr">
        <is>
          <t>Severity</t>
        </is>
      </c>
      <c r="H53" s="20" t="inlineStr">
        <is>
          <t>Name of Tester</t>
        </is>
      </c>
      <c r="I53" s="20" t="inlineStr">
        <is>
          <t>Logs</t>
        </is>
      </c>
    </row>
    <row r="54" ht="123.5" customHeight="1">
      <c r="A54" s="22" t="inlineStr">
        <is>
          <t>BUG-LOGIN-08</t>
        </is>
      </c>
      <c r="B54" s="22" t="inlineStr">
        <is>
          <t>Gửi số điện thoại có ký tự xuống dòng ở cuối</t>
        </is>
      </c>
      <c r="C54" s="22" t="inlineStr">
        <is>
          <t>1. POST /auth/mobile/otp {phone: "0900000001\n"}
2. POST /auth/mobile/verify {phone: "0900000001\n", token: 123456}</t>
        </is>
      </c>
      <c r="D54" s="22" t="inlineStr">
        <is>
          <t>phone: 0900000001 + ký tự \n</t>
        </is>
      </c>
      <c r="E54" s="22" t="inlineStr">
        <is>
          <t>422 {"detail":"invalid_phone"} (theo AC6 của 01-requirement)</t>
        </is>
      </c>
      <c r="F54" s="22" t="inlineStr">
        <is>
          <t>OTP 204, verify 200 và cấp phiên (backend bỏ ký tự trắng hai đầu)</t>
        </is>
      </c>
      <c r="G54" s="22" t="inlineStr">
        <is>
          <t>Low</t>
        </is>
      </c>
      <c r="H54" s="22" t="inlineStr">
        <is>
          <t>zannguyen</t>
        </is>
      </c>
      <c r="I54"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55" ht="123.5" customHeight="1">
      <c r="A55" s="22" t="inlineStr">
        <is>
          <t>BUG-LOGIN-11</t>
        </is>
      </c>
      <c r="B55" s="22" t="inlineStr">
        <is>
          <t>Gửi số điện thoại viết bằng chữ số Unicode</t>
        </is>
      </c>
      <c r="C55" s="22" t="inlineStr">
        <is>
          <t>1. POST /auth/mobile/otp {phone}
2. POST /auth/mobile/verify {phone, token: 123456}</t>
        </is>
      </c>
      <c r="D55" s="22" t="inlineStr">
        <is>
          <t>+８４９０００００００１ (full-width) | +٨٤٩٠٠٠٠٠٠٠١ (chữ số Ả Rập)</t>
        </is>
      </c>
      <c r="E55" s="22" t="inlineStr">
        <is>
          <t>422 {"detail":"invalid_phone"}, không gọi Supabase</t>
        </is>
      </c>
      <c r="F55" s="22" t="inlineStr">
        <is>
          <t>OTP 503 {"detail":"auth_provider_unavailable"}, verify 401 {"detail":"Invalid credentials"} — request đã tới Supabase</t>
        </is>
      </c>
      <c r="G55" s="22" t="inlineStr">
        <is>
          <t>Low</t>
        </is>
      </c>
      <c r="H55" s="22" t="inlineStr">
        <is>
          <t>zannguyen</t>
        </is>
      </c>
      <c r="I55"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56" ht="189.5" customHeight="1">
      <c r="A56" s="22" t="inlineStr">
        <is>
          <t>BUG-LOGIN-25</t>
        </is>
      </c>
      <c r="B56" s="22" t="inlineStr">
        <is>
          <t>Lưu họ tên có ký tự NUL</t>
        </is>
      </c>
      <c r="C56" s="22" t="inlineStr">
        <is>
          <t>1. POST /auth/profile {ho_ten: "abc\u0000def", ngày sinh, giới tính hợp lệ}</t>
        </is>
      </c>
      <c r="D56" s="22" t="inlineStr">
        <is>
          <t>ho_ten: abc\u0000def</t>
        </is>
      </c>
      <c r="E56" s="22" t="inlineStr">
        <is>
          <t>Không 5xx (từ chối 422 hoặc lưu được); không lộ chi tiết nội bộ</t>
        </is>
      </c>
      <c r="F56" s="22" t="inlineStr">
        <is>
          <t>500 Internal Server Error</t>
        </is>
      </c>
      <c r="G56" s="22" t="inlineStr">
        <is>
          <t>Medium</t>
        </is>
      </c>
      <c r="H56" s="22" t="inlineStr">
        <is>
          <t>zannguyen</t>
        </is>
      </c>
      <c r="I56"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57" ht="90.5" customHeight="1">
      <c r="A57" s="22" t="inlineStr">
        <is>
          <t>BUG-LOGIN-30</t>
        </is>
      </c>
      <c r="B57" s="22" t="inlineStr">
        <is>
          <t>Lưu họ tên dài 256 ký tự</t>
        </is>
      </c>
      <c r="C57" s="22" t="inlineStr">
        <is>
          <t>1. POST /auth/profile {ho_ten: A*256}</t>
        </is>
      </c>
      <c r="D57" s="22" t="inlineStr">
        <is>
          <t>A*256</t>
        </is>
      </c>
      <c r="E57" s="22" t="inlineStr">
        <is>
          <t>422; hồ sơ không đổi (giới hạn 255 theo Q4 của 01-requirement)</t>
        </is>
      </c>
      <c r="F57" s="22" t="inlineStr">
        <is>
          <t>204, đã lưu</t>
        </is>
      </c>
      <c r="G57" s="22" t="inlineStr">
        <is>
          <t>Low</t>
        </is>
      </c>
      <c r="H57" s="22" t="inlineStr">
        <is>
          <t>zannguyen</t>
        </is>
      </c>
      <c r="I57" s="22" t="inlineStr">
        <is>
          <t>Không có giới hạn độ dài họ tên: `_validate_profile` (sign_in.py) chỉ kiểm rỗng; cột users.full_name kiểu text không giới hạn
Log: evidence/test-integration.log</t>
        </is>
      </c>
    </row>
    <row r="58" ht="90.5" customHeight="1">
      <c r="A58" s="22" t="inlineStr">
        <is>
          <t>BUG-LOGIN-32</t>
        </is>
      </c>
      <c r="B58" s="22" t="inlineStr">
        <is>
          <t>Lưu ngày sinh trước 1900-01-01</t>
        </is>
      </c>
      <c r="C58" s="22" t="inlineStr">
        <is>
          <t>1. POST /auth/profile {ngay_sinh}</t>
        </is>
      </c>
      <c r="D58" s="22" t="inlineStr">
        <is>
          <t>1899-12-31 | 0001-01-01</t>
        </is>
      </c>
      <c r="E58" s="22" t="inlineStr">
        <is>
          <t>422; hồ sơ không đổi (cận dưới 1900-01-01 theo Q4)</t>
        </is>
      </c>
      <c r="F58" s="22" t="inlineStr">
        <is>
          <t>204 ở cả hai giá trị, đã lưu</t>
        </is>
      </c>
      <c r="G58" s="22" t="inlineStr">
        <is>
          <t>Low</t>
        </is>
      </c>
      <c r="H58" s="22" t="inlineStr">
        <is>
          <t>zannguyen</t>
        </is>
      </c>
      <c r="I58" s="22" t="inlineStr">
        <is>
          <t>`_validate_birth_date` (sign_in.py:229–231) chỉ chặn ngày tương lai, không có cận dưới. App mobile đã giới hạn date picker từ 1900 nên chỉ gặp khi gọi API trực tiếp
Log: evidence/test-integration.log</t>
        </is>
      </c>
    </row>
    <row r="59" ht="123.5" customHeight="1">
      <c r="A59" s="22" t="inlineStr">
        <is>
          <t>BUG-LOGIN-35</t>
        </is>
      </c>
      <c r="B59" s="22" t="inlineStr">
        <is>
          <t>Lưu ngày sinh là hôm nay lúc 00:30 giờ Việt Nam</t>
        </is>
      </c>
      <c r="C59" s="22" t="inlineStr">
        <is>
          <t>1. POST /auth/profile {ngay_sinh: "2026-10-08"}</t>
        </is>
      </c>
      <c r="D59" s="22" t="inlineStr">
        <is>
          <t>ngay_sinh: 2026-10-08</t>
        </is>
      </c>
      <c r="E59" s="22" t="inlineStr">
        <is>
          <t>204 (hôm nay theo giờ Asia/Ho_Chi_Minh — bất biến 7)</t>
        </is>
      </c>
      <c r="F59" s="22" t="inlineStr">
        <is>
          <t>422 {"detail":"invalid_date_of_birth"}</t>
        </is>
      </c>
      <c r="G59" s="22" t="inlineStr">
        <is>
          <t>Medium</t>
        </is>
      </c>
      <c r="H59" s="22" t="inlineStr">
        <is>
          <t>zannguyen</t>
        </is>
      </c>
      <c r="I59"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60" ht="173" customHeight="1">
      <c r="A60" s="22" t="inlineStr">
        <is>
          <t>BUG-LOGIN-42</t>
        </is>
      </c>
      <c r="B60" s="22" t="inlineStr">
        <is>
          <t>Chạm lại ô OTP sau khi nhập sai để sửa mã</t>
        </is>
      </c>
      <c r="C60" s="22" t="inlineStr">
        <is>
          <t>1. Chạm vào ô mã OTP
2. Theo dõi request backend nhận được</t>
        </is>
      </c>
      <c r="D60" s="22" t="inlineStr">
        <is>
          <t>Ô đang chứa 000000</t>
        </is>
      </c>
      <c r="E60" s="22" t="inlineStr">
        <is>
          <t>Không gửi xác thực cho tới khi người dùng nhập mã mới đủ 6 số</t>
        </is>
      </c>
      <c r="F60" s="22" t="inlineStr">
        <is>
          <t>Backend nhận thêm một POST /auth/mobile/verify 401 với mã cũ ngay khi chạm ô (chuỗi request: otp 204, verify 401, verify 401, verify 200)</t>
        </is>
      </c>
      <c r="G60" s="22" t="inlineStr">
        <is>
          <t>Low</t>
        </is>
      </c>
      <c r="H60" s="22" t="inlineStr">
        <is>
          <t>zannguyen</t>
        </is>
      </c>
      <c r="I60"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61" ht="222.5" customHeight="1">
      <c r="A61" s="22" t="inlineStr">
        <is>
          <t>BUG-LINKCODE-28</t>
        </is>
      </c>
      <c r="B61" s="22" t="inlineStr">
        <is>
          <t>Toàn bộ unit test, architecture test và ruff toàn repo pass</t>
        </is>
      </c>
      <c r="C61" s="22" t="inlineStr">
        <is>
          <t>1. pytest tests/unit tests/architecture -q
2. ruff check .
3. So với baseline trước khi sửa code</t>
        </is>
      </c>
      <c r="D61" s="22" t="inlineStr">
        <is>
          <t>-</t>
        </is>
      </c>
      <c r="E61" s="22" t="inlineStr">
        <is>
          <t>pytest và ruff đều pass</t>
        </is>
      </c>
      <c r="F61" s="22"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G61" s="22" t="inlineStr">
        <is>
          <t>Low</t>
        </is>
      </c>
      <c r="H61" s="22" t="inlineStr">
        <is>
          <t>zannguyen</t>
        </is>
      </c>
      <c r="I61" s="22" t="inlineStr">
        <is>
          <t>Có sẵn trên main, không do 3.10/3.13. Nghi vấn: 18 test profile fail vì api_contract (aea2b26) chưa có các endpoint /profile mà backend đã có (remote có nhánh fix/adhoc-20261015-api-contract-sync); 19 lỗi ruff ở catalog/*, runtime/*, worker.py, tests/unit/test_catalog_crud.py
Log: evidence/test-unit-2.log, evidence/implement-final-backend-2.log</t>
        </is>
      </c>
    </row>
    <row r="62" ht="239" customHeight="1">
      <c r="A62" s="22" t="inlineStr">
        <is>
          <t>BUG-REGDOSE-01</t>
        </is>
      </c>
      <c r="B62" s="22" t="inlineStr">
        <is>
          <t>Đối chiếu scheduled_at có giây khi xác nhận liều</t>
        </is>
      </c>
      <c r="C62"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62" s="22" t="inlineStr">
        <is>
          <t>client_uuid: UUID mới; schedule_id: fixture; scheduled_at=2026-10-02T01:00:59.999Z; taken_at=2026-10-02T01:05:59.999Z</t>
        </is>
      </c>
      <c r="E62" s="22" t="inlineStr">
        <is>
          <t>Theo test hiện có: HTTP 200, synced, da_uong và scheduled_at=2026-10-02T01:00:00Z.</t>
        </is>
      </c>
      <c r="F62" s="22" t="inlineStr">
        <is>
          <t>HTTP 200, synced, da_uong; scheduled_at=2026-10-02T01:00:59.999000Z. Fail trong suite DB và lặp lại khi chạy riêng (1 failed trong 1.67s).</t>
        </is>
      </c>
      <c r="G62" s="22" t="inlineStr">
        <is>
          <t>Medium</t>
        </is>
      </c>
      <c r="H62" s="22" t="inlineStr">
        <is>
          <t>phucnguyenngoc</t>
        </is>
      </c>
      <c r="I62"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row r="63" ht="156.5" customHeight="1">
      <c r="A63" s="22" t="inlineStr">
        <is>
          <t>BUG-FALERT-19</t>
        </is>
      </c>
      <c r="B63" s="22" t="inlineStr">
        <is>
          <t>Lọc hộp thư mixed patient và từ chối patient_id trong PATCH</t>
        </is>
      </c>
      <c r="C63" s="22" t="inlineStr">
        <is>
          <t>1. Tạo hai notification cho F: P được phép và Q không có liên kết.
2. GET /notifications?patient_id=P&amp;user_id=Q; kiểm item và count.
3. PATCH notification Q với JSON {is_read:true,patient_id:P}.</t>
        </is>
      </c>
      <c r="D63" s="22" t="inlineStr">
        <is>
          <t>P/F là UUID synthetic mới mỗi lần; ID notification lấy từ DB fixture; giờ 2026-10-20T01:00:00Z.</t>
        </is>
      </c>
      <c r="E63" s="22" t="inlineStr">
        <is>
          <t>List chỉ trả P, total=unread_count=1 và Q có denied; PATCH field lạ phải trả 422.</t>
        </is>
      </c>
      <c r="F63" s="22" t="inlineStr">
        <is>
          <t>HTTP 503 notification_access_unavailable thay vì 422; assertion fail.</t>
        </is>
      </c>
      <c r="G63" s="22" t="inlineStr">
        <is>
          <t>Medium</t>
        </is>
      </c>
      <c r="H63" s="22" t="inlineStr">
        <is>
          <t>phucnguyenngoc</t>
        </is>
      </c>
      <c r="I63"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4" ht="123.5" customHeight="1">
      <c r="A64" s="22" t="inlineStr">
        <is>
          <t>BUG-FALERT-36</t>
        </is>
      </c>
      <c r="B64" s="22" t="inlineStr">
        <is>
          <t>Từ chối tham số phân trang ngoài biên [params0]</t>
        </is>
      </c>
      <c r="C64" s="22" t="inlineStr">
        <is>
          <t>1. Đăng nhập F có notification và quyền hợp lệ.
2. GET /notifications với limit=0, limit=101 hoặc offset=-1 theo Test Data.
3. Kiểm HTTP status và Cache-Control.</t>
        </is>
      </c>
      <c r="D64" s="22" t="inlineStr">
        <is>
          <t>limit=0; offset=0</t>
        </is>
      </c>
      <c r="E64" s="22" t="inlineStr">
        <is>
          <t>422 validation, Cache-Control:no-store; không trả dữ liệu notification.</t>
        </is>
      </c>
      <c r="F64" s="22" t="inlineStr">
        <is>
          <t>HTTP 503 notification_access_unavailable thay vì 422; assertion fail.</t>
        </is>
      </c>
      <c r="G64" s="22" t="inlineStr">
        <is>
          <t>Medium</t>
        </is>
      </c>
      <c r="H64" s="22" t="inlineStr">
        <is>
          <t>phucnguyenngoc</t>
        </is>
      </c>
      <c r="I64"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5" ht="123.5" customHeight="1">
      <c r="A65" s="22" t="inlineStr">
        <is>
          <t>BUG-FALERT-37</t>
        </is>
      </c>
      <c r="B65" s="22" t="inlineStr">
        <is>
          <t>Từ chối tham số phân trang ngoài biên [params1]</t>
        </is>
      </c>
      <c r="C65" s="22" t="inlineStr">
        <is>
          <t>1. Đăng nhập F có notification và quyền hợp lệ.
2. GET /notifications với limit=0, limit=101 hoặc offset=-1 theo Test Data.
3. Kiểm HTTP status và Cache-Control.</t>
        </is>
      </c>
      <c r="D65" s="22" t="inlineStr">
        <is>
          <t>limit=101; offset=0</t>
        </is>
      </c>
      <c r="E65" s="22" t="inlineStr">
        <is>
          <t>422 validation, Cache-Control:no-store; không trả dữ liệu notification.</t>
        </is>
      </c>
      <c r="F65" s="22" t="inlineStr">
        <is>
          <t>HTTP 503 notification_access_unavailable thay vì 422; assertion fail.</t>
        </is>
      </c>
      <c r="G65" s="22" t="inlineStr">
        <is>
          <t>Medium</t>
        </is>
      </c>
      <c r="H65" s="22" t="inlineStr">
        <is>
          <t>phucnguyenngoc</t>
        </is>
      </c>
      <c r="I65"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6" ht="123.5" customHeight="1">
      <c r="A66" s="22" t="inlineStr">
        <is>
          <t>BUG-FALERT-38</t>
        </is>
      </c>
      <c r="B66" s="22" t="inlineStr">
        <is>
          <t>Từ chối tham số phân trang ngoài biên [params2]</t>
        </is>
      </c>
      <c r="C66" s="22" t="inlineStr">
        <is>
          <t>1. Đăng nhập F có notification và quyền hợp lệ.
2. GET /notifications với limit=0, limit=101 hoặc offset=-1 theo Test Data.
3. Kiểm HTTP status và Cache-Control.</t>
        </is>
      </c>
      <c r="D66" s="22" t="inlineStr">
        <is>
          <t>limit=20; offset=-1</t>
        </is>
      </c>
      <c r="E66" s="22" t="inlineStr">
        <is>
          <t>422 validation, Cache-Control:no-store; không trả dữ liệu notification.</t>
        </is>
      </c>
      <c r="F66" s="22" t="inlineStr">
        <is>
          <t>HTTP 503 notification_access_unavailable thay vì 422; assertion fail.</t>
        </is>
      </c>
      <c r="G66" s="22" t="inlineStr">
        <is>
          <t>Medium</t>
        </is>
      </c>
      <c r="H66" s="22" t="inlineStr">
        <is>
          <t>phucnguyenngoc</t>
        </is>
      </c>
      <c r="I66"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sheetData>
  <mergeCells count="2">
    <mergeCell ref="A1:G1"/>
    <mergeCell ref="A3:A5"/>
  </mergeCells>
  <conditionalFormatting sqref="F11:F29">
    <cfRule type="cellIs" priority="1" operator="greaterThan" dxfId="0">
      <formula>0.2</formula>
    </cfRule>
  </conditionalFormatting>
  <conditionalFormatting sqref="G11:G29">
    <cfRule type="expression" priority="2" dxfId="0">
      <formula>OR(G11="Critical",G11="High")</formula>
    </cfRule>
  </conditionalFormatting>
  <conditionalFormatting sqref="G54:G66">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29" showDropDown="0" showInputMessage="0" showErrorMessage="0" allowBlank="1" type="list">
      <formula1>"Critical,High,Medium,Low"</formula1>
    </dataValidation>
    <dataValidation sqref="G54:G66"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2026-09-21T13:11:58Z</dcterms:created>
  <dcterms:modified xsi:type="dcterms:W3CDTF">2026-10-22T07:56:48Z</dcterms:modified>
  <cp:lastModifiedBy>Người dùng Khách</cp:lastModifiedBy>
</cp:coreProperties>
</file>