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Report" sheetId="3" state="visible" r:id="rId3"/>
  </sheets>
  <definedNames>
    <definedName name="_xlnm._FilterDatabase" localSheetId="0" hidden="1">'Android build'!$A$8:$I$17</definedName>
    <definedName name="_xlnm._FilterDatabase" localSheetId="1" hidden="1">'Đăng nhập người dùng'!$A$8:$I$56</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'Report'!$A$11:$A$12</f>
            </numRef>
          </cat>
          <val>
            <numRef>
              <f>'Report'!$D$11:$D$12</f>
            </numRef>
          </val>
        </ser>
        <ser>
          <idx val="1"/>
          <order val="1"/>
          <tx>
            <strRef>
              <f>'Report'!E10</f>
            </strRef>
          </tx>
          <spPr>
            <a:ln xmlns:a="http://schemas.openxmlformats.org/drawingml/2006/main">
              <a:prstDash val="solid"/>
            </a:ln>
          </spPr>
          <cat>
            <numRef>
              <f>'Report'!$A$11:$A$12</f>
            </numRef>
          </cat>
          <val>
            <numRef>
              <f>'Report'!$E$11:$E$12</f>
            </numRef>
          </val>
        </ser>
        <ser>
          <idx val="2"/>
          <order val="2"/>
          <tx>
            <strRef>
              <f>'Report'!F10</f>
            </strRef>
          </tx>
          <spPr>
            <a:ln xmlns:a="http://schemas.openxmlformats.org/drawingml/2006/main">
              <a:prstDash val="solid"/>
            </a:ln>
          </spPr>
          <cat>
            <numRef>
              <f>'Report'!$A$11:$A$12</f>
            </numRef>
          </cat>
          <val>
            <numRef>
              <f>'Report'!$F$11:$F$12</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'Report'!$D$3:$D$4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14</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14</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3"/>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Total</t>
        </is>
      </c>
    </row>
    <row r="3">
      <c r="A3" s="15" t="inlineStr">
        <is>
          <t>Executed</t>
        </is>
      </c>
      <c r="B3" s="9" t="inlineStr">
        <is>
          <t>Passed</t>
        </is>
      </c>
      <c r="C3" s="11">
        <f>'Android build'!$H$20+'Đăng nhập người dùng'!$H$59</f>
        <v/>
      </c>
      <c r="D3" s="15">
        <f>SUM(C3:C3)</f>
        <v/>
      </c>
    </row>
    <row r="4">
      <c r="A4" s="16" t="n"/>
      <c r="B4" s="9" t="inlineStr">
        <is>
          <t>Failed</t>
        </is>
      </c>
      <c r="C4" s="11">
        <f>'Android build'!$H$21+'Đăng nhập người dùng'!$H$60</f>
        <v/>
      </c>
      <c r="D4" s="15">
        <f>SUM(C4:C4)</f>
        <v/>
      </c>
    </row>
    <row r="5">
      <c r="A5" s="17" t="n"/>
      <c r="B5" s="9" t="inlineStr">
        <is>
          <t>(Total) Test executed (Passed + Failed)</t>
        </is>
      </c>
      <c r="C5" s="11">
        <f>C3+C4</f>
        <v/>
      </c>
      <c r="D5" s="15">
        <f>SUM(C5:C5)</f>
        <v/>
      </c>
    </row>
    <row r="6">
      <c r="A6" s="15" t="inlineStr">
        <is>
          <t>Pending</t>
        </is>
      </c>
      <c r="B6" s="10" t="inlineStr"/>
      <c r="C6" s="11">
        <f>'Android build'!$H$22+'Đăng nhập người dùng'!$H$61</f>
        <v/>
      </c>
      <c r="D6" s="15">
        <f>SUM(C6:C6)</f>
        <v/>
      </c>
    </row>
    <row r="7">
      <c r="A7" s="15" t="inlineStr">
        <is>
          <t>(Sub-total) Test Planned</t>
        </is>
      </c>
      <c r="B7" s="10" t="inlineStr"/>
      <c r="C7" s="11">
        <f>C5+C6</f>
        <v/>
      </c>
      <c r="D7" s="15">
        <f>SUM(C7:C7)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35">
      <c r="A35" s="19" t="inlineStr">
        <is>
          <t>Bug Report</t>
        </is>
      </c>
    </row>
    <row r="36">
      <c r="A36" s="20" t="inlineStr">
        <is>
          <t>Bug ID</t>
        </is>
      </c>
      <c r="B36" s="20" t="inlineStr">
        <is>
          <t>Description</t>
        </is>
      </c>
      <c r="C36" s="20" t="inlineStr">
        <is>
          <t>Steps to Reproduce</t>
        </is>
      </c>
      <c r="D36" s="20" t="inlineStr">
        <is>
          <t>Input Data</t>
        </is>
      </c>
      <c r="E36" s="20" t="inlineStr">
        <is>
          <t>Expected Result</t>
        </is>
      </c>
      <c r="F36" s="20" t="inlineStr">
        <is>
          <t>Actual Result</t>
        </is>
      </c>
      <c r="G36" s="20" t="inlineStr">
        <is>
          <t>Severity</t>
        </is>
      </c>
      <c r="H36" s="20" t="inlineStr">
        <is>
          <t>Name of Tester</t>
        </is>
      </c>
      <c r="I36" s="20" t="inlineStr">
        <is>
          <t>Logs</t>
        </is>
      </c>
    </row>
    <row r="37" ht="123.5" customHeight="1">
      <c r="A37" s="22" t="inlineStr">
        <is>
          <t>BUG-LOGIN-08</t>
        </is>
      </c>
      <c r="B37" s="22" t="inlineStr">
        <is>
          <t>Gửi số điện thoại có ký tự xuống dòng ở cuối</t>
        </is>
      </c>
      <c r="C37" s="22" t="inlineStr">
        <is>
          <t>1. POST /auth/mobile/otp {phone: "0900000001\n"}
2. POST /auth/mobile/verify {phone: "0900000001\n", token: 123456}</t>
        </is>
      </c>
      <c r="D37" s="22" t="inlineStr">
        <is>
          <t>phone: 0900000001 + ký tự \n</t>
        </is>
      </c>
      <c r="E37" s="22" t="inlineStr">
        <is>
          <t>422 {"detail":"invalid_phone"} (theo AC6 của 01-requirement)</t>
        </is>
      </c>
      <c r="F37" s="22" t="inlineStr">
        <is>
          <t>OTP 204, verify 200 và cấp phiên (backend bỏ ký tự trắng hai đầu)</t>
        </is>
      </c>
      <c r="G37" s="22" t="inlineStr">
        <is>
          <t>Low</t>
        </is>
      </c>
      <c r="H37" s="22" t="inlineStr">
        <is>
          <t>zannguyen</t>
        </is>
      </c>
      <c r="I37"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38" ht="123.5" customHeight="1">
      <c r="A38" s="22" t="inlineStr">
        <is>
          <t>BUG-LOGIN-11</t>
        </is>
      </c>
      <c r="B38" s="22" t="inlineStr">
        <is>
          <t>Gửi số điện thoại viết bằng chữ số Unicode</t>
        </is>
      </c>
      <c r="C38" s="22" t="inlineStr">
        <is>
          <t>1. POST /auth/mobile/otp {phone}
2. POST /auth/mobile/verify {phone, token: 123456}</t>
        </is>
      </c>
      <c r="D38" s="22" t="inlineStr">
        <is>
          <t>+８４９０００００００１ (full-width) | +٨٤٩٠٠٠٠٠٠٠١ (chữ số Ả Rập)</t>
        </is>
      </c>
      <c r="E38" s="22" t="inlineStr">
        <is>
          <t>422 {"detail":"invalid_phone"}, không gọi Supabase</t>
        </is>
      </c>
      <c r="F38" s="22" t="inlineStr">
        <is>
          <t>OTP 503 {"detail":"auth_provider_unavailable"}, verify 401 {"detail":"Invalid credentials"} — request đã tới Supabase</t>
        </is>
      </c>
      <c r="G38" s="22" t="inlineStr">
        <is>
          <t>Low</t>
        </is>
      </c>
      <c r="H38" s="22" t="inlineStr">
        <is>
          <t>zannguyen</t>
        </is>
      </c>
      <c r="I38"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39" ht="189.5" customHeight="1">
      <c r="A39" s="22" t="inlineStr">
        <is>
          <t>BUG-LOGIN-25</t>
        </is>
      </c>
      <c r="B39" s="22" t="inlineStr">
        <is>
          <t>Lưu họ tên có ký tự NUL</t>
        </is>
      </c>
      <c r="C39" s="22" t="inlineStr">
        <is>
          <t>1. POST /auth/profile {ho_ten: "abc\u0000def", ngày sinh, giới tính hợp lệ}</t>
        </is>
      </c>
      <c r="D39" s="22" t="inlineStr">
        <is>
          <t>ho_ten: abc\u0000def</t>
        </is>
      </c>
      <c r="E39" s="22" t="inlineStr">
        <is>
          <t>Không 5xx (từ chối 422 hoặc lưu được); không lộ chi tiết nội bộ</t>
        </is>
      </c>
      <c r="F39" s="22" t="inlineStr">
        <is>
          <t>500 Internal Server Error</t>
        </is>
      </c>
      <c r="G39" s="22" t="inlineStr">
        <is>
          <t>Medium</t>
        </is>
      </c>
      <c r="H39" s="22" t="inlineStr">
        <is>
          <t>zannguyen</t>
        </is>
      </c>
      <c r="I39"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0" ht="90.5" customHeight="1">
      <c r="A40" s="22" t="inlineStr">
        <is>
          <t>BUG-LOGIN-30</t>
        </is>
      </c>
      <c r="B40" s="22" t="inlineStr">
        <is>
          <t>Lưu họ tên dài 256 ký tự</t>
        </is>
      </c>
      <c r="C40" s="22" t="inlineStr">
        <is>
          <t>1. POST /auth/profile {ho_ten: A*256}</t>
        </is>
      </c>
      <c r="D40" s="22" t="inlineStr">
        <is>
          <t>A*256</t>
        </is>
      </c>
      <c r="E40" s="22" t="inlineStr">
        <is>
          <t>422; hồ sơ không đổi (giới hạn 255 theo Q4 của 01-requirement)</t>
        </is>
      </c>
      <c r="F40" s="22" t="inlineStr">
        <is>
          <t>204, đã lưu</t>
        </is>
      </c>
      <c r="G40" s="22" t="inlineStr">
        <is>
          <t>Low</t>
        </is>
      </c>
      <c r="H40" s="22" t="inlineStr">
        <is>
          <t>zannguyen</t>
        </is>
      </c>
      <c r="I40" s="22" t="inlineStr">
        <is>
          <t>Không có giới hạn độ dài họ tên: `_validate_profile` (sign_in.py) chỉ kiểm rỗng; cột users.full_name kiểu text không giới hạn
Log: evidence/test-integration.log</t>
        </is>
      </c>
    </row>
    <row r="41" ht="90.5" customHeight="1">
      <c r="A41" s="22" t="inlineStr">
        <is>
          <t>BUG-LOGIN-32</t>
        </is>
      </c>
      <c r="B41" s="22" t="inlineStr">
        <is>
          <t>Lưu ngày sinh trước 1900-01-01</t>
        </is>
      </c>
      <c r="C41" s="22" t="inlineStr">
        <is>
          <t>1. POST /auth/profile {ngay_sinh}</t>
        </is>
      </c>
      <c r="D41" s="22" t="inlineStr">
        <is>
          <t>1899-12-31 | 0001-01-01</t>
        </is>
      </c>
      <c r="E41" s="22" t="inlineStr">
        <is>
          <t>422; hồ sơ không đổi (cận dưới 1900-01-01 theo Q4)</t>
        </is>
      </c>
      <c r="F41" s="22" t="inlineStr">
        <is>
          <t>204 ở cả hai giá trị, đã lưu</t>
        </is>
      </c>
      <c r="G41" s="22" t="inlineStr">
        <is>
          <t>Low</t>
        </is>
      </c>
      <c r="H41" s="22" t="inlineStr">
        <is>
          <t>zannguyen</t>
        </is>
      </c>
      <c r="I41" s="22" t="inlineStr">
        <is>
          <t>`_validate_birth_date` (sign_in.py:229–231) chỉ chặn ngày tương lai, không có cận dưới. App mobile đã giới hạn date picker từ 1900 nên chỉ gặp khi gọi API trực tiếp
Log: evidence/test-integration.log</t>
        </is>
      </c>
    </row>
    <row r="42" ht="123.5" customHeight="1">
      <c r="A42" s="22" t="inlineStr">
        <is>
          <t>BUG-LOGIN-35</t>
        </is>
      </c>
      <c r="B42" s="22" t="inlineStr">
        <is>
          <t>Lưu ngày sinh là hôm nay lúc 00:30 giờ Việt Nam</t>
        </is>
      </c>
      <c r="C42" s="22" t="inlineStr">
        <is>
          <t>1. POST /auth/profile {ngay_sinh: "2026-10-08"}</t>
        </is>
      </c>
      <c r="D42" s="22" t="inlineStr">
        <is>
          <t>ngay_sinh: 2026-10-08</t>
        </is>
      </c>
      <c r="E42" s="22" t="inlineStr">
        <is>
          <t>204 (hôm nay theo giờ Asia/Ho_Chi_Minh — bất biến 7)</t>
        </is>
      </c>
      <c r="F42" s="22" t="inlineStr">
        <is>
          <t>422 {"detail":"invalid_date_of_birth"}</t>
        </is>
      </c>
      <c r="G42" s="22" t="inlineStr">
        <is>
          <t>Medium</t>
        </is>
      </c>
      <c r="H42" s="22" t="inlineStr">
        <is>
          <t>zannguyen</t>
        </is>
      </c>
      <c r="I42"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43" ht="173" customHeight="1">
      <c r="A43" s="22" t="inlineStr">
        <is>
          <t>BUG-LOGIN-42</t>
        </is>
      </c>
      <c r="B43" s="22" t="inlineStr">
        <is>
          <t>Chạm lại ô OTP sau khi nhập sai để sửa mã</t>
        </is>
      </c>
      <c r="C43" s="22" t="inlineStr">
        <is>
          <t>1. Chạm vào ô mã OTP
2. Theo dõi request backend nhận được</t>
        </is>
      </c>
      <c r="D43" s="22" t="inlineStr">
        <is>
          <t>Ô đang chứa 000000</t>
        </is>
      </c>
      <c r="E43" s="22" t="inlineStr">
        <is>
          <t>Không gửi xác thực cho tới khi người dùng nhập mã mới đủ 6 số</t>
        </is>
      </c>
      <c r="F43" s="22" t="inlineStr">
        <is>
          <t>Backend nhận thêm một POST /auth/mobile/verify 401 với mã cũ ngay khi chạm ô (chuỗi request: otp 204, verify 401, verify 401, verify 200)</t>
        </is>
      </c>
      <c r="G43" s="22" t="inlineStr">
        <is>
          <t>Low</t>
        </is>
      </c>
      <c r="H43" s="22" t="inlineStr">
        <is>
          <t>zannguyen</t>
        </is>
      </c>
      <c r="I43"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sheetData>
  <mergeCells count="2">
    <mergeCell ref="A1:G1"/>
    <mergeCell ref="A3:A5"/>
  </mergeCells>
  <conditionalFormatting sqref="F11:F12">
    <cfRule type="cellIs" priority="1" operator="greaterThan" dxfId="0">
      <formula>0.2</formula>
    </cfRule>
  </conditionalFormatting>
  <conditionalFormatting sqref="G11:G12">
    <cfRule type="expression" priority="2" dxfId="0">
      <formula>OR(G11="Critical",G11="High")</formula>
    </cfRule>
  </conditionalFormatting>
  <conditionalFormatting sqref="G37:G43">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12" showDropDown="0" showInputMessage="0" showErrorMessage="0" allowBlank="1" type="list">
      <formula1>"Critical,High,Medium,Low"</formula1>
    </dataValidation>
    <dataValidation sqref="G37:G43"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2026-10-07T19:05:13Z</dcterms:modified>
  <cp:lastModifiedBy>Người dùng Khách</cp:lastModifiedBy>
</cp:coreProperties>
</file>