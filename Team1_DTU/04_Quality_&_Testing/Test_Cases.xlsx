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Android build" sheetId="1" state="visible" r:id="rId1"/>
    <sheet xmlns:r="http://schemas.openxmlformats.org/officeDocument/2006/relationships" name="Đăng nhập người dùng" sheetId="2" state="visible" r:id="rId2"/>
    <sheet xmlns:r="http://schemas.openxmlformats.org/officeDocument/2006/relationships" name="Lịch uống thuốc" sheetId="3" state="visible" r:id="rId3"/>
    <sheet xmlns:r="http://schemas.openxmlformats.org/officeDocument/2006/relationships" name="Tải lịch uống" sheetId="4" state="visible" r:id="rId4"/>
    <sheet xmlns:r="http://schemas.openxmlformats.org/officeDocument/2006/relationships" name="Tương tác thuốc-thuốc" sheetId="5" state="visible" r:id="rId5"/>
    <sheet xmlns:r="http://schemas.openxmlformats.org/officeDocument/2006/relationships" name="Tương tác thuốc-thực phẩm" sheetId="6" state="visible" r:id="rId6"/>
    <sheet xmlns:r="http://schemas.openxmlformats.org/officeDocument/2006/relationships" name="Tra cứu hoạt chất" sheetId="7" state="visible" r:id="rId7"/>
    <sheet xmlns:r="http://schemas.openxmlformats.org/officeDocument/2006/relationships" name="Mã liên kết người thân" sheetId="8" state="visible" r:id="rId8"/>
    <sheet xmlns:r="http://schemas.openxmlformats.org/officeDocument/2006/relationships" name="Chọn thuốc danh mục" sheetId="9" state="visible" r:id="rId9"/>
    <sheet xmlns:r="http://schemas.openxmlformats.org/officeDocument/2006/relationships" name="Hồi quy xác nhận liều" sheetId="10" state="visible" r:id="rId10"/>
    <sheet xmlns:r="http://schemas.openxmlformats.org/officeDocument/2006/relationships" name="Landing page" sheetId="11" state="visible" r:id="rId11"/>
    <sheet xmlns:r="http://schemas.openxmlformats.org/officeDocument/2006/relationships" name="Yêu cầu liên kết người thân" sheetId="12" state="visible" r:id="rId12"/>
    <sheet xmlns:r="http://schemas.openxmlformats.org/officeDocument/2006/relationships" name="Theo dõi người thân (app)" sheetId="13" state="visible" r:id="rId13"/>
    <sheet xmlns:r="http://schemas.openxmlformats.org/officeDocument/2006/relationships" name="Link mời người thân" sheetId="14" state="visible" r:id="rId14"/>
    <sheet xmlns:r="http://schemas.openxmlformats.org/officeDocument/2006/relationships" name="Khung điều hướng app" sheetId="15" state="visible" r:id="rId15"/>
    <sheet xmlns:r="http://schemas.openxmlformats.org/officeDocument/2006/relationships" name="Duyệt yêu cầu liên kết" sheetId="16" state="visible" r:id="rId16"/>
    <sheet xmlns:r="http://schemas.openxmlformats.org/officeDocument/2006/relationships" name="Người giám sát" sheetId="17" state="visible" r:id="rId17"/>
    <sheet xmlns:r="http://schemas.openxmlformats.org/officeDocument/2006/relationships" name="Cảnh báo người thân" sheetId="18" state="visible" r:id="rId18"/>
    <sheet xmlns:r="http://schemas.openxmlformats.org/officeDocument/2006/relationships" name="FCM token Android" sheetId="19" state="visible" r:id="rId19"/>
    <sheet xmlns:r="http://schemas.openxmlformats.org/officeDocument/2006/relationships" name="Redeem flow E2E" sheetId="20" state="visible" r:id="rId20"/>
    <sheet xmlns:r="http://schemas.openxmlformats.org/officeDocument/2006/relationships" name="Lịch sử tuân thủ người thân" sheetId="21" state="visible" r:id="rId21"/>
    <sheet xmlns:r="http://schemas.openxmlformats.org/officeDocument/2006/relationships" name="Bỏ lỡ liều có xác minh" sheetId="22" state="visible" r:id="rId22"/>
    <sheet xmlns:r="http://schemas.openxmlformats.org/officeDocument/2006/relationships" name="Checkpoint đồng bộ liều" sheetId="23" state="visible" r:id="rId23"/>
    <sheet xmlns:r="http://schemas.openxmlformats.org/officeDocument/2006/relationships" name="Lịch sử chưa xác minh" sheetId="24" state="visible" r:id="rId24"/>
    <sheet xmlns:r="http://schemas.openxmlformats.org/officeDocument/2006/relationships" name="Chuẩn hóa OCR" sheetId="25" state="visible" r:id="rId25"/>
    <sheet xmlns:r="http://schemas.openxmlformats.org/officeDocument/2006/relationships" name="Index danh mục" sheetId="26" state="visible" r:id="rId26"/>
    <sheet xmlns:r="http://schemas.openxmlformats.org/officeDocument/2006/relationships" name="Report" sheetId="27" state="visible" r:id="rId27"/>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'Chọn thuốc danh mục'!$A$8:$I$60</definedName>
    <definedName name="_xlnm._FilterDatabase" localSheetId="9" hidden="1">'Hồi quy xác nhận liều'!$A$8:$I$9</definedName>
    <definedName name="_xlnm._FilterDatabase" localSheetId="10" hidden="1">'Landing page'!$A$8:$I$40</definedName>
    <definedName name="_xlnm._FilterDatabase" localSheetId="11" hidden="1">'Yêu cầu liên kết người thân'!$A$8:$I$69</definedName>
    <definedName name="_xlnm._FilterDatabase" localSheetId="12" hidden="1">'Theo dõi người thân (app)'!$A$8:$I$43</definedName>
    <definedName name="_xlnm._FilterDatabase" localSheetId="13" hidden="1">'Link mời người thân'!$A$8:$I$21</definedName>
    <definedName name="_xlnm._FilterDatabase" localSheetId="14" hidden="1">'Khung điều hướng app'!$A$8:$I$13</definedName>
    <definedName name="_xlnm._FilterDatabase" localSheetId="15" hidden="1">'Duyệt yêu cầu liên kết'!$A$8:$I$35</definedName>
    <definedName name="_xlnm._FilterDatabase" localSheetId="16" hidden="1">'Người giám sát'!$A$8:$I$36</definedName>
    <definedName name="_xlnm._FilterDatabase" localSheetId="17" hidden="1">'Cảnh báo người thân'!$A$8:$I$81</definedName>
    <definedName name="_xlnm._FilterDatabase" localSheetId="18" hidden="1">'FCM token Android'!$A$8:$I$21</definedName>
    <definedName name="_xlnm._FilterDatabase" localSheetId="19" hidden="1">'Redeem flow E2E'!$A$8:$I$31</definedName>
    <definedName name="_xlnm._FilterDatabase" localSheetId="20" hidden="1">'Lịch sử tuân thủ người thân'!$A$8:$I$61</definedName>
    <definedName name="_xlnm._FilterDatabase" localSheetId="21" hidden="1">'Bỏ lỡ liều có xác minh'!$A$8:$I$57</definedName>
    <definedName name="_xlnm._FilterDatabase" localSheetId="22" hidden="1">'Checkpoint đồng bộ liều'!$A$8:$I$28</definedName>
    <definedName name="_xlnm._FilterDatabase" localSheetId="23" hidden="1">'Lịch sử chưa xác minh'!$A$8:$I$18</definedName>
    <definedName name="_xlnm._FilterDatabase" localSheetId="24" hidden="1">'Chuẩn hóa OCR'!$A$8:$I$40</definedName>
    <definedName name="_xlnm._FilterDatabase" localSheetId="25" hidden="1">'Index danh mục'!$A$8:$I$26</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theo chức năng</a:t>
            </a:r>
          </a:p>
        </rich>
      </tx>
    </title>
    <plotArea>
      <barChart>
        <barDir val="col"/>
        <grouping val="clustered"/>
        <ser>
          <idx val="0"/>
          <order val="0"/>
          <tx>
            <strRef>
              <f>'Report'!D10</f>
            </strRef>
          </tx>
          <spPr>
            <a:ln xmlns:a="http://schemas.openxmlformats.org/drawingml/2006/main">
              <a:prstDash val="solid"/>
            </a:ln>
          </spPr>
          <cat>
            <numRef>
              <f>'Report'!$A$11:$A$36</f>
            </numRef>
          </cat>
          <val>
            <numRef>
              <f>'Report'!$D$11:$D$36</f>
            </numRef>
          </val>
        </ser>
        <ser>
          <idx val="1"/>
          <order val="1"/>
          <tx>
            <strRef>
              <f>'Report'!E10</f>
            </strRef>
          </tx>
          <spPr>
            <a:ln xmlns:a="http://schemas.openxmlformats.org/drawingml/2006/main">
              <a:prstDash val="solid"/>
            </a:ln>
          </spPr>
          <cat>
            <numRef>
              <f>'Report'!$A$11:$A$36</f>
            </numRef>
          </cat>
          <val>
            <numRef>
              <f>'Report'!$E$11:$E$36</f>
            </numRef>
          </val>
        </ser>
        <ser>
          <idx val="2"/>
          <order val="2"/>
          <tx>
            <strRef>
              <f>'Report'!F10</f>
            </strRef>
          </tx>
          <spPr>
            <a:ln xmlns:a="http://schemas.openxmlformats.org/drawingml/2006/main">
              <a:prstDash val="solid"/>
            </a:ln>
          </spPr>
          <cat>
            <numRef>
              <f>'Report'!$A$11:$A$36</f>
            </numRef>
          </cat>
          <val>
            <numRef>
              <f>'Report'!$F$11:$F$36</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Tổng Pass / Fail</a:t>
            </a:r>
          </a:p>
        </rich>
      </tx>
    </title>
    <plotArea>
      <pieChart>
        <varyColors val="1"/>
        <ser>
          <idx val="0"/>
          <order val="0"/>
          <spPr>
            <a:ln xmlns:a="http://schemas.openxmlformats.org/drawingml/2006/mai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38</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38</row>
      <rowOff>0</rowOff>
    </from>
    <ext cx="43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7.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6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Sau khi chạm thuốc, kiểm tra vùng Thông tin thuốc đã chọn; bấm Xác nhận thuốc để trả về form.
4. Quan sát form và số lần gọi add.</t>
        </is>
      </c>
      <c r="E9" s="8" t="inlineStr">
        <is>
          <t>Thuốc: chưa chọn</t>
        </is>
      </c>
      <c r="F9" s="8" t="inlineStr">
        <is>
          <t>Sheet mở; thuốc trở về form, không mở tra cứu/chi tiết và chưa tự lưu. Chạm dòng chỉ chọn; chỉ Xác nhận thuốc mới đóng sheet và trả lựa chọn.</t>
        </is>
      </c>
      <c r="G9" s="8" t="inlineStr">
        <is>
          <t>Chạy lại 2026-10-27: assertion tương ứng đạt trong medication 172/172; evidence/test-medication.log. Nguồn là fake/widget, không phải API/DB thật.</t>
        </is>
      </c>
      <c r="H9" s="7" t="inlineStr">
        <is>
          <t>Pass</t>
        </is>
      </c>
      <c r="I9" s="8" t="inlineStr">
        <is>
          <t>Task 3.05: AC1, AC5 · Chuyển trạng thái form → sheet → form · 3.05: hủy/chọn lại giữ dữ liệu sử dụng, chưa tự lưu và đúng catalog id · Task 4.16: hồi quy · evidence/test-medication.log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Chạy lại 2026-10-27: assertion tương ứng đạt trong medication 172/172; evidence/test-medication.log. Nguồn là fake/widget, không phải API/DB thật.</t>
        </is>
      </c>
      <c r="H10" s="7" t="inlineStr">
        <is>
          <t>Pass</t>
        </is>
      </c>
      <c r="I10" s="8" t="inlineStr">
        <is>
          <t>Task 3.05: AC2 · EP (3); BVA (min-1=0) · sheet danh mục: chưa gõ thì gợi ý, không tìm · Task 4.16: hồi quy · evidence/test-medication.log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Chạy lại 2026-10-27: assertion tương ứng đạt trong medication 172/172; evidence/test-medication.log. Nguồn là fake/widget, không phải API/DB thật.</t>
        </is>
      </c>
      <c r="H11" s="7" t="inlineStr">
        <is>
          <t>Pass</t>
        </is>
      </c>
      <c r="I11" s="8" t="inlineStr">
        <is>
          <t>Task 3.05: AC2 · EP (3) · empty whitespace, debounce 299/300ms and trimmed final query · Task 4.16: hồi quy · evidence/test-medication.log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Chạy lại 2026-10-27: assertion tương ứng đạt trong medication 172/172; evidence/test-medication.log. Nguồn là fake/widget, không phải API/DB thật.</t>
        </is>
      </c>
      <c r="H12" s="7" t="inlineStr">
        <is>
          <t>Pass</t>
        </is>
      </c>
      <c r="I12" s="8" t="inlineStr">
        <is>
          <t>Task 3.05: AC3 · EP (1); BVA (min=1) · empty whitespace, debounce 299/300ms and trimmed final query · Task 4.16: hồi quy · evidence/test-medication.log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Chạy lại 2026-10-27: assertion tương ứng đạt trong medication 172/172; evidence/test-medication.log. Nguồn là fake/widget, không phải API/DB thật.</t>
        </is>
      </c>
      <c r="H13" s="7" t="inlineStr">
        <is>
          <t>Pass</t>
        </is>
      </c>
      <c r="I13" s="8" t="inlineStr">
        <is>
          <t>Task 3.05: AC3 · EP (1) · empty whitespace, debounce 299/300ms and trimmed final query · Task 4.16: hồi quy · evidence/test-medication.log</t>
        </is>
      </c>
      <c r="Q13" s="10" t="inlineStr">
        <is>
          <t>Hiện lỗi, cho retry</t>
        </is>
      </c>
      <c r="R13" s="11" t="inlineStr"/>
      <c r="S13" s="11" t="inlineStr"/>
      <c r="T13" s="11" t="inlineStr">
        <is>
          <t>X</t>
        </is>
      </c>
      <c r="U13" s="11" t="inlineStr"/>
    </row>
    <row r="14" ht="107"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Chạy lại 2026-10-27: assertion tương ứng đạt trong medication 172/172; evidence/test-medication.log. Nguồn là fake/widget, không phải API/DB thật.</t>
        </is>
      </c>
      <c r="H14" s="7" t="inlineStr">
        <is>
          <t>Pass</t>
        </is>
      </c>
      <c r="I14" s="8" t="inlineStr">
        <is>
          <t>Task 3.05: AC2, AC9 · Chuyển trạng thái loading → initial · clear invalidates request and dispose cancels timer or ignores response · Task 4.16: hồi quy · evidence/test-medication.log</t>
        </is>
      </c>
      <c r="Q14" s="10" t="inlineStr">
        <is>
          <t>Xử lý phiên chung, không retry tìm</t>
        </is>
      </c>
      <c r="R14" s="11" t="inlineStr"/>
      <c r="S14" s="11" t="inlineStr"/>
      <c r="T14" s="11" t="inlineStr"/>
      <c r="U14" s="11" t="inlineStr">
        <is>
          <t>X</t>
        </is>
      </c>
    </row>
    <row r="15" ht="107"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Chạy lại 2026-10-27: assertion tương ứng đạt trong medication 172/172; evidence/test-medication.log. Nguồn là fake/widget, không phải API/DB thật.</t>
        </is>
      </c>
      <c r="H15" s="7" t="inlineStr">
        <is>
          <t>Pass</t>
        </is>
      </c>
      <c r="I15" s="8" t="inlineStr">
        <is>
          <t>Task 3.05: AC9 · Đoán lỗi response sai thứ tự · A B A: only current generation can update, including stale error · Task 4.16: hồi quy · evidence/test-medication.log</t>
        </is>
      </c>
    </row>
    <row r="16" ht="107"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Chạy lại 2026-10-27: assertion tương ứng đạt trong medication 172/172; evidence/test-medication.log. Nguồn là fake/widget, không phải API/DB thật.</t>
        </is>
      </c>
      <c r="H16" s="7" t="inlineStr">
        <is>
          <t>Pass</t>
        </is>
      </c>
      <c r="I16" s="8" t="inlineStr">
        <is>
          <t>Task 3.05: AC9 · Chuyển trạng thái sheet → disposed · clear invalidates request and dispose cancels timer or ignores response · Task 4.16: hồi quy · evidence/test-medication.log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Chạy lại 2026-10-27: assertion tương ứng đạt trong medication 172/172; evidence/test-medication.log. Nguồn là fake/widget, không phải API/DB thật.</t>
        </is>
      </c>
      <c r="H17" s="7" t="inlineStr">
        <is>
          <t>Pass</t>
        </is>
      </c>
      <c r="I17" s="8" t="inlineStr">
        <is>
          <t>Task 3.05: AC10 · EP (1) · BVA (max-1=99) · scratch/catalog_boundary_test.dart; Flutter drive Android · Task 4.16: hồi quy · evidence/test-medication.log</t>
        </is>
      </c>
      <c r="Q17" s="4" t="inlineStr">
        <is>
          <t>Cho phép xác nhận (4.16)</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Chạy lại 2026-10-27: assertion tương ứng đạt trong medication 172/172; evidence/test-medication.log. Nguồn là fake/widget, không phải API/DB thật.</t>
        </is>
      </c>
      <c r="H18" s="7" t="inlineStr">
        <is>
          <t>Pass</t>
        </is>
      </c>
      <c r="I18" s="8" t="inlineStr">
        <is>
          <t>Task 3.05: AC10 · EP (1); BVA (max=100) · trimmed Unicode limit 100 allowed, 101 blocked: á · Task 4.16: hồi quy · evidence/test-medication.log</t>
        </is>
      </c>
      <c r="Q18" s="6" t="inlineStr">
        <is>
          <t>Rule</t>
        </is>
      </c>
      <c r="R18" s="5" t="inlineStr">
        <is>
          <t>R1</t>
        </is>
      </c>
      <c r="S18" s="5" t="inlineStr">
        <is>
          <t>R2</t>
        </is>
      </c>
      <c r="T18" s="5" t="inlineStr">
        <is>
          <t>R3</t>
        </is>
      </c>
      <c r="U18" s="5" t="inlineStr">
        <is>
          <t>R4</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Chạy lại 2026-10-27: assertion tương ứng đạt trong medication 172/172; evidence/test-medication.log. Nguồn là fake/widget, không phải API/DB thật.</t>
        </is>
      </c>
      <c r="H19" s="7" t="inlineStr">
        <is>
          <t>Pass</t>
        </is>
      </c>
      <c r="I19" s="8" t="inlineStr">
        <is>
          <t>Task 3.05: AC9, AC10 · EP (4); BVA (max+1=101) · trimmed Unicode limit 100 allowed, 101 blocked: á · Task 4.16: hồi quy · evidence/test-medication.log</t>
        </is>
      </c>
      <c r="Q19" s="10" t="inlineStr">
        <is>
          <t>Có ứng viên?</t>
        </is>
      </c>
      <c r="R19" s="11" t="inlineStr">
        <is>
          <t>No</t>
        </is>
      </c>
      <c r="S19" s="11" t="inlineStr">
        <is>
          <t>Yes</t>
        </is>
      </c>
      <c r="T19" s="11" t="inlineStr">
        <is>
          <t>Yes</t>
        </is>
      </c>
      <c r="U19" s="11" t="inlineStr">
        <is>
          <t>Yes</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Chạy lại 2026-10-27: assertion tương ứng đạt trong medication 172/172; evidence/test-medication.log. Nguồn là fake/widget, không phải API/DB thật.</t>
        </is>
      </c>
      <c r="H20" s="7" t="inlineStr">
        <is>
          <t>Pass</t>
        </is>
      </c>
      <c r="I20" s="8" t="inlineStr">
        <is>
          <t>Task 3.05: AC10 · EP (1,4); BVA (max=100,max+1=101) · trimmed Unicode limit 100 allowed, 101 blocked: 😀 · Task 4.16: hồi quy · evidence/test-medication.log</t>
        </is>
      </c>
      <c r="Q20" s="10" t="inlineStr">
        <is>
          <t>Đã chọn mục thuộc danh sách hiện tại?</t>
        </is>
      </c>
      <c r="R20" s="11" t="inlineStr">
        <is>
          <t>No</t>
        </is>
      </c>
      <c r="S20" s="11" t="inlineStr">
        <is>
          <t>No</t>
        </is>
      </c>
      <c r="T20" s="11" t="inlineStr">
        <is>
          <t>Yes</t>
        </is>
      </c>
      <c r="U20" s="11" t="inlineStr">
        <is>
          <t>No sau thay dữ liệu</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Chạy lại 2026-10-27: assertion tương ứng đạt trong medication 172/172; evidence/test-medication.log. Nguồn là fake/widget, không phải API/DB thật.</t>
        </is>
      </c>
      <c r="H21" s="7" t="inlineStr">
        <is>
          <t>Pass</t>
        </is>
      </c>
      <c r="I21" s="8" t="inlineStr">
        <is>
          <t>Task 3.05: AC7 · Decision Table (R2) · network retry uses current query once and clears old error · Task 4.16: hồi quy · evidence/test-medication.log</t>
        </is>
      </c>
      <c r="Q21" s="6" t="inlineStr">
        <is>
          <t>Action</t>
        </is>
      </c>
      <c r="R21" s="5" t="inlineStr">
        <is>
          <t>R1</t>
        </is>
      </c>
      <c r="S21" s="5" t="inlineStr">
        <is>
          <t>R2</t>
        </is>
      </c>
      <c r="T21" s="5" t="inlineStr">
        <is>
          <t>R3</t>
        </is>
      </c>
      <c r="U21" s="5" t="inlineStr">
        <is>
          <t>R4</t>
        </is>
      </c>
    </row>
    <row r="22" ht="107"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Chạy lại 2026-10-27: assertion tương ứng đạt trong medication 172/172; evidence/test-medication.log. Nguồn là fake/widget, không phải API/DB thật.</t>
        </is>
      </c>
      <c r="H22" s="7" t="inlineStr">
        <is>
          <t>Pass</t>
        </is>
      </c>
      <c r="I22" s="8" t="inlineStr">
        <is>
          <t>Task 3.05: AC8 · EP (5); Decision Table (R3) · network retry uses current query once and clears old error · Task 4.16: hồi quy · evidence/test-medication.log</t>
        </is>
      </c>
      <c r="Q22" s="10" t="inlineStr">
        <is>
          <t>Chỉ cho tìm lại/hủy</t>
        </is>
      </c>
      <c r="R22" s="11" t="inlineStr">
        <is>
          <t>X</t>
        </is>
      </c>
      <c r="S22" s="11" t="inlineStr"/>
      <c r="T22" s="11" t="inlineStr"/>
      <c r="U22" s="11" t="inlineStr"/>
    </row>
    <row r="23" ht="107"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Chạy lại 2026-10-27: assertion tương ứng đạt trong medication 172/172; evidence/test-medication.log. Nguồn là fake/widget, không phải API/DB thật.</t>
        </is>
      </c>
      <c r="H23" s="7" t="inlineStr">
        <is>
          <t>Pass</t>
        </is>
      </c>
      <c r="I23" s="8" t="inlineStr">
        <is>
          <t>Task 3.05: AC10 · EP (5); Decision Table (R3) · failure MedicationFailureKind.validation is not empty success · Task 4.16: hồi quy · evidence/test-medication.log</t>
        </is>
      </c>
      <c r="Q23" s="10" t="inlineStr">
        <is>
          <t>Không cho xác nhận</t>
        </is>
      </c>
      <c r="R23" s="11" t="inlineStr"/>
      <c r="S23" s="11" t="inlineStr">
        <is>
          <t>X</t>
        </is>
      </c>
      <c r="T23" s="11" t="inlineStr"/>
      <c r="U23" s="11" t="inlineStr">
        <is>
          <t>X</t>
        </is>
      </c>
    </row>
    <row r="24" ht="140"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Chạy lại 2026-10-27: assertion tương ứng đạt trong medication 172/172; evidence/test-medication.log. Nguồn là fake/widget, không phải API/DB thật.</t>
        </is>
      </c>
      <c r="H24" s="7" t="inlineStr">
        <is>
          <t>Pass</t>
        </is>
      </c>
      <c r="I24" s="8" t="inlineStr">
        <is>
          <t>Task 3.05: AC11 · EP (5); Decision Table (R4) · 3.05 search 401 throws failure rather than empty success; failure MedicationFailureKind.unauthorized is not empty success · Task 4.16: hồi quy · evidence/test-medication.log</t>
        </is>
      </c>
      <c r="Q24" s="10" t="inlineStr">
        <is>
          <t>Cho xác nhận đúng một lần</t>
        </is>
      </c>
      <c r="R24" s="11" t="inlineStr"/>
      <c r="S24" s="11" t="inlineStr"/>
      <c r="T24" s="11" t="inlineStr">
        <is>
          <t>X</t>
        </is>
      </c>
      <c r="U24" s="11" t="inlineStr"/>
    </row>
    <row r="25" ht="107"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Chạy lại 2026-10-27: assertion tương ứng đạt trong medication 172/172; evidence/test-medication.log. Nguồn là fake/widget, không phải API/DB thật.</t>
        </is>
      </c>
      <c r="H25" s="7" t="inlineStr">
        <is>
          <t>Pass</t>
        </is>
      </c>
      <c r="I25" s="8" t="inlineStr">
        <is>
          <t>Task 3.05: AC8 · EP (5); Decision Table (R3) · 3.05 search 408/500/503 throws failure rather than empty success · Task 4.16: hồi quy · evidence/test-medication.log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Chạy lại 2026-10-27: assertion tương ứng đạt trong medication 172/172; evidence/test-medication.log. Nguồn là fake/widget, không phải API/DB thật.</t>
        </is>
      </c>
      <c r="H26" s="7" t="inlineStr">
        <is>
          <t>Pass</t>
        </is>
      </c>
      <c r="I26" s="8" t="inlineStr">
        <is>
          <t>Task 3.05: AC8 · EP (5) · 3.05 search socket failure is network error · Task 4.16: hồi quy · evidence/test-medication.log</t>
        </is>
      </c>
    </row>
    <row r="27" ht="107"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Chạy lại 2026-10-27: assertion tương ứng đạt trong medication 172/172; evidence/test-medication.log. Nguồn là fake/widget, không phải API/DB thật.</t>
        </is>
      </c>
      <c r="H27" s="7" t="inlineStr">
        <is>
          <t>Pass</t>
        </is>
      </c>
      <c r="I27" s="8" t="inlineStr">
        <is>
          <t>Task 3.05: AC5, AC6 · EP (2); Decision Table (R1) · strength, missing fields and same name distinct ids keep original item · Task 4.16: hồi quy · evidence/test-medication.log</t>
        </is>
      </c>
    </row>
    <row r="28" ht="107"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Sau khi chạm thuốc, kiểm tra vùng Thông tin thuốc đã chọn; bấm Xác nhận thuốc để trả về form.
4. Quan sát form trước Lưu.</t>
        </is>
      </c>
      <c r="E28" s="8" t="inlineStr">
        <is>
          <t>Cùng tên: id=1, id=200; chọn item thứ hai nullable</t>
        </is>
      </c>
      <c r="F28" s="8" t="inlineStr">
        <is>
          <t>Form nhận nguyên item id=200; hàm lượng trống, không tự điền y khoa, không tự lưu. Chạm dòng chỉ chọn; chỉ Xác nhận thuốc mới đóng sheet và trả lựa chọn.</t>
        </is>
      </c>
      <c r="G28" s="8" t="inlineStr">
        <is>
          <t>Chạy lại 2026-10-27: assertion tương ứng đạt trong medication 172/172; evidence/test-medication.log. Nguồn là fake/widget, không phải API/DB thật.</t>
        </is>
      </c>
      <c r="H28" s="7" t="inlineStr">
        <is>
          <t>Pass</t>
        </is>
      </c>
      <c r="I28" s="8" t="inlineStr">
        <is>
          <t>Task 3.05: AC5, AC6 · EP (2) · 3.05: chọn đúng item cùng tên, thiếu thông tin giữ trường trống không tự lưu · Task 4.16: hồi quy · evidence/test-medication.log</t>
        </is>
      </c>
    </row>
    <row r="29" ht="140"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Sau khi chạm thuốc, kiểm tra vùng Thông tin thuốc đã chọn; bấm Xác nhận thuốc để trả về form.
4.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 Chạm dòng chỉ chọn; chỉ Xác nhận thuốc mới đóng sheet và trả lựa chọn.</t>
        </is>
      </c>
      <c r="G29" s="8" t="inlineStr">
        <is>
          <t>Chạy lại 2026-10-27: assertion tương ứng đạt trong medication 172/172; evidence/test-medication.log. Nguồn là fake/widget, không phải API/DB thật.</t>
        </is>
      </c>
      <c r="H29" s="7" t="inlineStr">
        <is>
          <t>Pass</t>
        </is>
      </c>
      <c r="I29" s="8" t="inlineStr">
        <is>
          <t>Task 3.05: AC12, AC5 · Chuyển trạng thái chọn → hủy → chọn lại · 3.05: hủy/chọn lại giữ dữ liệu sử dụng, chưa tự lưu và đúng catalog id · Task 4.16: hồi quy · evidence/test-medication.log</t>
        </is>
      </c>
    </row>
    <row r="30" ht="107"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Sau khi chạm thuốc, kiểm tra vùng Thông tin thuốc đã chọn; bấm Xác nhận thuốc để trả về form.
4. Quan sát form.</t>
        </is>
      </c>
      <c r="E30" s="8" t="inlineStr">
        <is>
          <t>Losartan 50mg đã có trong danh sách</t>
        </is>
      </c>
      <c r="F30" s="8" t="inlineStr">
        <is>
          <t>Giữ nhãn Đang dùng và cảnh báo đã có trong danh sách đang dùng; vẫn chọn được. Chạm dòng chỉ chọn; chỉ Xác nhận thuốc mới đóng sheet và trả lựa chọn.</t>
        </is>
      </c>
      <c r="G30" s="8" t="inlineStr">
        <is>
          <t>Chạy lại 2026-10-27: assertion tương ứng đạt trong medication 172/172; evidence/test-medication.log. Nguồn là fake/widget, không phải API/DB thật.</t>
        </is>
      </c>
      <c r="H30" s="7" t="inlineStr">
        <is>
          <t>Pass</t>
        </is>
      </c>
      <c r="I30" s="8" t="inlineStr">
        <is>
          <t>Task 3.05: AC13 · Decision Table (R1) · 3.05: hủy/chọn lại giữ dữ liệu sử dụng, chưa tự lưu và đúng catalog id · Task 4.16: hồi quy · evidence/test-medication.log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Chạy lại 2026-10-27: assertion tương ứng đạt trong medication 172/172; evidence/test-medication.log. Nguồn là fake/widget, không phải API/DB thật.</t>
        </is>
      </c>
      <c r="H31" s="7" t="inlineStr">
        <is>
          <t>Pass</t>
        </is>
      </c>
      <c r="I31" s="8" t="inlineStr">
        <is>
          <t>Task 3.05: AC3, AC5, AC6 · EP (1,2) · 3.05 search GET trim, server order, nullable and exact ids · Task 4.16: hồi quy · evidence/test-medication.log</t>
        </is>
      </c>
    </row>
    <row r="32" ht="107"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Chạy lại 2026-10-27: assertion tương ứng đạt trong medication 172/172; evidence/test-medication.log. Nguồn là fake/widget, không phải API/DB thật.</t>
        </is>
      </c>
      <c r="H32" s="7" t="inlineStr">
        <is>
          <t>Pass</t>
        </is>
      </c>
      <c r="I32" s="8" t="inlineStr">
        <is>
          <t>Task 3.05: AC14 · Đoán lỗi layout · small screen large text with keyboard: states scroll and retry remains reachable · Task 4.16: hồi quy · evidence/test-medication.log</t>
        </is>
      </c>
    </row>
    <row r="33" ht="107"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2026-10-28: Pass với PostgreSQL Supabase local sau reset. Tên/hoạt chất có dấu, không dấu và hoa thường trả HTTP 200, đúng thuốc qua cả /catalog/medications và /medications/search. Suite catalog: 43 pass, 0 fail, 0 skip (9.86s).</t>
        </is>
      </c>
      <c r="H33" s="7" t="inlineStr">
        <is>
          <t>Pass</t>
        </is>
      </c>
      <c r="I33" s="8" t="inlineStr">
        <is>
          <t>Task 3.05: AC4 · EP (1); tích hợp DB thật · pytest tests/integration/test_catalog_search.py · Đã chạy lại 2026-10-28: evidence/test-pending-catalog-search-rerun.log</t>
        </is>
      </c>
    </row>
    <row r="34" ht="107"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2026-10-28: Pass trên DB local thật: loại thuốc deleted_at khác null; đúng 5 trường schema; limit=1; ưu tiên tiền tố tên rồi thứ tự tên. Các test tương ứng pass cho cả hai route; suite 43 pass.</t>
        </is>
      </c>
      <c r="H34" s="7" t="inlineStr">
        <is>
          <t>Pass</t>
        </is>
      </c>
      <c r="I34" s="8" t="inlineStr">
        <is>
          <t>Task 3.05: AC4 · EP (1); tích hợp DB thật · pytest tests/integration/test_catalog_search.py · Đã chạy lại 2026-10-28: evidence/test-pending-catalog-search-rerun.log</t>
        </is>
      </c>
    </row>
    <row r="35" ht="156.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Sau khi chạm thuốc, kiểm tra vùng Thông tin thuốc đã chọn; bấm Xác nhận thuốc để trả về form.
4.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 Chạm dòng chỉ chọn; chỉ Xác nhận thuốc mới đóng sheet và trả lựa chọn.</t>
        </is>
      </c>
      <c r="G35" s="8" t="inlineStr">
        <is>
          <t>2026-10-28: Pass trên LM G710 Android 13/font1.0 với Backend API và PostgreSQL local thật. Cả 5 query có dấu/không dấu/hoa thường/tên/hoạt chất trả đúng id=153, loại id đã gỡ=154. Chạm chỉ chọn, form giữ nguyên đến Xác nhận thuốc; ID/tên/hoạt chất/hàm lượng/dạng bào chế khớp. add_calls=0; DB meds/schedules/prescriptions giữ 0/0/0.</t>
        </is>
      </c>
      <c r="H35" s="7" t="inlineStr">
        <is>
          <t>Pass</t>
        </is>
      </c>
      <c r="I35" s="8" t="inlineStr">
        <is>
          <t>Task 3.05: AC4, AC5 · Flutter drive thiết bị thật + Backend API thật + PostgreSQL local; session từ fixture, không test login · Đã chạy lại 2026-10-28; evidence/test-pending-device-response.json</t>
        </is>
      </c>
    </row>
    <row r="36" ht="173"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Sau khi chạm thuốc, kiểm tra vùng Thông tin thuốc đã chọn; bấm Xác nhận thuốc để trả về form.
5. Khôi phục cỡ chữ ban đầu sau test.</t>
        </is>
      </c>
      <c r="E36" s="8" t="inlineStr">
        <is>
          <t>Điện thoại LM G710 Android 13; cỡ chữ lớn; bàn phím mở</t>
        </is>
      </c>
      <c r="F36" s="8" t="inlineStr">
        <is>
          <t>Nội dung đọc/cuộn được; bàn phím không che thao tác; chọn trả đúng thuốc về form. Chạm dòng chỉ chọn; chỉ Xác nhận thuốc mới đóng sheet và trả lựa chọn.</t>
        </is>
      </c>
      <c r="G36" s="8" t="inlineStr">
        <is>
          <t>2026-10-28: Fail trên LM G710 Android 13, viewport 360×616 dp, text scale 1.5; keyboard thật 325.5 dp. Hướng dẫn/loading/503 một lần/retry/no-result/query99 và chọn từ API/DB local đã chạy. Chạm item đã chọn, nhưng vùng xem lại chỉ 21.34 dp &lt; một dòng metadata 35 dp. Không đủ đọc một dòng trước xác nhận; regression exit 1. Cấu hình thiết bị được khôi phục.</t>
        </is>
      </c>
      <c r="H36" s="7" t="inlineStr">
        <is>
          <t>Fail</t>
        </is>
      </c>
      <c r="I36" s="8" t="inlineStr">
        <is>
          <t>Task 3.05: AC14 · Flutter drive trên thiết bị thật + agent kiểm ảnh; thay thao tác tay bằng cùng luồng tự động, không giả lập viewInsets · 2026-10-28 Fail cùng lỗi layout BUG-MEDPICK-51 · evidence/test-pending-TC28-android-confirmed.log · Lỗi đã biết được người dùng chấp nhận, hoãn sửa (2026-10-28)</t>
        </is>
      </c>
    </row>
    <row r="37" ht="107"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2026-10-28: Pass trên DB local thật: %, _ và backslash được tìm nguyên văn; query % hoặc _ không khớp mọi thuốc. Test literal wildcard pass cho cả hai route; suite 43 pass.</t>
        </is>
      </c>
      <c r="H37" s="7" t="inlineStr">
        <is>
          <t>Pass</t>
        </is>
      </c>
      <c r="I37" s="8" t="inlineStr">
        <is>
          <t>Task 3.05: AC4 · Đoán lỗi SQL wildcard; tích hợp DB thật · pytest tests/integration/test_catalog_search.py · Đã chạy lại 2026-10-28: evidence/test-pending-catalog-search-rerun.log</t>
        </is>
      </c>
    </row>
    <row r="38" ht="107" customHeight="1">
      <c r="A38" s="7" t="inlineStr">
        <is>
          <t>TC-MEDPICK-30</t>
        </is>
      </c>
      <c r="B38" s="7" t="inlineStr">
        <is>
          <t>Dùng chung màn chọn cho OCR và tìm kiếm</t>
        </is>
      </c>
      <c r="C38" s="8" t="inlineStr">
        <is>
          <t>Bản debug preview DrugTime; mở Thêm thuốc mới → Mẫu · Xem thử chọn và xác nhận thuốc. Test tự động dùng fixture/harness tương ứng, không ảnh OCR hoặc dữ liệu người bệnh thật.</t>
        </is>
      </c>
      <c r="D38" s="8" t="inlineStr">
        <is>
          <t>1. Mở OCR · Có kết quả.
2. Hủy; mở Tìm kiếm · Có kết quả.
3. Chọn và xác nhận một ứng viên ở mỗi nguồn.</t>
        </is>
      </c>
      <c r="E38" s="8" t="inlineStr">
        <is>
          <t>demo-500 và demo-250</t>
        </is>
      </c>
      <c r="F38" s="8" t="inlineStr">
        <is>
          <t>Cùng DrugSelectionPanel và quy tắc chọn/xác nhận; trả đúng đối tượng gốc.</t>
        </is>
      </c>
      <c r="G38" s="8" t="inlineStr">
        <is>
          <t>Đạt assertion same panel, explicit confirm returns original item; chạy 2026-10-27; evidence/test-medication.log.</t>
        </is>
      </c>
      <c r="H38" s="7" t="inlineStr">
        <is>
          <t>Pass</t>
        </is>
      </c>
      <c r="I38" s="8" t="inlineStr">
        <is>
          <t>Task 4.16: AC1 · Chuyển trạng thái · same panel, explicit confirm returns original item · evidence/test-medication.log</t>
        </is>
      </c>
    </row>
    <row r="39" ht="107" customHeight="1">
      <c r="A39" s="7" t="inlineStr">
        <is>
          <t>TC-MEDPICK-31</t>
        </is>
      </c>
      <c r="B39" s="7" t="inlineStr">
        <is>
          <t>Giữ thứ tự, định danh và hàm lượng khi trùng tên</t>
        </is>
      </c>
      <c r="C39" s="8" t="inlineStr">
        <is>
          <t>Bản debug preview DrugTime; mở Thêm thuốc mới → Mẫu · Xem thử chọn và xác nhận thuốc. Test tự động dùng fixture/harness tương ứng, không ảnh OCR hoặc dữ liệu người bệnh thật.</t>
        </is>
      </c>
      <c r="D39" s="8" t="inlineStr">
        <is>
          <t>1. Mở OCR · Có kết quả.
2. Đọc hai dòng cùng tên theo thứ tự.
3. Chọn dòng 250 mg; xác nhận.</t>
        </is>
      </c>
      <c r="E39" s="8" t="inlineStr">
        <is>
          <t>demo-500: 500 mg/Viên nén/viên; demo-250: 250 mg/Gói bột/gói</t>
        </is>
      </c>
      <c r="F39" s="8" t="inlineStr">
        <is>
          <t>500 mg trước 250 mg; kết quả demo-250 giữ nguyên metadata, không xếp hạng lại.</t>
        </is>
      </c>
      <c r="G39" s="8" t="inlineStr">
        <is>
          <t>Đạt assertion order, identity, tap only selects; confirm returns latest once; chạy 2026-10-27; evidence/test-medication.log.</t>
        </is>
      </c>
      <c r="H39" s="7" t="inlineStr">
        <is>
          <t>Pass</t>
        </is>
      </c>
      <c r="I39" s="8" t="inlineStr">
        <is>
          <t>Task 4.16: AC2 · EP (2) · order, identity, tap only selects; confirm returns latest once · evidence/test-medication.log</t>
        </is>
      </c>
    </row>
    <row r="40" ht="107" customHeight="1">
      <c r="A40" s="7" t="inlineStr">
        <is>
          <t>TC-MEDPICK-32</t>
        </is>
      </c>
      <c r="B40" s="7" t="inlineStr">
        <is>
          <t>Chặn xác nhận khi chưa chọn thuốc</t>
        </is>
      </c>
      <c r="C40" s="8" t="inlineStr">
        <is>
          <t>Bản debug preview DrugTime; mở Thêm thuốc mới → Mẫu · Xem thử chọn và xác nhận thuốc. Test tự động dùng fixture/harness tương ứng, không ảnh OCR hoặc dữ liệu người bệnh thật.</t>
        </is>
      </c>
      <c r="D40" s="8" t="inlineStr">
        <is>
          <t>1. Mở preset có kết quả.
2. Quan sát và thử nút Xác nhận thuốc trước khi chạm dòng.</t>
        </is>
      </c>
      <c r="E40" s="8" t="inlineStr">
        <is>
          <t>Hai ứng viên; selected=null</t>
        </is>
      </c>
      <c r="F40" s="8" t="inlineStr">
        <is>
          <t>Nút vô hiệu; không trả lựa chọn hay tạo thuốc.</t>
        </is>
      </c>
      <c r="G40" s="8" t="inlineStr">
        <is>
          <t>Đạt assertion order, identity, tap only selects; confirm returns latest once; chạy 2026-10-27; evidence/test-medication.log.</t>
        </is>
      </c>
      <c r="H40" s="7" t="inlineStr">
        <is>
          <t>Pass</t>
        </is>
      </c>
      <c r="I40" s="8" t="inlineStr">
        <is>
          <t>Task 4.16: AC3 · Decision Table Cho phép xác nhận (R2) · order, identity, tap only selects; confirm returns latest once · evidence/test-medication.log</t>
        </is>
      </c>
    </row>
    <row r="41" ht="107" customHeight="1">
      <c r="A41" s="7" t="inlineStr">
        <is>
          <t>TC-MEDPICK-33</t>
        </is>
      </c>
      <c r="B41" s="7" t="inlineStr">
        <is>
          <t>Chỉ cập nhật xem lại khi chạm dòng</t>
        </is>
      </c>
      <c r="C41" s="8" t="inlineStr">
        <is>
          <t>Bản debug preview DrugTime; mở Thêm thuốc mới → Mẫu · Xem thử chọn và xác nhận thuốc. Test tự động dùng fixture/harness tương ứng, không ảnh OCR hoặc dữ liệu người bệnh thật.</t>
        </is>
      </c>
      <c r="D41" s="8" t="inlineStr">
        <is>
          <t>1. Mở OCR · Có kết quả.
2. Chạm dòng demo-500.
3. Đọc vùng Thông tin thuốc đã chọn; chưa bấm xác nhận.</t>
        </is>
      </c>
      <c r="E41" s="8" t="inlineStr">
        <is>
          <t>demo-500</t>
        </is>
      </c>
      <c r="F41" s="8" t="inlineStr">
        <is>
          <t>Hiện Tên thuốc/Hoạt chất/Hàm lượng/Dạng bào chế/Đơn vị; màn vẫn mở, caller chưa nhận kết quả.</t>
        </is>
      </c>
      <c r="G41" s="8" t="inlineStr">
        <is>
          <t>Đạt assertion same panel, explicit confirm returns original item; chạy 2026-10-27; evidence/test-medication.log.</t>
        </is>
      </c>
      <c r="H41" s="7" t="inlineStr">
        <is>
          <t>Pass</t>
        </is>
      </c>
      <c r="I41" s="8" t="inlineStr">
        <is>
          <t>Task 4.16: AC3 · Chuyển trạng thái chưa chọn → đã chọn · same panel, explicit confirm returns original item · evidence/test-medication.log</t>
        </is>
      </c>
    </row>
    <row r="42" ht="107" customHeight="1">
      <c r="A42" s="7" t="inlineStr">
        <is>
          <t>TC-MEDPICK-34</t>
        </is>
      </c>
      <c r="B42" s="7" t="inlineStr">
        <is>
          <t>Đổi lựa chọn và xác nhận một lần</t>
        </is>
      </c>
      <c r="C42" s="8" t="inlineStr">
        <is>
          <t>Bản debug preview DrugTime; mở Thêm thuốc mới → Mẫu · Xem thử chọn và xác nhận thuốc. Test tự động dùng fixture/harness tương ứng, không ảnh OCR hoặc dữ liệu người bệnh thật.</t>
        </is>
      </c>
      <c r="D42" s="8" t="inlineStr">
        <is>
          <t>1. Chọn demo-500.
2. Cuộn xuống và chọn demo-250.
3. Bấm Xác nhận thuốc hai lần liên tiếp.</t>
        </is>
      </c>
      <c r="E42" s="8" t="inlineStr">
        <is>
          <t>500 mg → 250 mg</t>
        </is>
      </c>
      <c r="F42" s="8" t="inlineStr">
        <is>
          <t>Chỉ trả demo-250 một lần; khóa callback xác nhận lặp.</t>
        </is>
      </c>
      <c r="G42" s="8" t="inlineStr">
        <is>
          <t>Đạt assertion order, identity, tap only selects; confirm returns latest once; chạy 2026-10-27; evidence/test-medication.log.</t>
        </is>
      </c>
      <c r="H42" s="7" t="inlineStr">
        <is>
          <t>Pass</t>
        </is>
      </c>
      <c r="I42" s="8" t="inlineStr">
        <is>
          <t>Task 4.16: AC3, AC4 · Decision Table Cho phép xác nhận (R3); đoán lỗi double tap · order, identity, tap only selects; confirm returns latest once · evidence/test-medication.log</t>
        </is>
      </c>
    </row>
    <row r="43" ht="107" customHeight="1">
      <c r="A43" s="7" t="inlineStr">
        <is>
          <t>TC-MEDPICK-35</t>
        </is>
      </c>
      <c r="B43" s="7" t="inlineStr">
        <is>
          <t>Hủy lựa chọn từ cả hai nguồn</t>
        </is>
      </c>
      <c r="C43" s="8" t="inlineStr">
        <is>
          <t>Bản debug preview DrugTime; mở Thêm thuốc mới → Mẫu · Xem thử chọn và xác nhận thuốc. Test tự động dùng fixture/harness tương ứng, không ảnh OCR hoặc dữ liệu người bệnh thật.</t>
        </is>
      </c>
      <c r="D43" s="8" t="inlineStr">
        <is>
          <t>1. Mở lần lượt OCR/Tìm kiếm · Có kết quả.
2. Chọn một dòng; bấm Hủy.
3. Kiểm caller không nhận thuốc.</t>
        </is>
      </c>
      <c r="E43" s="8" t="inlineStr">
        <is>
          <t>Hai nguồn, demo-500</t>
        </is>
      </c>
      <c r="F43" s="8" t="inlineStr">
        <is>
          <t>Trả null; không biến chọn tạm thành xác nhận.</t>
        </is>
      </c>
      <c r="G43" s="8" t="inlineStr">
        <is>
          <t>Đạt assertion cancel returns null; chạy 2026-10-27; evidence/test-medication.log.</t>
        </is>
      </c>
      <c r="H43" s="7" t="inlineStr">
        <is>
          <t>Pass</t>
        </is>
      </c>
      <c r="I43" s="8" t="inlineStr">
        <is>
          <t>Task 4.16: AC4 · Chuyển trạng thái đã chọn → hủy · cancel returns null · evidence/test-medication.log</t>
        </is>
      </c>
    </row>
    <row r="44" ht="107" customHeight="1">
      <c r="A44" s="7" t="inlineStr">
        <is>
          <t>TC-MEDPICK-36</t>
        </is>
      </c>
      <c r="B44" s="7" t="inlineStr">
        <is>
          <t>Dùng Back sau khi chọn từ cả hai nguồn</t>
        </is>
      </c>
      <c r="C44" s="8" t="inlineStr">
        <is>
          <t>Bản debug preview DrugTime; mở Thêm thuốc mới → Mẫu · Xem thử chọn và xác nhận thuốc. Test tự động dùng fixture/harness tương ứng, không ảnh OCR hoặc dữ liệu người bệnh thật.</t>
        </is>
      </c>
      <c r="D44" s="8" t="inlineStr">
        <is>
          <t>1. Mở lần lượt hai nguồn có kết quả.
2. Chọn demo-500 rồi dùng Back.
3. Kiểm kết quả caller.</t>
        </is>
      </c>
      <c r="E44" s="8" t="inlineStr">
        <is>
          <t>System Back</t>
        </is>
      </c>
      <c r="F44" s="8" t="inlineStr">
        <is>
          <t>Trả null, không xác nhận/lưu.</t>
        </is>
      </c>
      <c r="G44" s="8" t="inlineStr">
        <is>
          <t>Đạt assertion system Back returns null; chạy 2026-10-27; evidence/test-medication.log.</t>
        </is>
      </c>
      <c r="H44" s="7" t="inlineStr">
        <is>
          <t>Pass</t>
        </is>
      </c>
      <c r="I44" s="8" t="inlineStr">
        <is>
          <t>Task 4.16: AC4 · Chuyển trạng thái đã chọn → Back · system Back returns null · evidence/test-medication.log</t>
        </is>
      </c>
    </row>
    <row r="45" ht="107" customHeight="1">
      <c r="A45" s="7" t="inlineStr">
        <is>
          <t>TC-MEDPICK-37</t>
        </is>
      </c>
      <c r="B45" s="7" t="inlineStr">
        <is>
          <t>Tìm thủ công từ OCR rỗng và trả đúng caller</t>
        </is>
      </c>
      <c r="C45" s="8" t="inlineStr">
        <is>
          <t>Bản debug preview DrugTime; mở Thêm thuốc mới → Mẫu · Xem thử chọn và xác nhận thuốc. Test tự động dùng fixture/harness tương ứng, không ảnh OCR hoặc dữ liệu người bệnh thật.</t>
        </is>
      </c>
      <c r="D45" s="8" t="inlineStr">
        <is>
          <t>1. Mở OCR · Không có kết quả.
2. Bấm Tìm kiếm thủ công; nhập Paracetamol.
3. Chọn dòng 250 mg; bấm Xác nhận thuốc.</t>
        </is>
      </c>
      <c r="E45" s="8" t="inlineStr">
        <is>
          <t>items=[] → q=Paracetamol → demo-250</t>
        </is>
      </c>
      <c r="F45" s="8" t="inlineStr">
        <is>
          <t>Không tự chọn khi rỗng; sau confirm đóng sheet/màn gốc, caller nhận đúng một demo-250.</t>
        </is>
      </c>
      <c r="G45" s="8" t="inlineStr">
        <is>
          <t>Đạt assertion ocr empty manual search confirm reaches original caller once; chạy 2026-10-27; evidence/test-medication.log.</t>
        </is>
      </c>
      <c r="H45" s="7" t="inlineStr">
        <is>
          <t>Pass</t>
        </is>
      </c>
      <c r="I45" s="8" t="inlineStr">
        <is>
          <t>Task 4.16: AC5 · Decision Table Cho phép xác nhận (R1); chuyển trạng thái · ocr empty manual search confirm reaches original caller once · evidence/test-medication.log</t>
        </is>
      </c>
    </row>
    <row r="46" ht="107" customHeight="1">
      <c r="A46" s="7" t="inlineStr">
        <is>
          <t>TC-MEDPICK-38</t>
        </is>
      </c>
      <c r="B46" s="7" t="inlineStr">
        <is>
          <t>Sửa từ khóa ngay trong sheet khi tìm rỗng</t>
        </is>
      </c>
      <c r="C46" s="8" t="inlineStr">
        <is>
          <t>Bản debug preview DrugTime; mở Thêm thuốc mới → Mẫu · Xem thử chọn và xác nhận thuốc. Test tự động dùng fixture/harness tương ứng, không ảnh OCR hoặc dữ liệu người bệnh thật.</t>
        </is>
      </c>
      <c r="D46" s="8" t="inlineStr">
        <is>
          <t>1. Mở Tìm kiếm · Không có kết quả.
2. Tìm thủ công; nhập unknown.
3. Bấm Tìm kiếm thủ công một lần nữa; thay từ khóa.</t>
        </is>
      </c>
      <c r="E46" s="8" t="inlineStr">
        <is>
          <t>unknown → Paracetamol</t>
        </is>
      </c>
      <c r="F46" s="8" t="inlineStr">
        <is>
          <t>Chỉ một sheet; focus và chọn nội dung ô nhập hiện tại; cho tìm lại, không tới Admin hay tạo thuốc ngoài danh mục.</t>
        </is>
      </c>
      <c r="G46" s="8" t="inlineStr">
        <is>
          <t>Đạt assertion empty action focuses and selects current query on same route; chạy 2026-10-27; evidence/test-medication.log.</t>
        </is>
      </c>
      <c r="H46" s="7" t="inlineStr">
        <is>
          <t>Pass</t>
        </is>
      </c>
      <c r="I46" s="8" t="inlineStr">
        <is>
          <t>Task 4.16: AC6 · Decision Table Kết quả tìm kiếm (R2) · empty action focuses and selects current query on same route · evidence/test-medication.log</t>
        </is>
      </c>
    </row>
    <row r="47" ht="107" customHeight="1">
      <c r="A47" s="7" t="inlineStr">
        <is>
          <t>TC-MEDPICK-39</t>
        </is>
      </c>
      <c r="B47" s="7" t="inlineStr">
        <is>
          <t>Lặp tìm rỗng, hủy sheet rồi tìm lại</t>
        </is>
      </c>
      <c r="C47" s="8" t="inlineStr">
        <is>
          <t>Bản debug preview DrugTime; mở Thêm thuốc mới → Mẫu · Xem thử chọn và xác nhận thuốc. Test tự động dùng fixture/harness tương ứng, không ảnh OCR hoặc dữ liệu người bệnh thật.</t>
        </is>
      </c>
      <c r="D47" s="8" t="inlineStr">
        <is>
          <t>1. Mở preset rỗng.
2. Hai lần mở tìm thủ công, nhập no-match, bấm tìm lại và dùng Back đóng sheet.
3. Hủy màn gốc.</t>
        </is>
      </c>
      <c r="E47" s="8" t="inlineStr">
        <is>
          <t>no-match, lặp 2 lần; cả OCR/search</t>
        </is>
      </c>
      <c r="F47" s="8" t="inlineStr">
        <is>
          <t>Sheet không lồng vô hạn; Back về màn gốc; hủy trả null.</t>
        </is>
      </c>
      <c r="G47" s="8" t="inlineStr">
        <is>
          <t>Đạt assertion repeated no-result focuses same field; cancel and retry; chạy 2026-10-27; evidence/test-medication.log.</t>
        </is>
      </c>
      <c r="H47" s="7" t="inlineStr">
        <is>
          <t>Pass</t>
        </is>
      </c>
      <c r="I47" s="8" t="inlineStr">
        <is>
          <t>Task 4.16: AC5, AC6 · Chuyển trạng thái empty → search → empty → cancel · repeated no-result focuses same field; cancel and retry · evidence/test-medication.log</t>
        </is>
      </c>
    </row>
    <row r="48" ht="107" customHeight="1">
      <c r="A48" s="7" t="inlineStr">
        <is>
          <t>TC-MEDPICK-40</t>
        </is>
      </c>
      <c r="B48" s="7" t="inlineStr">
        <is>
          <t>Xóa lựa chọn khi thay ứng viên hoặc metadata</t>
        </is>
      </c>
      <c r="C48" s="8" t="inlineStr">
        <is>
          <t>Bản debug preview DrugTime; mở Thêm thuốc mới → Mẫu · Xem thử chọn và xác nhận thuốc. Test tự động dùng fixture/harness tương ứng, không ảnh OCR hoặc dữ liệu người bệnh thật.</t>
        </is>
      </c>
      <c r="D48" s="8" t="inlineStr">
        <is>
          <t>1. Trong harness panel chọn A.
2. Thay danh sách bằng cùng id nhưng strength=Mới.
3. Chọn lại, rồi thay bằng danh sách rỗng.</t>
        </is>
      </c>
      <c r="E48" s="8" t="inlineStr">
        <is>
          <t>id giữ nguyên; strength cũ → Mới → items=[]</t>
        </is>
      </c>
      <c r="F48" s="8" t="inlineStr">
        <is>
          <t>Xóa vùng xem lại/lựa chọn mỗi lần thay; không confirm object cũ, kể cả cùng ID.</t>
        </is>
      </c>
      <c r="G48" s="8" t="inlineStr">
        <is>
          <t>Đạt assertion replacement, empty and same id changed metadata clear selection; chạy 2026-10-27; evidence/test-medication.log.</t>
        </is>
      </c>
      <c r="H48" s="7" t="inlineStr">
        <is>
          <t>Pass</t>
        </is>
      </c>
      <c r="I48" s="8" t="inlineStr">
        <is>
          <t>Task 4.16: AC7 · Decision Table Cho phép xác nhận (R4) · replacement, empty and same id changed metadata clear selection · evidence/test-medication.log</t>
        </is>
      </c>
    </row>
    <row r="49" ht="107" customHeight="1">
      <c r="A49" s="7" t="inlineStr">
        <is>
          <t>TC-MEDPICK-41</t>
        </is>
      </c>
      <c r="B49" s="7" t="inlineStr">
        <is>
          <t>Bỏ lựa chọn ngay khi đổi query và bỏ phản hồi cũ</t>
        </is>
      </c>
      <c r="C49" s="8" t="inlineStr">
        <is>
          <t>Bản debug preview DrugTime; mở Thêm thuốc mới → Mẫu · Xem thử chọn và xác nhận thuốc. Test tự động dùng fixture/harness tương ứng, không ảnh OCR hoặc dữ liệu người bệnh thật.</t>
        </is>
      </c>
      <c r="D49" s="8" t="inlineStr">
        <is>
          <t>1. Tìm A và chọn current.
2. Đổi B rồi A; trả new-current trước stale.
3. Quan sát nút và vùng xem lại.</t>
        </is>
      </c>
      <c r="E49" s="8" t="inlineStr">
        <is>
          <t>A → B → A; response đảo thứ tự</t>
        </is>
      </c>
      <c r="F49" s="8" t="inlineStr">
        <is>
          <t>Không còn lựa chọn cũ; stale không phục hồi lựa chọn; phải chọn lại.</t>
        </is>
      </c>
      <c r="G49" s="8" t="inlineStr">
        <is>
          <t>Đạt assertion query change removes selection immediately; stale response cannot restore it; chạy 2026-10-27; evidence/test-medication.log.</t>
        </is>
      </c>
      <c r="H49" s="7" t="inlineStr">
        <is>
          <t>Pass</t>
        </is>
      </c>
      <c r="I49" s="8" t="inlineStr">
        <is>
          <t>Task 4.16: AC7 · Chuyển trạng thái selected → loading; đoán lỗi race · query change removes selection immediately; stale response cannot restore it · evidence/test-medication.log</t>
        </is>
      </c>
    </row>
    <row r="50" ht="107" customHeight="1">
      <c r="A50" s="7" t="inlineStr">
        <is>
          <t>TC-MEDPICK-42</t>
        </is>
      </c>
      <c r="B50" s="7" t="inlineStr">
        <is>
          <t>Hiện trung thực metadata thiếu</t>
        </is>
      </c>
      <c r="C50" s="8" t="inlineStr">
        <is>
          <t>Bản debug preview DrugTime; mở Thêm thuốc mới → Mẫu · Xem thử chọn và xác nhận thuốc. Test tự động dùng fixture/harness tương ứng, không ảnh OCR hoặc dữ liệu người bệnh thật.</t>
        </is>
      </c>
      <c r="D50" s="8" t="inlineStr">
        <is>
          <t>1. Mở Thiếu thông tin.
2. Chạm dòng; đọc từng thuộc tính và xác nhận trong harness panel.</t>
        </is>
      </c>
      <c r="E50" s="8" t="inlineStr">
        <is>
          <t>demo-missing; hoạt chất/hàm lượng/dạng/đơn vị đều rỗng</t>
        </is>
      </c>
      <c r="F50" s="8" t="inlineStr">
        <is>
          <t>Chưa có thông tin; không null/crash, không bịa 500 mg hay đơn vị viên và không quy đổi.</t>
        </is>
      </c>
      <c r="G50" s="8" t="inlineStr">
        <is>
          <t>Đạt assertion missing fields are unknown without fabricated unit or strength; chạy 2026-10-27; evidence/test-medication.log.</t>
        </is>
      </c>
      <c r="H50" s="7" t="inlineStr">
        <is>
          <t>Pass</t>
        </is>
      </c>
      <c r="I50" s="8" t="inlineStr">
        <is>
          <t>Task 4.16: AC8 · EP (2) · missing fields are unknown without fabricated unit or strength · evidence/test-medication.log</t>
        </is>
      </c>
    </row>
    <row r="51" ht="107" customHeight="1">
      <c r="A51" s="7" t="inlineStr">
        <is>
          <t>TC-MEDPICK-43</t>
        </is>
      </c>
      <c r="B51" s="7" t="inlineStr">
        <is>
          <t>Cuộn danh sách dài và xem lại ở sáu cấu hình</t>
        </is>
      </c>
      <c r="C51" s="8" t="inlineStr">
        <is>
          <t>Bản debug preview DrugTime; mở Thêm thuốc mới → Mẫu · Xem thử chọn và xác nhận thuốc. Test tự động dùng fixture/harness tương ứng, không ảnh OCR hoặc dữ liệu người bệnh thật.</t>
        </is>
      </c>
      <c r="D51" s="8" t="inlineStr">
        <is>
          <t>1. Trong harness đặt lần lượt 320×568 và 375×812, scale 1/1.5/2.
2. Mở Tên dài và danh sách dài; cuộn dòng cuối.
3. Chọn dòng 29; xem lại và xác nhận.</t>
        </is>
      </c>
      <c r="E51" s="8" t="inlineStr">
        <is>
          <t>30 ứng viên; demo-long-29</t>
        </is>
      </c>
      <c r="F51" s="8" t="inlineStr">
        <is>
          <t>Đọc/cuộn/xác nhận được; trả đúng dòng cuối, không exception layout.</t>
        </is>
      </c>
      <c r="G51" s="8" t="inlineStr">
        <is>
          <t>Đạt assertion long list/name; chạy 2026-10-27; evidence/test-medication.log.</t>
        </is>
      </c>
      <c r="H51" s="7" t="inlineStr">
        <is>
          <t>Pass</t>
        </is>
      </c>
      <c r="I51" s="8" t="inlineStr">
        <is>
          <t>Task 4.16: AC10 · BVA danh sách dài; ma trận kích thước/chữ · long list/name · evidence/test-medication.log</t>
        </is>
      </c>
    </row>
    <row r="52" ht="107" customHeight="1">
      <c r="A52" s="7" t="inlineStr">
        <is>
          <t>TC-MEDPICK-44</t>
        </is>
      </c>
      <c r="B52" s="7" t="inlineStr">
        <is>
          <t>Giữ nút và semantics khi có bàn phím</t>
        </is>
      </c>
      <c r="C52" s="8" t="inlineStr">
        <is>
          <t>Bản debug preview DrugTime; mở Thêm thuốc mới → Mẫu · Xem thử chọn và xác nhận thuốc. Test tự động dùng fixture/harness tương ứng, không ảnh OCR hoặc dữ liệu người bệnh thật.</t>
        </is>
      </c>
      <c r="D52" s="8" t="inlineStr">
        <is>
          <t>1. Trong harness mở sheet với inset 220, hai kích thước và scale 1/1.5/2.
2. Tìm tên dài; chọn dòng.
3. Kiểm nhãn selected/button/enabled và nút xác nhận.</t>
        </is>
      </c>
      <c r="E52" s="8" t="inlineStr">
        <is>
          <t>320×568/375×812; 6 tổ hợp</t>
        </is>
      </c>
      <c r="F52" s="8" t="inlineStr">
        <is>
          <t>Không overflow; nút chạm được, semantics có nhãn và trạng thái chọn/khả dụng.</t>
        </is>
      </c>
      <c r="G52" s="8" t="inlineStr">
        <is>
          <t>Đạt assertion keyboard selection and semantics; semantics labels selected state and enabled confirm; chạy 2026-10-27; evidence/test-medication.log.</t>
        </is>
      </c>
      <c r="H52" s="7" t="inlineStr">
        <is>
          <t>Pass</t>
        </is>
      </c>
      <c r="I52" s="8" t="inlineStr">
        <is>
          <t>Task 4.16: AC10 · Ma trận layout và accessibility · keyboard selection and semantics; semantics labels selected state and enabled confirm · evidence/test-medication.log</t>
        </is>
      </c>
    </row>
    <row r="53" ht="107" customHeight="1">
      <c r="A53" s="7" t="inlineStr">
        <is>
          <t>TC-MEDPICK-45</t>
        </is>
      </c>
      <c r="B53" s="7" t="inlineStr">
        <is>
          <t>Đặt ô tìm và nút xác nhận trên bàn phím modal</t>
        </is>
      </c>
      <c r="C53" s="8" t="inlineStr">
        <is>
          <t>Bản debug preview DrugTime; mở Thêm thuốc mới → Mẫu · Xem thử chọn và xác nhận thuốc. Test tự động dùng fixture/harness tương ứng, không ảnh OCR hoặc dữ liệu người bệnh thật.</t>
        </is>
      </c>
      <c r="D53" s="8" t="inlineStr">
        <is>
          <t>1. Mở helper showDrugCatalogSheet ở 320×568, scale 2, inset 220.
2. Tìm modal; chọn và xác nhận.</t>
        </is>
      </c>
      <c r="E53" s="8" t="inlineStr">
        <is>
          <t>modal-item</t>
        </is>
      </c>
      <c r="F53" s="8" t="inlineStr">
        <is>
          <t>Đáy ô tìm và nút ≤348; trả đúng modal-item, không exception.</t>
        </is>
      </c>
      <c r="G53" s="8" t="inlineStr">
        <is>
          <t>Đạt assertion modal host places query and confirm above the keyboard; chạy 2026-10-27; evidence/test-medication.log.</t>
        </is>
      </c>
      <c r="H53" s="7" t="inlineStr">
        <is>
          <t>Pass</t>
        </is>
      </c>
      <c r="I53" s="8" t="inlineStr">
        <is>
          <t>Task 4.16: AC10 · BVA viewport · modal host places query and confirm above the keyboard · evidence/test-medication.log</t>
        </is>
      </c>
    </row>
    <row r="54" ht="123.5" customHeight="1">
      <c r="A54" s="7" t="inlineStr">
        <is>
          <t>TC-MEDPICK-46</t>
        </is>
      </c>
      <c r="B54" s="7" t="inlineStr">
        <is>
          <t>Chạy bốn preset offline và không lưu thuốc</t>
        </is>
      </c>
      <c r="C54" s="8" t="inlineStr">
        <is>
          <t>Bản debug preview DrugTime; mở Thêm thuốc mới → Mẫu · Xem thử chọn và xác nhận thuốc. Test tự động dùng fixture/harness tương ứng, không ảnh OCR hoặc dữ liệu người bệnh thật.</t>
        </is>
      </c>
      <c r="D54" s="8" t="inlineStr">
        <is>
          <t>1. Trong harness chặn mọi HttpClient ngoài dự kiến; gắn spy lưu.
2. Đi hết bốn preset, gồm no-result → tìm tay → confirm.
3. Mở Thiếu thông tin và hủy.</t>
        </is>
      </c>
      <c r="E54" s="8" t="inlineStr">
        <is>
          <t>OCR/search × có/rỗng; fixture tổng hợp</t>
        </is>
      </c>
      <c r="F54" s="8" t="inlineStr">
        <is>
          <t>Không HTTP/lưu; spy add=0; kết quả chỉ ở demo; không ảnh OCR hay dữ liệu người bệnh.</t>
        </is>
      </c>
      <c r="G54" s="8" t="inlineStr">
        <is>
          <t>Đạt assertion four presets run offline; manual search and result stay in demo; chạy 2026-10-27; evidence/test-medication.log.</t>
        </is>
      </c>
      <c r="H54" s="7" t="inlineStr">
        <is>
          <t>Pass</t>
        </is>
      </c>
      <c r="I54" s="8" t="inlineStr">
        <is>
          <t>Task 4.16: AC1, AC5, AC6, AC9 · Decision Table Kết quả tìm kiếm (R1,R2); đoán lỗi side effect · four presets run offline; manual search and result stay in demo · evidence/test-medication.log</t>
        </is>
      </c>
    </row>
    <row r="55" ht="107" customHeight="1">
      <c r="A55" s="7" t="inlineStr">
        <is>
          <t>TC-MEDPICK-47</t>
        </is>
      </c>
      <c r="B55" s="7" t="inlineStr">
        <is>
          <t>Chặn route demo khi không có preview</t>
        </is>
      </c>
      <c r="C55" s="8" t="inlineStr">
        <is>
          <t>Bản debug preview DrugTime; mở Thêm thuốc mới → Mẫu · Xem thử chọn và xác nhận thuốc. Test tự động dùng fixture/harness tương ứng, không ảnh OCR hoặc dữ liệu người bệnh thật.</t>
        </is>
      </c>
      <c r="D55" s="8" t="inlineStr">
        <is>
          <t>1. Trong harness gọi /medications/selection-demo lần lượt preview=true và false.
2. Quan sát màn kết quả.</t>
        </is>
      </c>
      <c r="E55" s="8" t="inlineStr">
        <is>
          <t>Debug, preview=true/false</t>
        </is>
      </c>
      <c r="F55" s="8" t="inlineStr">
        <is>
          <t>True cho demo; false hiện Bản xem thử không khả dụng; gate còn yêu cầu kDebugMode (chưa chạy binary release).</t>
        </is>
      </c>
      <c r="G55" s="8" t="inlineStr">
        <is>
          <t>Đạt assertion demo route requires preview and debug; chạy 2026-10-27; evidence/test-medication.log.</t>
        </is>
      </c>
      <c r="H55" s="7" t="inlineStr">
        <is>
          <t>Pass</t>
        </is>
      </c>
      <c r="I55" s="8" t="inlineStr">
        <is>
          <t>Task 4.16: AC9 · Bảng quyết định preview true/false · demo route requires preview and debug · evidence/test-medication.log</t>
        </is>
      </c>
    </row>
    <row r="56" ht="107" customHeight="1">
      <c r="A56" s="7" t="inlineStr">
        <is>
          <t>TC-MEDPICK-48</t>
        </is>
      </c>
      <c r="B56" s="7" t="inlineStr">
        <is>
          <t>Giữ nguyên thuốc và thông tin sử dụng khi hủy</t>
        </is>
      </c>
      <c r="C56" s="8" t="inlineStr">
        <is>
          <t>Bản debug preview DrugTime; mở Thêm thuốc mới → Mẫu · Xem thử chọn và xác nhận thuốc. Test tự động dùng fixture/harness tương ứng, không ảnh OCR hoặc dữ liệu người bệnh thật.</t>
        </is>
      </c>
      <c r="D56" s="8" t="inlineStr">
        <is>
          <t>1. Chọn và xác nhận Amlodipin; tăng liều 2, tần suất 3 lần/ngày.
2. Mở sheet, chọn Losartan nhưng Back.
3. Mở lại và xác nhận Losartan; kiểm form.</t>
        </is>
      </c>
      <c r="E56" s="8" t="inlineStr">
        <is>
          <t>amlodipin-5 → tạm losartan-50 → hủy → xác nhận</t>
        </is>
      </c>
      <c r="F56" s="8" t="inlineStr">
        <is>
          <t>Hủy vẫn Amlodipin; chỉ confirm mới đổi Losartan; liều/giờ/tần suất giữ đúng.</t>
        </is>
      </c>
      <c r="G56" s="8" t="inlineStr">
        <is>
          <t>Đạt assertion 3.05: hủy/chọn lại giữ dữ liệu sử dụng, chưa tự lưu và đúng catalog id; chạy 2026-10-27; evidence/test-medication.log.</t>
        </is>
      </c>
      <c r="H56" s="7" t="inlineStr">
        <is>
          <t>Pass</t>
        </is>
      </c>
      <c r="I56" s="8" t="inlineStr">
        <is>
          <t>Task 4.16: AC4, AC9 · Chuyển trạng thái form → chọn tạm → hủy · 3.05: hủy/chọn lại giữ dữ liệu sử dụng, chưa tự lưu và đúng catalog id · evidence/test-medication.log</t>
        </is>
      </c>
    </row>
    <row r="57" ht="123.5" customHeight="1">
      <c r="A57" s="7" t="inlineStr">
        <is>
          <t>TC-MEDPICK-49</t>
        </is>
      </c>
      <c r="B57" s="7" t="inlineStr">
        <is>
          <t>Giữ bước Lưu và validation tại form</t>
        </is>
      </c>
      <c r="C57" s="8" t="inlineStr">
        <is>
          <t>Bản debug preview DrugTime; mở Thêm thuốc mới → Mẫu · Xem thử chọn và xác nhận thuốc. Test tự động dùng fixture/harness tương ứng, không ảnh OCR hoặc dữ liệu người bệnh thật.</t>
        </is>
      </c>
      <c r="D57" s="8" t="inlineStr">
        <is>
          <t>1. Chọn thuốc, xem lại, confirm; kiểm spy add=0.
2. Thử lưu khi chưa chọn hoặc thiếu giờ theo test form.
3. Chỉ sau nút Lưu hợp lệ kiểm payload.</t>
        </is>
      </c>
      <c r="E57" s="8" t="inlineStr">
        <is>
          <t>catalog id đúng; liều 2; 3 lần/ngày</t>
        </is>
      </c>
      <c r="F57" s="8" t="inlineStr">
        <is>
          <t>Confirm không lưu thuốc/lịch; form vẫn kiểm liều/giờ; add chỉ ở Lưu, không đổi endpoint.</t>
        </is>
      </c>
      <c r="G57" s="8" t="inlineStr">
        <is>
          <t>Đạt assertion medication_screens_test.dart: bắt chọn thuốc trước khi lưu; hủy/chọn lại giữ dữ liệu sử dụng; chạy 2026-10-27; evidence/test-medication.log.</t>
        </is>
      </c>
      <c r="H57" s="7" t="inlineStr">
        <is>
          <t>Pass</t>
        </is>
      </c>
      <c r="I57" s="8" t="inlineStr">
        <is>
          <t>Task 4.16: AC3, AC9 · Chuyển trạng thái selected → confirmed → save · medication_screens_test.dart: bắt chọn thuốc trước khi lưu; hủy/chọn lại giữ dữ liệu sử dụng · evidence/test-medication.log</t>
        </is>
      </c>
    </row>
    <row r="58" ht="123.5" customHeight="1">
      <c r="A58" s="7" t="inlineStr">
        <is>
          <t>TC-MEDPICK-50</t>
        </is>
      </c>
      <c r="B58" s="7" t="inlineStr">
        <is>
          <t>Đi hết bốn preset trên Android thật</t>
        </is>
      </c>
      <c r="C58" s="8" t="inlineStr">
        <is>
          <t>Bản debug preview DrugTime; mở Thêm thuốc mới → Mẫu · Xem thử chọn và xác nhận thuốc. Test tự động dùng fixture/harness tương ứng, không ảnh OCR hoặc dữ liệu người bệnh thật.</t>
        </is>
      </c>
      <c r="D58" s="8" t="inlineStr">
        <is>
          <t>1. Kết nối LM G710; chạy scratch/selection_device_test.dart bằng Flutter drive.
2. Chạy OCR/search có/rỗng, chọn 500→250 mg, confirm.
3. Kiểm no-result→gõ lại, Back/Hủy và thiếu thông tin.</t>
        </is>
      </c>
      <c r="E58" s="8" t="inlineStr">
        <is>
          <t>Android 13, font 1.0, bàn phím thật</t>
        </is>
      </c>
      <c r="F58" s="8" t="inlineStr">
        <is>
          <t>Mọi preset trả demo-250; bàn phím inset &gt;0; CTA ở trên bàn phím; Back/Hủy không confirm.</t>
        </is>
      </c>
      <c r="G58" s="8" t="inlineStr">
        <is>
          <t>Chạy Android 13 LM G710 thật ngày 2026-10-27: 4 preset, đổi 500→250 mg, tìm tay, bàn phím thật, Back/Hủy, metadata thiếu và dòng 29 đều đạt; evidence/test-android-normal-v5.log. Đây là tự động trên thiết bị; TC-52 vẫn cần người kiểm.</t>
        </is>
      </c>
      <c r="H58" s="7" t="inlineStr">
        <is>
          <t>Pass</t>
        </is>
      </c>
      <c r="I58" s="8" t="inlineStr">
        <is>
          <t>Task 4.16: AC10, AC11 · Thiết bị thật; tự động, chưa thay đánh giá cảm nhận bằng tay · 4.16 Android: four presets, keyboard, Back, missing and long list · evidence/test-android-normal-v5.log</t>
        </is>
      </c>
    </row>
    <row r="59" ht="189.5" customHeight="1">
      <c r="A59" s="7" t="inlineStr">
        <is>
          <t>TC-MEDPICK-51</t>
        </is>
      </c>
      <c r="B59" s="7" t="inlineStr">
        <is>
          <t>Đọc vùng xem lại ở màn nhỏ, chữ lớn khi bàn phím mở</t>
        </is>
      </c>
      <c r="C59" s="8" t="inlineStr">
        <is>
          <t>Bản debug preview DrugTime; mở Thêm thuốc mới → Mẫu · Xem thử chọn và xác nhận thuốc. Test tự động dùng fixture/harness tương ứng, không ảnh OCR hoặc dữ liệu người bệnh thật.</t>
        </is>
      </c>
      <c r="D59" s="8" t="inlineStr">
        <is>
          <t>1. Chạy harness trên LM G710, viewport 360×616 dp và font hệ thống 1.5.
2. Mở OCR · Không có kết quả → Tìm kiếm thủ công; nhập no-match rồi tìm lại Paracetamol, giữ bàn phím thật mở.
3. Cuộn và chạm thuốc 500 mg; kiểm vùng Thông tin thuốc đã chọn và đọc từng dòng metadata trước xác nhận.
4. Đo viewport so với một dòng chữ; nếu đọc được thì tiếp tục đổi/xác nhận và danh sách dài; khôi phục cấu hình trong finally.</t>
        </is>
      </c>
      <c r="E59" s="8" t="inlineStr">
        <is>
          <t>LM G710 Android 13; wm 720×1280, density 320, font 1.5</t>
        </is>
      </c>
      <c r="F59" s="8" t="inlineStr">
        <is>
          <t>Vùng xem lại cuộn và đọc được trọn ít nhất một dòng metadata (35 dp ở cấu hình này); tên/hàm lượng lựa chọn kiểm tra được trước xác nhận, CTA ở trên bàn phím. Tiếp tục đổi/xác nhận đúng thuốc và danh sách dài; khôi phục cấu hình.</t>
        </is>
      </c>
      <c r="G59" s="8" t="inlineStr">
        <is>
          <t>Android 13 LM G710: viewport 360×616 dp, font 1.5, keyboard 325.5 dp; sau tìm Paracetamol và chạm demo-500, confirm bật nhưng danh sách/vùng xem lại chỉ khoảng 21.3 dp, không đọc được trọn dòng metadata. Regression kiểm chiều cao viewport so với một dòng chữ thất bại. Normal font1.0 đạt. Chưa sửa sản phẩm.</t>
        </is>
      </c>
      <c r="H59" s="7" t="inlineStr">
        <is>
          <t>Fail</t>
        </is>
      </c>
      <c r="I59" s="8" t="inlineStr">
        <is>
          <t>Task 4.16: AC10, AC11 · BVA viewport/chữ/bàn phím thật · REGRESSION AC10/AC11 · evidence/test-android-large-regression-v2.log · BUG-MEDPICK-51 · Lỗi đã biết được người dùng chấp nhận, hoãn sửa (2026-10-28)</t>
        </is>
      </c>
    </row>
    <row r="60" ht="189.5" customHeight="1">
      <c r="A60" s="7" t="inlineStr">
        <is>
          <t>TC-MEDPICK-52</t>
        </is>
      </c>
      <c r="B60" s="7" t="inlineStr">
        <is>
          <t>Đánh giá tiếng Việt, chạm/cuộn và TalkBack bằng tay</t>
        </is>
      </c>
      <c r="C60" s="8" t="inlineStr">
        <is>
          <t>Bản debug preview DrugTime; mở Thêm thuốc mới → Mẫu · Xem thử chọn và xác nhận thuốc. Test tự động dùng fixture/harness tương ứng, không ảnh OCR hoặc dữ liệu người bệnh thật.</t>
        </is>
      </c>
      <c r="D60" s="8" t="inlineStr">
        <is>
          <t>1. Người kiểm mở app debug preview trên Android.
2. Đi hai nguồn/no-result→tìm lại, Back/Hủy; nhận xét phân biệt chọn với xác nhận.
3. Kiểm vùng chạm, cuộn, bàn phím và đọc TalkBack nếu sẵn có; ghi phần chưa kiểm.</t>
        </is>
      </c>
      <c r="E60" s="8" t="inlineStr">
        <is>
          <t>Thiết bị thật; bốn preset, chữ lớn, danh sách dài</t>
        </is>
      </c>
      <c r="F60" s="8" t="inlineStr">
        <is>
          <t>Câu chữ dễ hiểu, điều khiển truy cập được; ghi rõ kết quả TalkBack và cảm nhận thực tế.</t>
        </is>
      </c>
      <c r="G60" s="8" t="inlineStr">
        <is>
          <t>2026-10-28: Người dùng kiểm trên LM G710 và xác nhận thao tác đạt; sau đó bổ sung nguyên văn: “talkback hoạt động bình thường”. TC-52 Pass gồm câu chữ/chọn/đổi/xem lại/xác nhận, hai nguồn/no-result→tìm lại, Back/Hủy, chạm/cuộn/bàn phím và TalkBack theo xác nhận người kiểm. Agent ghi nhận kết quả người dùng, không tự nhận đã thao tác TalkBack. Không đo riêng cấu hình màn/font trong lượt kiểm tay; không thay thế regression TC-28/51.</t>
        </is>
      </c>
      <c r="H60" s="7" t="inlineStr">
        <is>
          <t>Pass</t>
        </is>
      </c>
      <c r="I60" s="8" t="inlineStr">
        <is>
          <t>Task 4.16: AC11 · manual T21/T22 · Người dùng xác nhận thao tác và TalkBack đạt ngày 2026-10-28 · evidence/test-manual-selection.log</t>
        </is>
      </c>
    </row>
    <row r="61"/>
    <row r="62"/>
    <row r="63">
      <c r="G63" s="12" t="inlineStr">
        <is>
          <t>Pass</t>
        </is>
      </c>
      <c r="H63" s="13">
        <f>COUNTIF(H9:H60,"Pass")</f>
        <v/>
      </c>
    </row>
    <row r="64">
      <c r="G64" s="12" t="inlineStr">
        <is>
          <t>Fail</t>
        </is>
      </c>
      <c r="H64" s="13">
        <f>COUNTIF(H9:H60,"Fail")</f>
        <v/>
      </c>
    </row>
    <row r="65">
      <c r="G65" s="12" t="inlineStr">
        <is>
          <t>Pending</t>
        </is>
      </c>
      <c r="H65" s="13">
        <f>COUNTIF(H9:H60,"Pending")</f>
        <v/>
      </c>
    </row>
    <row r="66">
      <c r="G66" s="12" t="inlineStr">
        <is>
          <t>Total</t>
        </is>
      </c>
      <c r="H66" s="13">
        <f>SUM(H63:H65)</f>
        <v/>
      </c>
    </row>
  </sheetData>
  <autoFilter ref="A8:I60"/>
  <conditionalFormatting sqref="H9:H60">
    <cfRule type="cellIs" priority="1" operator="equal" dxfId="0">
      <formula>"Fail"</formula>
    </cfRule>
  </conditionalFormatting>
  <dataValidations count="1">
    <dataValidation sqref="H9:H60"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Theo dõi người thân bằng QR, mã hoặc link (mobile) (LINKFOLLOW)</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TC-LINKFOLLOW-01</t>
        </is>
      </c>
      <c r="B9" s="7" t="inlineStr">
        <is>
          <t>Quét QR hợp lệ của patient và gửi yêu cầu</t>
        </is>
      </c>
      <c r="C9" s="8" t="inlineStr">
        <is>
          <t>Người thân đã đăng nhập, cấp quyền camera, đang ở màn Quét mã QR</t>
        </is>
      </c>
      <c r="D9" s="8" t="inlineStr">
        <is>
          <t>1. Tab Người thân → Theo dõi người thân → Quét mã QR
2. Đưa QR của patient vào khung</t>
        </is>
      </c>
      <c r="E9" s="8" t="inlineStr">
        <is>
          <t>drugtime://link?code=K7M2Q9XAR4</t>
        </is>
      </c>
      <c r="F9" s="8" t="inlineStr">
        <is>
          <t>App chuyển sang màn nhập mã đã điền K7M2 Q9XA R4, tự gửi đúng một yêu cầu và hiện màn "Đang chờ xác nhận"</t>
        </is>
      </c>
      <c r="G9" s="8" t="inlineStr">
        <is>
          <t>Scanner giả phát QR 5 lần: repository nhận đúng 1 request với mã K7M2Q9XAR4, hiện LinkRequestResultScreen</t>
        </is>
      </c>
      <c r="H9" s="7" t="inlineStr">
        <is>
          <t>Pass</t>
        </is>
      </c>
      <c r="I9" s="8" t="inlineStr">
        <is>
          <t>AC1, AC4, AC5 · EP (1) · scan_link_qr_screen_test: AC5</t>
        </is>
      </c>
      <c r="K9" s="9" t="inlineStr">
        <is>
          <t>Nội dung QR</t>
        </is>
      </c>
      <c r="L9" s="10" t="inlineStr">
        <is>
          <t>drugtime://link?code=&lt;10 ký tự hợp lệ&gt;</t>
        </is>
      </c>
      <c r="M9" s="10" t="inlineStr">
        <is>
          <t>1</t>
        </is>
      </c>
      <c r="N9" s="10" t="inlineStr">
        <is>
          <t>URL https (link mời)
Văn bản thường
Scheme hoặc host khác
Thiếu tham số code
code có O, I, L, 0, 1
code chữ thường
code sai độ dài</t>
        </is>
      </c>
      <c r="O9" s="10" t="inlineStr">
        <is>
          <t>9
10
11
12
13
14
15</t>
        </is>
      </c>
    </row>
    <row r="10" ht="123.5" customHeight="1">
      <c r="A10" s="7" t="inlineStr">
        <is>
          <t>TC-LINKFOLLOW-02</t>
        </is>
      </c>
      <c r="B10" s="7" t="inlineStr">
        <is>
          <t>Quét QR không phải mã liên kết DrugTime</t>
        </is>
      </c>
      <c r="C10" s="8" t="inlineStr">
        <is>
          <t>Đang ở màn Quét mã QR</t>
        </is>
      </c>
      <c r="D10" s="8" t="inlineStr">
        <is>
          <t>1. Đưa lần lượt từng QR trong Test Data vào khung</t>
        </is>
      </c>
      <c r="E10" s="8" t="inlineStr">
        <is>
          <t>https://drug-time-frontend.vercel.app/link#code=K7M2Q9XAR4; hello; drugtime://link?code=k7m2q9xar4</t>
        </is>
      </c>
      <c r="F10" s="8" t="inlineStr">
        <is>
          <t>Hiện "Đây không phải mã liên kết DrugTime."; không gửi request nào; vẫn ở màn quét</t>
        </is>
      </c>
      <c r="G10" s="8" t="inlineStr">
        <is>
          <t>Hiện đúng câu cho cả 3 QR; repository 0 lần gọi</t>
        </is>
      </c>
      <c r="H10" s="7" t="inlineStr">
        <is>
          <t>Pass</t>
        </is>
      </c>
      <c r="I10" s="8" t="inlineStr">
        <is>
          <t>AC2 · EP (2,3,7) · scan_link_qr_screen_test: AC2</t>
        </is>
      </c>
      <c r="K10" s="9" t="inlineStr">
        <is>
          <t>Mã nhập tay</t>
        </is>
      </c>
      <c r="L10" s="10" t="inlineStr">
        <is>
          <t>10 ký tự trong bảng A-H J K M N P-Z 2-9
Có khoảng trắng, gạch nối, chữ thường (được chuẩn hóa)
Dán chuỗi drugtime://link?code=
Dán link mời https://&lt;host&gt;/link#code=</t>
        </is>
      </c>
      <c r="M10" s="10" t="inlineStr">
        <is>
          <t>2
3
4
5</t>
        </is>
      </c>
      <c r="N10" s="10" t="inlineStr">
        <is>
          <t>Ít hơn 10 ký tự
Có ký tự ngoài bảng mã (0, 1, O, I, L, ký tự đặc biệt)</t>
        </is>
      </c>
      <c r="O10" s="10" t="inlineStr">
        <is>
          <t>16
17</t>
        </is>
      </c>
    </row>
    <row r="11" ht="140" customHeight="1">
      <c r="A11" s="7" t="inlineStr">
        <is>
          <t>TC-LINKFOLLOW-03</t>
        </is>
      </c>
      <c r="B11" s="7" t="inlineStr">
        <is>
          <t>Đọc nội dung QR sai định dạng contract 3.10</t>
        </is>
      </c>
      <c r="C11" s="8" t="inlineStr">
        <is>
          <t>Không</t>
        </is>
      </c>
      <c r="D11" s="8" t="inlineStr">
        <is>
          <t>1. Gọi bộ đọc QR với từng chuỗi trong Test Data</t>
        </is>
      </c>
      <c r="E11" s="8" t="inlineStr">
        <is>
          <t>otherapp://link?code=…; drugtime://invite?code=…; drugtime://link; code có 0/O/I/L/1; 9 và 11 ký tự</t>
        </is>
      </c>
      <c r="F11" s="8" t="inlineStr">
        <is>
          <t>Bộ đọc trả null cho mọi chuỗi</t>
        </is>
      </c>
      <c r="G11" s="8" t="inlineStr">
        <is>
          <t>18 chuỗi không hợp lệ đều trả null</t>
        </is>
      </c>
      <c r="H11" s="7" t="inlineStr">
        <is>
          <t>Pass</t>
        </is>
      </c>
      <c r="I11" s="8" t="inlineStr">
        <is>
          <t>AC2 · EP (4,5,6,8) · link_code_test: AC2</t>
        </is>
      </c>
      <c r="K11" s="9" t="inlineStr">
        <is>
          <t>Phản hồi của POST /family/link-requests</t>
        </is>
      </c>
      <c r="L11" s="10" t="inlineStr">
        <is>
          <t>201 pending
200 active (gửi lại)
409 link_request_pending</t>
        </is>
      </c>
      <c r="M11" s="10" t="inlineStr">
        <is>
          <t>6
7
8</t>
        </is>
      </c>
      <c r="N11" s="10" t="inlineStr">
        <is>
          <t>404 link_code_not_found
422 self_link_not_allowed
409 already_linked
200 rejected/revoked (gửi lại)
429 có Retry-After
429 thiếu Retry-After
Mất mạng / 5xx
401</t>
        </is>
      </c>
      <c r="O11" s="10" t="inlineStr">
        <is>
          <t>18
19
20
21
22
23
24
25</t>
        </is>
      </c>
    </row>
    <row r="12" ht="41" customHeight="1">
      <c r="A12" s="7" t="inlineStr">
        <is>
          <t>TC-LINKFOLLOW-04</t>
        </is>
      </c>
      <c r="B12" s="7" t="inlineStr">
        <is>
          <t>Nhập mã có chữ thường, khoảng trắng, gạch nối</t>
        </is>
      </c>
      <c r="C12" s="8" t="inlineStr">
        <is>
          <t>Đang ở màn Nhập mã liên kết</t>
        </is>
      </c>
      <c r="D12" s="8" t="inlineStr">
        <is>
          <t>1. Gõ mã trong Test Data vào ô Mã liên kết</t>
        </is>
      </c>
      <c r="E12" s="8" t="inlineStr">
        <is>
          <t>k7m2 q9xa-r4</t>
        </is>
      </c>
      <c r="F12" s="8" t="inlineStr">
        <is>
          <t>Ô hiện K7M2 Q9XA R4; nút "Gửi yêu cầu" bật; chưa gửi request</t>
        </is>
      </c>
      <c r="G12" s="8" t="inlineStr">
        <is>
          <t>Ô hiện K7M2 Q9XA R4, nút bật, repository 0 lần gọi</t>
        </is>
      </c>
      <c r="H12" s="7" t="inlineStr">
        <is>
          <t>Pass</t>
        </is>
      </c>
      <c r="I12" s="8" t="inlineStr">
        <is>
          <t>AC3 · EP (1,2) · enter_link_code_screen_test: AC3</t>
        </is>
      </c>
    </row>
    <row r="13" ht="74" customHeight="1">
      <c r="A13" s="7" t="inlineStr">
        <is>
          <t>TC-LINKFOLLOW-05</t>
        </is>
      </c>
      <c r="B13" s="7" t="inlineStr">
        <is>
          <t>Dán chuỗi QR và link mời vào ô nhập</t>
        </is>
      </c>
      <c r="C13" s="8" t="inlineStr">
        <is>
          <t>Đang ở màn Nhập mã liên kết</t>
        </is>
      </c>
      <c r="D13" s="8" t="inlineStr">
        <is>
          <t>1. Dán chuỗi QR
2. Xóa ô, dán link mời</t>
        </is>
      </c>
      <c r="E13" s="8" t="inlineStr">
        <is>
          <t>drugtime://link?code=K7M2Q9XAR4; https://drug-time-frontend.vercel.app/link#code=K7M2Q9XAR5</t>
        </is>
      </c>
      <c r="F13" s="8" t="inlineStr">
        <is>
          <t>Ô lần lượt hiện K7M2 Q9XA R4 và K7M2 Q9XA R5</t>
        </is>
      </c>
      <c r="G13" s="8" t="inlineStr">
        <is>
          <t>Ô hiện đúng hai mã</t>
        </is>
      </c>
      <c r="H13" s="7" t="inlineStr">
        <is>
          <t>Pass</t>
        </is>
      </c>
      <c r="I13" s="8" t="inlineStr">
        <is>
          <t>AC3, AC15 · EP (3,4) · enter_link_code_screen_test</t>
        </is>
      </c>
    </row>
    <row r="14" ht="41" customHeight="1">
      <c r="A14" s="7" t="inlineStr">
        <is>
          <t>TC-LINKFOLLOW-BVA-01</t>
        </is>
      </c>
      <c r="B14" s="7" t="inlineStr">
        <is>
          <t>Nhập 9 ký tự (dưới biên)</t>
        </is>
      </c>
      <c r="C14" s="8" t="inlineStr">
        <is>
          <t>Đang ở màn Nhập mã liên kết</t>
        </is>
      </c>
      <c r="D14" s="8" t="inlineStr">
        <is>
          <t>1. Gõ mã trong Test Data
2. Bấm Gửi yêu cầu</t>
        </is>
      </c>
      <c r="E14" s="8" t="inlineStr">
        <is>
          <t>K7M2Q9XAR</t>
        </is>
      </c>
      <c r="F14" s="8" t="inlineStr">
        <is>
          <t>Dưới ô hiện "Mã cần đủ 10 ký tự (còn thiếu 1)."; nút tắt; không gửi request</t>
        </is>
      </c>
      <c r="G14" s="8" t="inlineStr">
        <is>
          <t>Hiện đúng câu, nút tắt, repository 0 lần gọi</t>
        </is>
      </c>
      <c r="H14" s="7" t="inlineStr">
        <is>
          <t>Pass</t>
        </is>
      </c>
      <c r="I14" s="8" t="inlineStr">
        <is>
          <t>AC3 · BVA (min-1) · enter_link_code_screen_test</t>
        </is>
      </c>
    </row>
    <row r="15" ht="41" customHeight="1">
      <c r="A15" s="7" t="inlineStr">
        <is>
          <t>TC-LINKFOLLOW-BVA-02</t>
        </is>
      </c>
      <c r="B15" s="7" t="inlineStr">
        <is>
          <t>Nhập đúng 10 ký tự (tại biên)</t>
        </is>
      </c>
      <c r="C15" s="8" t="inlineStr">
        <is>
          <t>Đang ở màn Nhập mã liên kết</t>
        </is>
      </c>
      <c r="D15" s="8" t="inlineStr">
        <is>
          <t>1. Gõ mã trong Test Data</t>
        </is>
      </c>
      <c r="E15" s="8" t="inlineStr">
        <is>
          <t>K7M2Q9XAR4</t>
        </is>
      </c>
      <c r="F15" s="8" t="inlineStr">
        <is>
          <t>Không có lỗi dưới ô; nút bật</t>
        </is>
      </c>
      <c r="G15" s="8" t="inlineStr">
        <is>
          <t>Nút bật, không có lỗi</t>
        </is>
      </c>
      <c r="H15" s="7" t="inlineStr">
        <is>
          <t>Pass</t>
        </is>
      </c>
      <c r="I15" s="8" t="inlineStr">
        <is>
          <t>AC3 · BVA (min/max) · enter_link_code_screen_test</t>
        </is>
      </c>
    </row>
    <row r="16" ht="41" customHeight="1">
      <c r="A16" s="7" t="inlineStr">
        <is>
          <t>TC-LINKFOLLOW-BVA-03</t>
        </is>
      </c>
      <c r="B16" s="7" t="inlineStr">
        <is>
          <t>Nhập 11 ký tự (trên biên)</t>
        </is>
      </c>
      <c r="C16" s="8" t="inlineStr">
        <is>
          <t>Đang ở màn Nhập mã liên kết</t>
        </is>
      </c>
      <c r="D16" s="8" t="inlineStr">
        <is>
          <t>1. Gõ mã trong Test Data</t>
        </is>
      </c>
      <c r="E16" s="8" t="inlineStr">
        <is>
          <t>K7M2Q9XAR4K</t>
        </is>
      </c>
      <c r="F16" s="8" t="inlineStr">
        <is>
          <t>Ô chỉ giữ 10 ký tự đầu K7M2 Q9XA R4; nút bật</t>
        </is>
      </c>
      <c r="G16" s="8" t="inlineStr">
        <is>
          <t>Ô hiện K7M2 Q9XA R4, nút bật</t>
        </is>
      </c>
      <c r="H16" s="7" t="inlineStr">
        <is>
          <t>Pass</t>
        </is>
      </c>
      <c r="I16" s="8" t="inlineStr">
        <is>
          <t>AC3 · BVA (max+1) · enter_link_code_screen_test: AC3 BVA</t>
        </is>
      </c>
    </row>
    <row r="17" ht="41" customHeight="1">
      <c r="A17" s="7" t="inlineStr">
        <is>
          <t>TC-LINKFOLLOW-06</t>
        </is>
      </c>
      <c r="B17" s="7" t="inlineStr">
        <is>
          <t>Nhập mã có ký tự ngoài bảng mã</t>
        </is>
      </c>
      <c r="C17" s="8" t="inlineStr">
        <is>
          <t>Đang ở màn Nhập mã liên kết</t>
        </is>
      </c>
      <c r="D17" s="8" t="inlineStr">
        <is>
          <t>1. Gõ mã trong Test Data</t>
        </is>
      </c>
      <c r="E17" s="8" t="inlineStr">
        <is>
          <t>K7M2Q9XA01</t>
        </is>
      </c>
      <c r="F17" s="8" t="inlineStr">
        <is>
          <t>Dưới ô hiện "Mã chỉ gồm chữ và số, không có 0, O, 1, I, L."; nút tắt</t>
        </is>
      </c>
      <c r="G17" s="8" t="inlineStr">
        <is>
          <t>Hiện đúng câu, nút tắt</t>
        </is>
      </c>
      <c r="H17" s="7" t="inlineStr">
        <is>
          <t>Pass</t>
        </is>
      </c>
      <c r="I17" s="8" t="inlineStr">
        <is>
          <t>AC3 · EP (6) · enter_link_code_screen_test</t>
        </is>
      </c>
    </row>
    <row r="18" ht="57.5" customHeight="1">
      <c r="A18" s="7" t="inlineStr">
        <is>
          <t>TC-LINKFOLLOW-07</t>
        </is>
      </c>
      <c r="B18" s="7" t="inlineStr">
        <is>
          <t>Bấm Gửi liên tục khi request đầu chưa xong</t>
        </is>
      </c>
      <c r="C18" s="8" t="inlineStr">
        <is>
          <t>Đã nhập mã hợp lệ; server trả chậm</t>
        </is>
      </c>
      <c r="D18" s="8" t="inlineStr">
        <is>
          <t>1. Bấm Gửi yêu cầu 3 lần liên tiếp</t>
        </is>
      </c>
      <c r="E18" s="8" t="inlineStr">
        <is>
          <t>K7M2Q9XAR4</t>
        </is>
      </c>
      <c r="F18" s="8" t="inlineStr">
        <is>
          <t>Chỉ một request; nút tắt và có vòng xoay trong lúc chờ</t>
        </is>
      </c>
      <c r="G18" s="8" t="inlineStr">
        <is>
          <t>Repository 1 lần gọi; có chỉ báo đang gửi; nút tắt</t>
        </is>
      </c>
      <c r="H18" s="7" t="inlineStr">
        <is>
          <t>Pass</t>
        </is>
      </c>
      <c r="I18" s="8" t="inlineStr">
        <is>
          <t>AC5 · Đoán lỗi (bấm liên tục) · enter_link_code_screen_test: AC5</t>
        </is>
      </c>
    </row>
    <row r="19" ht="57.5" customHeight="1">
      <c r="A19" s="7" t="inlineStr">
        <is>
          <t>TC-LINKFOLLOW-08</t>
        </is>
      </c>
      <c r="B19" s="7" t="inlineStr">
        <is>
          <t>Gửi mã không tồn tại hoặc patient chưa bật chia sẻ</t>
        </is>
      </c>
      <c r="C19" s="8" t="inlineStr">
        <is>
          <t>Đã nhập mã hợp lệ</t>
        </is>
      </c>
      <c r="D19" s="8" t="inlineStr">
        <is>
          <t>1. Bấm Gửi yêu cầu</t>
        </is>
      </c>
      <c r="E19" s="8" t="inlineStr">
        <is>
          <t>Server trả 404 link_code_not_found</t>
        </is>
      </c>
      <c r="F19" s="8" t="inlineStr">
        <is>
          <t>Hiện "Mã không đúng, hoặc người thân chưa bật chia sẻ với gia đình."; ở lại màn; giữ mã</t>
        </is>
      </c>
      <c r="G19" s="8" t="inlineStr">
        <is>
          <t>Hiện đúng câu, vẫn ở màn nhập mã, ô vẫn K7M2 Q9XA R4</t>
        </is>
      </c>
      <c r="H19" s="7" t="inlineStr">
        <is>
          <t>Pass</t>
        </is>
      </c>
      <c r="I19" s="8" t="inlineStr">
        <is>
          <t>AC6 · EP (Phản hồi 4) · enter_link_code_screen_test: AC6</t>
        </is>
      </c>
    </row>
    <row r="20" ht="41" customHeight="1">
      <c r="A20" s="7" t="inlineStr">
        <is>
          <t>TC-LINKFOLLOW-09</t>
        </is>
      </c>
      <c r="B20" s="7" t="inlineStr">
        <is>
          <t>Gửi mã của chính mình</t>
        </is>
      </c>
      <c r="C20" s="8" t="inlineStr">
        <is>
          <t>Đã nhập mã của chính tài khoản</t>
        </is>
      </c>
      <c r="D20" s="8" t="inlineStr">
        <is>
          <t>1. Bấm Gửi yêu cầu</t>
        </is>
      </c>
      <c r="E20" s="8" t="inlineStr">
        <is>
          <t>Server trả 422 self_link_not_allowed</t>
        </is>
      </c>
      <c r="F20" s="8" t="inlineStr">
        <is>
          <t>Hiện "Đây là mã của chính bạn."; ở lại màn</t>
        </is>
      </c>
      <c r="G20" s="8" t="inlineStr">
        <is>
          <t>Hiện đúng câu</t>
        </is>
      </c>
      <c r="H20" s="7" t="inlineStr">
        <is>
          <t>Pass</t>
        </is>
      </c>
      <c r="I20" s="8" t="inlineStr">
        <is>
          <t>AC6 · EP (Phản hồi 5) · enter_link_code_screen_test: AC6</t>
        </is>
      </c>
    </row>
    <row r="21" ht="41" customHeight="1">
      <c r="A21" s="7" t="inlineStr">
        <is>
          <t>TC-LINKFOLLOW-10</t>
        </is>
      </c>
      <c r="B21" s="7" t="inlineStr">
        <is>
          <t>Gửi mã của người đã theo dõi</t>
        </is>
      </c>
      <c r="C21" s="8" t="inlineStr">
        <is>
          <t>Đã liên kết active với patient này</t>
        </is>
      </c>
      <c r="D21" s="8" t="inlineStr">
        <is>
          <t>1. Bấm Gửi yêu cầu</t>
        </is>
      </c>
      <c r="E21" s="8" t="inlineStr">
        <is>
          <t>Server trả 409 already_linked</t>
        </is>
      </c>
      <c r="F21" s="8" t="inlineStr">
        <is>
          <t>Hiện "Bạn đã theo dõi người này rồi."</t>
        </is>
      </c>
      <c r="G21" s="8" t="inlineStr">
        <is>
          <t>Hiện đúng câu</t>
        </is>
      </c>
      <c r="H21" s="7" t="inlineStr">
        <is>
          <t>Pass</t>
        </is>
      </c>
      <c r="I21" s="8" t="inlineStr">
        <is>
          <t>AC6 · EP (Phản hồi 6) · enter_link_code_screen_test: AC6</t>
        </is>
      </c>
    </row>
    <row r="22" ht="41" customHeight="1">
      <c r="A22" s="7" t="inlineStr">
        <is>
          <t>TC-LINKFOLLOW-11</t>
        </is>
      </c>
      <c r="B22" s="7" t="inlineStr">
        <is>
          <t>Gửi khi đã có yêu cầu đang chờ với patient</t>
        </is>
      </c>
      <c r="C22" s="8" t="inlineStr">
        <is>
          <t>Đã gửi yêu cầu trước đó, chưa được trả lời</t>
        </is>
      </c>
      <c r="D22" s="8" t="inlineStr">
        <is>
          <t>1. Bấm Gửi yêu cầu</t>
        </is>
      </c>
      <c r="E22" s="8" t="inlineStr">
        <is>
          <t>Server trả 409 link_request_pending</t>
        </is>
      </c>
      <c r="F22" s="8" t="inlineStr">
        <is>
          <t>Hiện màn "Đang chờ xác nhận" (không báo lỗi)</t>
        </is>
      </c>
      <c r="G22" s="8" t="inlineStr">
        <is>
          <t>Hiện màn Đang chờ xác nhận</t>
        </is>
      </c>
      <c r="H22" s="7" t="inlineStr">
        <is>
          <t>Pass</t>
        </is>
      </c>
      <c r="I22" s="8" t="inlineStr">
        <is>
          <t>AC21 · EP (Phản hồi 3) · enter_link_code_screen_test: AC21</t>
        </is>
      </c>
    </row>
    <row r="23" ht="74" customHeight="1">
      <c r="A23" s="7" t="inlineStr">
        <is>
          <t>TC-LINKFOLLOW-12</t>
        </is>
      </c>
      <c r="B23" s="7" t="inlineStr">
        <is>
          <t>Gửi lại khi yêu cầu cũ đã được chấp thuận, bị từ chối, hoặc trạng thái lạ</t>
        </is>
      </c>
      <c r="C23" s="8" t="inlineStr">
        <is>
          <t>Lần gửi trước bị mất phản hồi</t>
        </is>
      </c>
      <c r="D23" s="8" t="inlineStr">
        <is>
          <t>1. Bấm Gửi yêu cầu</t>
        </is>
      </c>
      <c r="E23" s="8" t="inlineStr">
        <is>
          <t>Server trả 200 với status active; rejected; xyz</t>
        </is>
      </c>
      <c r="F23" s="8" t="inlineStr">
        <is>
          <t>active: "Đã được chấp thuận"; rejected: "Yêu cầu này không còn hiệu lực. Bạn có thể gửi lại." và ở lại màn; xyz: màn Đang chờ xác nhận</t>
        </is>
      </c>
      <c r="G23" s="8" t="inlineStr">
        <is>
          <t>Đúng cả ba kết quả</t>
        </is>
      </c>
      <c r="H23" s="7" t="inlineStr">
        <is>
          <t>Pass</t>
        </is>
      </c>
      <c r="I23" s="8" t="inlineStr">
        <is>
          <t>AC21 · EP (Phản hồi 2,7) · enter_link_code_screen_test: AC21</t>
        </is>
      </c>
    </row>
    <row r="24" ht="57.5" customHeight="1">
      <c r="A24" s="7" t="inlineStr">
        <is>
          <t>TC-LINKFOLLOW-13</t>
        </is>
      </c>
      <c r="B24" s="7" t="inlineStr">
        <is>
          <t>Bị khóa vì nhập sai nhiều lần</t>
        </is>
      </c>
      <c r="C24" s="8" t="inlineStr">
        <is>
          <t>Đã nhập mã hợp lệ</t>
        </is>
      </c>
      <c r="D24" s="8" t="inlineStr">
        <is>
          <t>1. Bấm Gửi yêu cầu
2. Bấm Gửi lại khi đang đếm ngược
3. Chờ hết 900 giây</t>
        </is>
      </c>
      <c r="E24" s="8" t="inlineStr">
        <is>
          <t>Server trả 429 link_request_locked, Retry-After: 900</t>
        </is>
      </c>
      <c r="F24" s="8" t="inlineStr">
        <is>
          <t>Hiện "Bạn đã nhập sai mã nhiều lần. Thử lại sau 15:00.", đếm ngược mỗi giây; nút tắt; hết giờ nút bật lại và không tự gửi</t>
        </is>
      </c>
      <c r="G24" s="8" t="inlineStr">
        <is>
          <t>Hiện 15:00 rồi 14:59; bấm không gửi; sau 900 giây nút bật, repository vẫn 1 lần gọi</t>
        </is>
      </c>
      <c r="H24" s="7" t="inlineStr">
        <is>
          <t>Pass</t>
        </is>
      </c>
      <c r="I24" s="8" t="inlineStr">
        <is>
          <t>AC20 · EP (Phản hồi 8) · enter_link_code_screen_test: AC20</t>
        </is>
      </c>
    </row>
    <row r="25" ht="57.5" customHeight="1">
      <c r="A25" s="7" t="inlineStr">
        <is>
          <t>TC-LINKFOLLOW-14</t>
        </is>
      </c>
      <c r="B25" s="7" t="inlineStr">
        <is>
          <t>Bị chặn 24 giờ nhưng server không gửi Retry-After</t>
        </is>
      </c>
      <c r="C25" s="8" t="inlineStr">
        <is>
          <t>Đã nhập mã hợp lệ</t>
        </is>
      </c>
      <c r="D25" s="8" t="inlineStr">
        <is>
          <t>1. Bấm Gửi yêu cầu</t>
        </is>
      </c>
      <c r="E25" s="8" t="inlineStr">
        <is>
          <t>Server trả 429 link_request_cooldown, không có Retry-After</t>
        </is>
      </c>
      <c r="F25" s="8" t="inlineStr">
        <is>
          <t>Hiện "Người này đã từ chối nhiều lần liên tiếp." (không có thời gian); không tự gửi</t>
        </is>
      </c>
      <c r="G25" s="8" t="inlineStr">
        <is>
          <t>Hiện đúng câu không kèm thời gian</t>
        </is>
      </c>
      <c r="H25" s="7" t="inlineStr">
        <is>
          <t>Pass</t>
        </is>
      </c>
      <c r="I25" s="8" t="inlineStr">
        <is>
          <t>AC20 · EP (Phản hồi 9) · enter_link_code_screen_test: AC20</t>
        </is>
      </c>
    </row>
    <row r="26" ht="74" customHeight="1">
      <c r="A26" s="7" t="inlineStr">
        <is>
          <t>TC-LINKFOLLOW-15</t>
        </is>
      </c>
      <c r="B26" s="7" t="inlineStr">
        <is>
          <t>Mất mạng khi gửi rồi bấm Thử lại</t>
        </is>
      </c>
      <c r="C26" s="8" t="inlineStr">
        <is>
          <t>Đã nhập mã hợp lệ; mất mạng</t>
        </is>
      </c>
      <c r="D26" s="8" t="inlineStr">
        <is>
          <t>1. Bấm Gửi yêu cầu
2. Bấm Thử lại
3. Sửa mã thành K7M2Q9XAR5 rồi bấm Gửi</t>
        </is>
      </c>
      <c r="E26" s="8" t="inlineStr">
        <is>
          <t>Lỗi mạng ở cả 3 lần</t>
        </is>
      </c>
      <c r="F26" s="8" t="inlineStr">
        <is>
          <t>Hiện "Không kết nối được, thử lại.", nút đổi thành Thử lại; lần 2 dùng cùng client_uuid; lần 3 dùng client_uuid mới; không tự gửi lại trong nền</t>
        </is>
      </c>
      <c r="G26" s="8" t="inlineStr">
        <is>
          <t>client_uuid lần 1 = lần 2, lần 3 khác; sau 1 phút vẫn 3 request</t>
        </is>
      </c>
      <c r="H26" s="7" t="inlineStr">
        <is>
          <t>Pass</t>
        </is>
      </c>
      <c r="I26" s="8" t="inlineStr">
        <is>
          <t>AC7 · EP (Phản hồi 10) · Đoán lỗi (mất mạng) · enter_link_code_screen_test: AC7</t>
        </is>
      </c>
    </row>
    <row r="27" ht="74" customHeight="1">
      <c r="A27" s="7" t="inlineStr">
        <is>
          <t>TC-LINKFOLLOW-16</t>
        </is>
      </c>
      <c r="B27" s="7" t="inlineStr">
        <is>
          <t>Phiên hết hạn khi gửi yêu cầu</t>
        </is>
      </c>
      <c r="C27" s="8" t="inlineStr">
        <is>
          <t>Token đã hết hạn</t>
        </is>
      </c>
      <c r="D27" s="8" t="inlineStr">
        <is>
          <t>1. Bấm Gửi yêu cầu</t>
        </is>
      </c>
      <c r="E27" s="8" t="inlineStr">
        <is>
          <t>Server trả 401</t>
        </is>
      </c>
      <c r="F27" s="8" t="inlineStr">
        <is>
          <t>App về màn Đăng nhập (onUnauthorized); không hiện lỗi về mã</t>
        </is>
      </c>
      <c r="G27" s="8" t="inlineStr">
        <is>
          <t>onUnauthorized được gọi 1 lần; controller không có lỗi hiển thị</t>
        </is>
      </c>
      <c r="H27" s="7" t="inlineStr">
        <is>
          <t>Pass</t>
        </is>
      </c>
      <c r="I27" s="8" t="inlineStr">
        <is>
          <t>AC8 · EP (Phản hồi 11) · remote_family_link_repository_test, link_request_controller_test: AC8</t>
        </is>
      </c>
    </row>
    <row r="28" ht="74" customHeight="1">
      <c r="A28" s="7" t="inlineStr">
        <is>
          <t>TC-LINKFOLLOW-17</t>
        </is>
      </c>
      <c r="B28" s="7" t="inlineStr">
        <is>
          <t>Gửi request đúng contract 3.13</t>
        </is>
      </c>
      <c r="C28" s="8" t="inlineStr">
        <is>
          <t>HTTP server giả</t>
        </is>
      </c>
      <c r="D28" s="8" t="inlineStr">
        <is>
          <t>1. Gửi mã K7M2Q9XAR4 qua repository Remote</t>
        </is>
      </c>
      <c r="E28" s="8" t="inlineStr">
        <is>
          <t>client_uuid 9b2e4c71-5d3a-4f8e-a1c6-7e0d2b9f4a58</t>
        </is>
      </c>
      <c r="F28" s="8" t="inlineStr">
        <is>
          <t>POST /family/link-requests, body đúng {client_uuid, code}, header Authorization: Bearer; mọi cặp mã trạng thái/detail được ánh xạ; detail lạ → không xác định</t>
        </is>
      </c>
      <c r="G28" s="8" t="inlineStr">
        <is>
          <t>9/9 test của repository Remote pass</t>
        </is>
      </c>
      <c r="H28" s="7" t="inlineStr">
        <is>
          <t>Pass</t>
        </is>
      </c>
      <c r="I28" s="8" t="inlineStr">
        <is>
          <t>AC9 · remote_family_link_repository_test</t>
        </is>
      </c>
    </row>
    <row r="29" ht="41" customHeight="1">
      <c r="A29" s="7" t="inlineStr">
        <is>
          <t>TC-LINKFOLLOW-18</t>
        </is>
      </c>
      <c r="B29" s="7" t="inlineStr">
        <is>
          <t>Từ chối quyền camera</t>
        </is>
      </c>
      <c r="C29" s="8" t="inlineStr">
        <is>
          <t>Quyền camera ở trạng thái bị từ chối</t>
        </is>
      </c>
      <c r="D29" s="8" t="inlineStr">
        <is>
          <t>1. Mở màn Quét mã QR
2. Bấm Cho phép camera sau khi bật quyền</t>
        </is>
      </c>
      <c r="E29" s="8" t="inlineStr">
        <is>
          <t>(không có)</t>
        </is>
      </c>
      <c r="F29" s="8" t="inlineStr">
        <is>
          <t>Không crash; hiện "Chưa có quyền dùng camera", nút Nhập mã; xin lại được</t>
        </is>
      </c>
      <c r="G29" s="8" t="inlineStr">
        <is>
          <t>Hiện giải thích và nút Nhập mã; sau khi cấp quyền camera hiện</t>
        </is>
      </c>
      <c r="H29" s="7" t="inlineStr">
        <is>
          <t>Pass</t>
        </is>
      </c>
      <c r="I29" s="8" t="inlineStr">
        <is>
          <t>AC10 · Đoán lỗi · scan_link_qr_screen_test: AC10</t>
        </is>
      </c>
    </row>
    <row r="30" ht="57.5" customHeight="1">
      <c r="A30" s="7" t="inlineStr">
        <is>
          <t>TC-LINKFOLLOW-19</t>
        </is>
      </c>
      <c r="B30" s="7" t="inlineStr">
        <is>
          <t>Quyền camera bị từ chối vĩnh viễn</t>
        </is>
      </c>
      <c r="C30" s="8" t="inlineStr">
        <is>
          <t>Quyền camera bị từ chối vĩnh viễn</t>
        </is>
      </c>
      <c r="D30" s="8" t="inlineStr">
        <is>
          <t>1. Mở màn Quét mã QR
2. Bấm Mở Cài đặt
3. Bấm Nhập mã</t>
        </is>
      </c>
      <c r="E30" s="8" t="inlineStr">
        <is>
          <t>(không có)</t>
        </is>
      </c>
      <c r="F30" s="8" t="inlineStr">
        <is>
          <t>Có nút Mở Cài đặt mở trang cài đặt app; Nhập mã mở màn nhập mã</t>
        </is>
      </c>
      <c r="G30" s="8" t="inlineStr">
        <is>
          <t>openSettings được gọi 1 lần; mở màn nhập mã</t>
        </is>
      </c>
      <c r="H30" s="7" t="inlineStr">
        <is>
          <t>Pass</t>
        </is>
      </c>
      <c r="I30" s="8" t="inlineStr">
        <is>
          <t>AC10 · scan_link_qr_screen_test: AC10</t>
        </is>
      </c>
    </row>
    <row r="31" ht="74" customHeight="1">
      <c r="A31" s="7" t="inlineStr">
        <is>
          <t>TC-LINKFOLLOW-20</t>
        </is>
      </c>
      <c r="B31" s="7" t="inlineStr">
        <is>
          <t>Chọn cách theo dõi người thân từ tab Người thân</t>
        </is>
      </c>
      <c r="C31" s="8" t="inlineStr">
        <is>
          <t>Đã đăng nhập</t>
        </is>
      </c>
      <c r="D31" s="8" t="inlineStr">
        <is>
          <t>1. Mở tab Người thân
2. Bấm Theo dõi người thân
3. Chọn Quét mã QR / Nhập mã
4. Từ màn quét bấm Nhập mã</t>
        </is>
      </c>
      <c r="E31" s="8" t="inlineStr">
        <is>
          <t>(không có)</t>
        </is>
      </c>
      <c r="F31" s="8" t="inlineStr">
        <is>
          <t>Sheet có hai lựa chọn; mỗi lựa chọn mở đúng màn; từ màn quét sang được màn nhập mã</t>
        </is>
      </c>
      <c r="G31" s="8" t="inlineStr">
        <is>
          <t>Đúng cả ba</t>
        </is>
      </c>
      <c r="H31" s="7" t="inlineStr">
        <is>
          <t>Pass</t>
        </is>
      </c>
      <c r="I31" s="8" t="inlineStr">
        <is>
          <t>AC11 · family_tab_screen_test, scan_link_qr_screen_test: AC11</t>
        </is>
      </c>
    </row>
    <row r="32" ht="41" customHeight="1">
      <c r="A32" s="7" t="inlineStr">
        <is>
          <t>TC-LINKFOLLOW-21</t>
        </is>
      </c>
      <c r="B32" s="7" t="inlineStr">
        <is>
          <t>Mở link mời khi đã đăng nhập</t>
        </is>
      </c>
      <c r="C32" s="8" t="inlineStr">
        <is>
          <t>Đã đăng nhập, app đang ở Trang chủ</t>
        </is>
      </c>
      <c r="D32" s="8" t="inlineStr">
        <is>
          <t>1. Mở link mời từ bên ngoài app</t>
        </is>
      </c>
      <c r="E32" s="8" t="inlineStr">
        <is>
          <t>https://drug-time-frontend.vercel.app/link#code=K7M2Q9XAR4</t>
        </is>
      </c>
      <c r="F32" s="8" t="inlineStr">
        <is>
          <t>App mở màn Nhập mã đã điền K7M2 Q9XA R4; chưa gửi cho tới khi bấm Gửi</t>
        </is>
      </c>
      <c r="G32" s="8" t="inlineStr">
        <is>
          <t>Màn nhập mã điền sẵn, repository 0 lần; bấm Gửi thì 1 lần</t>
        </is>
      </c>
      <c r="H32" s="7" t="inlineStr">
        <is>
          <t>Pass</t>
        </is>
      </c>
      <c r="I32" s="8" t="inlineStr">
        <is>
          <t>AC16 · invite_link_flow_test</t>
        </is>
      </c>
    </row>
    <row r="33" ht="41" customHeight="1">
      <c r="A33" s="7" t="inlineStr">
        <is>
          <t>TC-LINKFOLLOW-22</t>
        </is>
      </c>
      <c r="B33" s="7" t="inlineStr">
        <is>
          <t>Mở link mời khi chưa đăng nhập</t>
        </is>
      </c>
      <c r="C33" s="8" t="inlineStr">
        <is>
          <t>Chưa đăng nhập, đang ở màn nhập OTP</t>
        </is>
      </c>
      <c r="D33" s="8" t="inlineStr">
        <is>
          <t>1. Mở link mời
2. Nhập OTP 123456</t>
        </is>
      </c>
      <c r="E33" s="8" t="inlineStr">
        <is>
          <t>https://drug-time-frontend.vercel.app/link#code=K7M2Q9XAR4</t>
        </is>
      </c>
      <c r="F33" s="8" t="inlineStr">
        <is>
          <t>Link chờ tới khi đăng nhập xong; sau đó mở màn nhập mã đúng mã, chưa gửi</t>
        </is>
      </c>
      <c r="G33" s="8" t="inlineStr">
        <is>
          <t>Sau OTP hiện màn nhập mã K7M2 Q9XA R4, repository 0 lần</t>
        </is>
      </c>
      <c r="H33" s="7" t="inlineStr">
        <is>
          <t>Pass</t>
        </is>
      </c>
      <c r="I33" s="8" t="inlineStr">
        <is>
          <t>AC16 · invite_link_flow_test</t>
        </is>
      </c>
    </row>
    <row r="34" ht="41" customHeight="1">
      <c r="A34" s="7" t="inlineStr">
        <is>
          <t>TC-LINKFOLLOW-23</t>
        </is>
      </c>
      <c r="B34" s="7" t="inlineStr">
        <is>
          <t>Mở link mời sai định dạng</t>
        </is>
      </c>
      <c r="C34" s="8" t="inlineStr">
        <is>
          <t>Đã đăng nhập</t>
        </is>
      </c>
      <c r="D34" s="8" t="inlineStr">
        <is>
          <t>1. Mở link mời trong Test Data</t>
        </is>
      </c>
      <c r="E34" s="8" t="inlineStr">
        <is>
          <t>https://drug-time-frontend.vercel.app/link#code=K7M2Q9XAR0</t>
        </is>
      </c>
      <c r="F34" s="8" t="inlineStr">
        <is>
          <t>Màn nhập mã trống kèm "Link mời không hợp lệ."</t>
        </is>
      </c>
      <c r="G34" s="8" t="inlineStr">
        <is>
          <t>Hiện đúng câu, ô trống</t>
        </is>
      </c>
      <c r="H34" s="7" t="inlineStr">
        <is>
          <t>Pass</t>
        </is>
      </c>
      <c r="I34" s="8" t="inlineStr">
        <is>
          <t>AC15, AC16 · invite_link_flow_test, link_code_test: AC15</t>
        </is>
      </c>
    </row>
    <row r="35" ht="57.5" customHeight="1">
      <c r="A35" s="7" t="inlineStr">
        <is>
          <t>TC-LINKFOLLOW-24</t>
        </is>
      </c>
      <c r="B35" s="7" t="inlineStr">
        <is>
          <t>Không lưu mã liên kết xuống máy hay log</t>
        </is>
      </c>
      <c r="C35" s="8" t="inlineStr">
        <is>
          <t>Đã nhập mã hợp lệ</t>
        </is>
      </c>
      <c r="D35" s="8" t="inlineStr">
        <is>
          <t>1. Bấm Gửi (lỗi mạng)
2. Bấm Thử lại
3. Rà code tìm print/debugPrint/log và storage</t>
        </is>
      </c>
      <c r="E35" s="8" t="inlineStr">
        <is>
          <t>K7M2Q9XAR4</t>
        </is>
      </c>
      <c r="F35" s="8" t="inlineStr">
        <is>
          <t>Không có lời gọi secure storage hay SQLite; không có lệnh log nào in mã</t>
        </is>
      </c>
      <c r="G35" s="8" t="inlineStr">
        <is>
          <t>0 lời gọi kênh flutter_secure_storage/sqflite; grep sạch</t>
        </is>
      </c>
      <c r="H35" s="7" t="inlineStr">
        <is>
          <t>Pass</t>
        </is>
      </c>
      <c r="I35" s="8" t="inlineStr">
        <is>
          <t>AC13 · Bảo mật · enter_link_code_screen_test: AC13 · evidence/implement-ac13-grep.log</t>
        </is>
      </c>
    </row>
    <row r="36" ht="74" customHeight="1">
      <c r="A36" s="7" t="inlineStr">
        <is>
          <t>TC-LINKFOLLOW-25</t>
        </is>
      </c>
      <c r="B36" s="7" t="inlineStr">
        <is>
          <t>Quét QR thật trên Android và kiểm DB</t>
        </is>
      </c>
      <c r="C36" s="8" t="inlineStr">
        <is>
          <t>Thiết bị Android thật; backend main chạy local; patient đã đồng ý family_sharing và đang hiện QR</t>
        </is>
      </c>
      <c r="D36" s="8" t="inlineStr">
        <is>
          <t>1. Người thân quét QR của patient
2. Kiểm caregiver_links trong DB
3. Quét lại cùng QR</t>
        </is>
      </c>
      <c r="E36" s="8" t="inlineStr">
        <is>
          <t>QR từ màn Mã liên kết của tôi</t>
        </is>
      </c>
      <c r="F36" s="8" t="inlineStr">
        <is>
          <t>Hiện màn chờ; DB có 1 dòng caregiver_links pending cho đúng cặp; lần quét 2 vẫn hiện màn chờ và DB không thêm dòng</t>
        </is>
      </c>
      <c r="G36" s="8" t="inlineStr"/>
      <c r="H36" s="7" t="inlineStr">
        <is>
          <t>Pending</t>
        </is>
      </c>
      <c r="I36" s="8" t="inlineStr">
        <is>
          <t>AC12 · manual (cần camera, thiết bị, backend)</t>
        </is>
      </c>
    </row>
    <row r="37" ht="41" customHeight="1">
      <c r="A37" s="7" t="inlineStr">
        <is>
          <t>TC-LINKFOLLOW-26</t>
        </is>
      </c>
      <c r="B37" s="7" t="inlineStr">
        <is>
          <t>Bật tắt đèn flash khi quét</t>
        </is>
      </c>
      <c r="C37" s="8" t="inlineStr">
        <is>
          <t>Thiết bị có đèn flash, đang ở màn quét</t>
        </is>
      </c>
      <c r="D37" s="8" t="inlineStr">
        <is>
          <t>1. Bấm nút đèn
2. Bấm lại</t>
        </is>
      </c>
      <c r="E37" s="8" t="inlineStr">
        <is>
          <t>(không có)</t>
        </is>
      </c>
      <c r="F37" s="8" t="inlineStr">
        <is>
          <t>Đèn bật rồi tắt; icon đổi tương ứng</t>
        </is>
      </c>
      <c r="G37" s="8" t="inlineStr"/>
      <c r="H37" s="7" t="inlineStr">
        <is>
          <t>Pending</t>
        </is>
      </c>
      <c r="I37" s="8" t="inlineStr">
        <is>
          <t>AC12 · manual</t>
        </is>
      </c>
    </row>
    <row r="38" ht="74" customHeight="1">
      <c r="A38" s="7" t="inlineStr">
        <is>
          <t>TC-LINKFOLLOW-27</t>
        </is>
      </c>
      <c r="B38" s="7" t="inlineStr">
        <is>
          <t>Từ chối quyền camera trên máy thật</t>
        </is>
      </c>
      <c r="C38" s="8" t="inlineStr">
        <is>
          <t>App mới cài trên Android thật</t>
        </is>
      </c>
      <c r="D38" s="8" t="inlineStr">
        <is>
          <t>1. Mở màn quét, chọn Không cho phép
2. Mở lại, chọn Không cho phép và không hỏi lại
3. Bấm Mở Cài đặt</t>
        </is>
      </c>
      <c r="E38" s="8" t="inlineStr">
        <is>
          <t>(không có)</t>
        </is>
      </c>
      <c r="F38" s="8" t="inlineStr">
        <is>
          <t>Không crash; lần 2 có nút Mở Cài đặt mở đúng trang cài đặt DrugTime</t>
        </is>
      </c>
      <c r="G38" s="8" t="inlineStr"/>
      <c r="H38" s="7" t="inlineStr">
        <is>
          <t>Pending</t>
        </is>
      </c>
      <c r="I38" s="8" t="inlineStr">
        <is>
          <t>AC10 · manual</t>
        </is>
      </c>
    </row>
    <row r="39" ht="57.5" customHeight="1">
      <c r="A39" s="7" t="inlineStr">
        <is>
          <t>TC-LINKFOLLOW-28</t>
        </is>
      </c>
      <c r="B39" s="7" t="inlineStr">
        <is>
          <t>App bị ẩn rồi hiện lại khi hộp thoại xin quyền camera còn mở</t>
        </is>
      </c>
      <c r="C39" s="8" t="inlineStr">
        <is>
          <t>Mở màn Quét mã QR lần đầu, hộp thoại xin quyền camera đang hiện</t>
        </is>
      </c>
      <c r="D39" s="8" t="inlineStr">
        <is>
          <t>1. App chuyển inactive rồi resumed (hộp thoại che màn hình)
2. Chọn Cho phép trong hộp thoại</t>
        </is>
      </c>
      <c r="E39" s="8" t="inlineStr">
        <is>
          <t>(không có)</t>
        </is>
      </c>
      <c r="F39" s="8" t="inlineStr">
        <is>
          <t>Chỉ có đúng một yêu cầu xin quyền; sau khi cho phép thì camera hiện</t>
        </is>
      </c>
      <c r="G39" s="8" t="inlineStr">
        <is>
          <t>Số lần xin quyền giữ ở 1 sau resumed và sau khi trả kết quả; scanner hiện</t>
        </is>
      </c>
      <c r="H39" s="7" t="inlineStr">
        <is>
          <t>Pass</t>
        </is>
      </c>
      <c r="I39" s="8" t="inlineStr">
        <is>
          <t>AC10 · Đoán lỗi (review M1) · scan_link_qr_screen_test: AC10 (M1) resumed</t>
        </is>
      </c>
    </row>
    <row r="40" ht="57.5" customHeight="1">
      <c r="A40" s="7" t="inlineStr">
        <is>
          <t>TC-LINKFOLLOW-29</t>
        </is>
      </c>
      <c r="B40" s="7" t="inlineStr">
        <is>
          <t>Xin quyền camera bị lỗi nền tảng</t>
        </is>
      </c>
      <c r="C40" s="8" t="inlineStr">
        <is>
          <t>Plugin quyền ném lỗi khi xin quyền</t>
        </is>
      </c>
      <c r="D40" s="8" t="inlineStr">
        <is>
          <t>1. Mở màn Quét mã QR</t>
        </is>
      </c>
      <c r="E40" s="8" t="inlineStr">
        <is>
          <t>PlatformException ERROR_ALREADY_REQUESTING_PERMISSIONS</t>
        </is>
      </c>
      <c r="F40" s="8" t="inlineStr">
        <is>
          <t>Không kẹt ở vòng xoay; hiện "Chưa có quyền dùng camera" và nút Nhập mã</t>
        </is>
      </c>
      <c r="G40" s="8" t="inlineStr">
        <is>
          <t>Không còn vòng xoay; hiện giải thích và nút Nhập mã</t>
        </is>
      </c>
      <c r="H40" s="7" t="inlineStr">
        <is>
          <t>Pass</t>
        </is>
      </c>
      <c r="I40" s="8" t="inlineStr">
        <is>
          <t>AC10 · Đoán lỗi (review M1) · scan_link_qr_screen_test: AC10 (M1) lỗi nền tảng</t>
        </is>
      </c>
    </row>
    <row r="41" ht="57.5" customHeight="1">
      <c r="A41" s="7" t="inlineStr">
        <is>
          <t>TC-LINKFOLLOW-30</t>
        </is>
      </c>
      <c r="B41" s="7" t="inlineStr">
        <is>
          <t>Chỉ kiểm lại quyền camera khi quay về từ Cài đặt</t>
        </is>
      </c>
      <c r="C41" s="8" t="inlineStr">
        <is>
          <t>Quyền camera bị từ chối vĩnh viễn, đang ở màn quét</t>
        </is>
      </c>
      <c r="D41" s="8" t="inlineStr">
        <is>
          <t>1. Ẩn rồi hiện lại app mà không bấm Mở Cài đặt
2. Bấm Mở Cài đặt, bật quyền camera, quay lại app</t>
        </is>
      </c>
      <c r="E41" s="8" t="inlineStr">
        <is>
          <t>(không có)</t>
        </is>
      </c>
      <c r="F41" s="8" t="inlineStr">
        <is>
          <t>Bước 1 không xin quyền thêm; bước 2 kiểm lại quyền đúng một lần và camera hiện</t>
        </is>
      </c>
      <c r="G41" s="8" t="inlineStr">
        <is>
          <t>Bước 1 số lần xin quyền vẫn 1; bước 2 thành 2 và scanner hiện</t>
        </is>
      </c>
      <c r="H41" s="7" t="inlineStr">
        <is>
          <t>Pass</t>
        </is>
      </c>
      <c r="I41" s="8" t="inlineStr">
        <is>
          <t>AC10 · Đoán lỗi (review M1) · scan_link_qr_screen_test: AC10 (M1) Cài đặt</t>
        </is>
      </c>
    </row>
    <row r="42" ht="74" customHeight="1">
      <c r="A42" s="7" t="inlineStr">
        <is>
          <t>TC-LINKFOLLOW-31</t>
        </is>
      </c>
      <c r="B42" s="7" t="inlineStr">
        <is>
          <t>Sửa mã khi đang bị khóa vì nhập sai hoặc đủ yêu cầu trong ngày</t>
        </is>
      </c>
      <c r="C42" s="8" t="inlineStr">
        <is>
          <t>Đã gửi K7M2Q9XAR4 và bị khóa</t>
        </is>
      </c>
      <c r="D42" s="8" t="inlineStr">
        <is>
          <t>1. Sửa mã thành K7M2Q9XAR5
2. Chờ hết thời gian khóa</t>
        </is>
      </c>
      <c r="E42" s="8" t="inlineStr">
        <is>
          <t>Server trả 429 link_request_locked, Retry-After: 900; 429 link_request_daily_limit, Retry-After: 60</t>
        </is>
      </c>
      <c r="F42" s="8" t="inlineStr">
        <is>
          <t>Câu báo và thời gian chờ vẫn hiện, nút Gửi vẫn tắt; hết giờ nút bật lại, không tự gửi</t>
        </is>
      </c>
      <c r="G42" s="8" t="inlineStr">
        <is>
          <t>Vẫn hiện "Bạn đã nhập sai mã nhiều lần. Thử lại sau 15:00.", nút tắt; daily_limit giữ 60 giây rồi mở lại, repository 1 lần gọi</t>
        </is>
      </c>
      <c r="H42" s="7" t="inlineStr">
        <is>
          <t>Pass</t>
        </is>
      </c>
      <c r="I42" s="8" t="inlineStr">
        <is>
          <t>AC20 · Đoán lỗi (review M2) · enter_link_code_screen_test: AC20 (M2); link_request_controller_test: AC20 (M2) daily_limit</t>
        </is>
      </c>
    </row>
    <row r="43" ht="57.5" customHeight="1">
      <c r="A43" s="7" t="inlineStr">
        <is>
          <t>TC-LINKFOLLOW-32</t>
        </is>
      </c>
      <c r="B43" s="7" t="inlineStr">
        <is>
          <t>Sửa sang mã khác khi bị chặn vì patient cũ từ chối nhiều lần</t>
        </is>
      </c>
      <c r="C43" s="8" t="inlineStr">
        <is>
          <t>Đã gửi K7M2Q9XAR4 và bị chặn</t>
        </is>
      </c>
      <c r="D43" s="8" t="inlineStr">
        <is>
          <t>1. Sửa mã thành K7M2Q9XAR5</t>
        </is>
      </c>
      <c r="E43" s="8" t="inlineStr">
        <is>
          <t>Server trả 429 link_request_cooldown, Retry-After: 86400</t>
        </is>
      </c>
      <c r="F43" s="8" t="inlineStr">
        <is>
          <t>Câu báo và đếm ngược biến mất; nút Gửi bật (chặn chỉ áp cho patient cũ)</t>
        </is>
      </c>
      <c r="G43" s="8" t="inlineStr">
        <is>
          <t>Không còn lỗi, không còn đếm ngược, nút bật</t>
        </is>
      </c>
      <c r="H43" s="7" t="inlineStr">
        <is>
          <t>Pass</t>
        </is>
      </c>
      <c r="I43" s="8" t="inlineStr">
        <is>
          <t>AC20 · Đoán lỗi (review M2) · link_request_controller_test: AC20 (M2) cooldown</t>
        </is>
      </c>
    </row>
    <row r="44"/>
    <row r="45"/>
    <row r="46">
      <c r="G46" s="12" t="inlineStr">
        <is>
          <t>Pass</t>
        </is>
      </c>
      <c r="H46" s="13">
        <f>COUNTIF(H9:H43,"Pass")</f>
        <v/>
      </c>
    </row>
    <row r="47">
      <c r="G47" s="12" t="inlineStr">
        <is>
          <t>Fail</t>
        </is>
      </c>
      <c r="H47" s="13">
        <f>COUNTIF(H9:H43,"Fail")</f>
        <v/>
      </c>
    </row>
    <row r="48">
      <c r="G48" s="12" t="inlineStr">
        <is>
          <t>Pending</t>
        </is>
      </c>
      <c r="H48" s="13">
        <f>COUNTIF(H9:H43,"Pending")</f>
        <v/>
      </c>
    </row>
    <row r="49">
      <c r="G49" s="12" t="inlineStr">
        <is>
          <t>Total</t>
        </is>
      </c>
      <c r="H49" s="13">
        <f>SUM(H46:H48)</f>
        <v/>
      </c>
    </row>
  </sheetData>
  <autoFilter ref="A8:I43"/>
  <conditionalFormatting sqref="H9:H43">
    <cfRule type="cellIs" priority="1" operator="equal" dxfId="0">
      <formula>"Fail"</formula>
    </cfRule>
  </conditionalFormatting>
  <dataValidations count="1">
    <dataValidation sqref="H9:H43"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Gửi và mở link mời người thân (INVITELINK)</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c r="Q7" s="4" t="inlineStr">
        <is>
          <t>Màn Gửi link mời</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TC-INVITELINK-01</t>
        </is>
      </c>
      <c r="B9" s="7" t="inlineStr">
        <is>
          <t>Mở Gửi link mời và xem link</t>
        </is>
      </c>
      <c r="C9" s="8" t="inlineStr">
        <is>
          <t>Đã đăng nhập, đã đồng ý family_sharing, mã của tài khoản là K7M2Q9XAR4</t>
        </is>
      </c>
      <c r="D9" s="8" t="inlineStr">
        <is>
          <t>1. Tab Người thân → Gửi link mời</t>
        </is>
      </c>
      <c r="E9" s="8" t="inlineStr">
        <is>
          <t>Mã K7M2Q9XAR4</t>
        </is>
      </c>
      <c r="F9" s="8" t="inlineStr">
        <is>
          <t>Hiện https://drug-time-frontend.vercel.app/link#code=K7M2Q9XAR4; không có cảnh báo</t>
        </is>
      </c>
      <c r="G9" s="8" t="inlineStr">
        <is>
          <t>Hiện đúng link; không có cảnh báo</t>
        </is>
      </c>
      <c r="H9" s="7" t="inlineStr">
        <is>
          <t>Pass</t>
        </is>
      </c>
      <c r="I9" s="8" t="inlineStr">
        <is>
          <t>AC22, AC23 · Decision Table (R1) · share_invite_link_screen_test</t>
        </is>
      </c>
      <c r="K9" s="9" t="inlineStr">
        <is>
          <t>Phần #code của link</t>
        </is>
      </c>
      <c r="L9" s="10" t="inlineStr">
        <is>
          <t>#code=&lt;10 ký tự hợp lệ&gt;</t>
        </is>
      </c>
      <c r="M9" s="10" t="inlineStr">
        <is>
          <t>1</t>
        </is>
      </c>
      <c r="N9" s="10" t="inlineStr">
        <is>
          <t>Thiếu #
Thiếu code hoặc code rỗng
Chữ thường
Có 0/O
Sai độ dài
Chứa ký tự HTML</t>
        </is>
      </c>
      <c r="O9" s="10" t="inlineStr">
        <is>
          <t>2
3
4
5
6
7</t>
        </is>
      </c>
      <c r="Q9" s="10" t="inlineStr">
        <is>
          <t>Tải được mã?</t>
        </is>
      </c>
      <c r="R9" s="11" t="inlineStr">
        <is>
          <t>Yes</t>
        </is>
      </c>
      <c r="S9" s="11" t="inlineStr">
        <is>
          <t>Yes</t>
        </is>
      </c>
      <c r="T9" s="11" t="inlineStr">
        <is>
          <t>No</t>
        </is>
      </c>
    </row>
    <row r="10" ht="41" customHeight="1">
      <c r="A10" s="7" t="inlineStr">
        <is>
          <t>TC-INVITELINK-02</t>
        </is>
      </c>
      <c r="B10" s="7" t="inlineStr">
        <is>
          <t>Chia sẻ link mời</t>
        </is>
      </c>
      <c r="C10" s="8" t="inlineStr">
        <is>
          <t>Đang ở màn Gửi link mời</t>
        </is>
      </c>
      <c r="D10" s="8" t="inlineStr">
        <is>
          <t>1. Bấm Chia sẻ</t>
        </is>
      </c>
      <c r="E10" s="8" t="inlineStr">
        <is>
          <t>Mã K7M2Q9XAR4</t>
        </is>
      </c>
      <c r="F10" s="8" t="inlineStr">
        <is>
          <t>Bảng chia sẻ nhận đúng một chuỗi: câu mời + link; không có tên hay thông tin hồ sơ</t>
        </is>
      </c>
      <c r="G10" s="8" t="inlineStr">
        <is>
          <t>Sharer giả nhận 1 chuỗi đúng inviteShareText(link)</t>
        </is>
      </c>
      <c r="H10" s="7" t="inlineStr">
        <is>
          <t>Pass</t>
        </is>
      </c>
      <c r="I10" s="8" t="inlineStr">
        <is>
          <t>AC22 · share_invite_link_screen_test</t>
        </is>
      </c>
      <c r="Q10" s="10" t="inlineStr">
        <is>
          <t>Đã đồng ý family_sharing?</t>
        </is>
      </c>
      <c r="R10" s="11" t="inlineStr">
        <is>
          <t>Yes</t>
        </is>
      </c>
      <c r="S10" s="11" t="inlineStr">
        <is>
          <t>No</t>
        </is>
      </c>
      <c r="T10" s="11" t="inlineStr">
        <is>
          <t>-</t>
        </is>
      </c>
    </row>
    <row r="11" ht="41" customHeight="1">
      <c r="A11" s="7" t="inlineStr">
        <is>
          <t>TC-INVITELINK-03</t>
        </is>
      </c>
      <c r="B11" s="7" t="inlineStr">
        <is>
          <t>Sao chép link mời</t>
        </is>
      </c>
      <c r="C11" s="8" t="inlineStr">
        <is>
          <t>Đang ở màn Gửi link mời</t>
        </is>
      </c>
      <c r="D11" s="8" t="inlineStr">
        <is>
          <t>1. Bấm Sao chép link</t>
        </is>
      </c>
      <c r="E11" s="8" t="inlineStr">
        <is>
          <t>Mã K7M2Q9XAR4</t>
        </is>
      </c>
      <c r="F11" s="8" t="inlineStr">
        <is>
          <t>Clipboard chứa đúng link; hiện "Đã sao chép link"</t>
        </is>
      </c>
      <c r="G11" s="8" t="inlineStr">
        <is>
          <t>Clipboard.setData nhận đúng link; SnackBar hiện</t>
        </is>
      </c>
      <c r="H11" s="7" t="inlineStr">
        <is>
          <t>Pass</t>
        </is>
      </c>
      <c r="I11" s="8" t="inlineStr">
        <is>
          <t>AC22 · share_invite_link_screen_test</t>
        </is>
      </c>
      <c r="Q11" s="6" t="inlineStr">
        <is>
          <t>Action</t>
        </is>
      </c>
      <c r="R11" s="5" t="inlineStr">
        <is>
          <t>R1</t>
        </is>
      </c>
      <c r="S11" s="5" t="inlineStr">
        <is>
          <t>R2</t>
        </is>
      </c>
      <c r="T11" s="5" t="inlineStr">
        <is>
          <t>R3</t>
        </is>
      </c>
    </row>
    <row r="12" ht="57.5" customHeight="1">
      <c r="A12" s="7" t="inlineStr">
        <is>
          <t>TC-INVITELINK-04</t>
        </is>
      </c>
      <c r="B12" s="7" t="inlineStr">
        <is>
          <t>Gửi link khi chưa bật chia sẻ với gia đình</t>
        </is>
      </c>
      <c r="C12" s="8" t="inlineStr">
        <is>
          <t>Chưa đồng ý family_sharing</t>
        </is>
      </c>
      <c r="D12" s="8" t="inlineStr">
        <is>
          <t>1. Mở Gửi link mời
2. Bấm Mở Quyền riêng tư</t>
        </is>
      </c>
      <c r="E12" s="8" t="inlineStr">
        <is>
          <t>(không có)</t>
        </is>
      </c>
      <c r="F12" s="8" t="inlineStr">
        <is>
          <t>Có cảnh báo người thân chưa gửi được yêu cầu; vẫn có nút Chia sẻ; mở được màn Quyền riêng tư</t>
        </is>
      </c>
      <c r="G12" s="8" t="inlineStr">
        <is>
          <t>Có cảnh báo và nút Chia sẻ; mở PrivacySettingsScreen</t>
        </is>
      </c>
      <c r="H12" s="7" t="inlineStr">
        <is>
          <t>Pass</t>
        </is>
      </c>
      <c r="I12" s="8" t="inlineStr">
        <is>
          <t>AC23 · Decision Table (R2) · share_invite_link_screen_test</t>
        </is>
      </c>
      <c r="Q12" s="10" t="inlineStr">
        <is>
          <t>Hiện link, Chia sẻ, Sao chép</t>
        </is>
      </c>
      <c r="R12" s="11" t="inlineStr">
        <is>
          <t>X</t>
        </is>
      </c>
      <c r="S12" s="11" t="inlineStr">
        <is>
          <t>X</t>
        </is>
      </c>
      <c r="T12" s="11" t="inlineStr"/>
    </row>
    <row r="13" ht="57.5" customHeight="1">
      <c r="A13" s="7" t="inlineStr">
        <is>
          <t>TC-INVITELINK-05</t>
        </is>
      </c>
      <c r="B13" s="7" t="inlineStr">
        <is>
          <t>Không tải được mã liên kết</t>
        </is>
      </c>
      <c r="C13" s="8" t="inlineStr">
        <is>
          <t>GET /family/link-code lỗi (503)</t>
        </is>
      </c>
      <c r="D13" s="8" t="inlineStr">
        <is>
          <t>1. Mở Gửi link mời
2. Bấm Thử lại khi server đã ổn</t>
        </is>
      </c>
      <c r="E13" s="8" t="inlineStr">
        <is>
          <t>Lần 1: lỗi unavailable; lần 2: mã K7M2Q9XAR4</t>
        </is>
      </c>
      <c r="F13" s="8" t="inlineStr">
        <is>
          <t>Lần 1: "Chưa thể tải link mời. Vui lòng thử lại.", không có link, không có nút chia sẻ/sao chép; sau Thử lại hiện link</t>
        </is>
      </c>
      <c r="G13" s="8" t="inlineStr">
        <is>
          <t>Đúng cả hai lần</t>
        </is>
      </c>
      <c r="H13" s="7" t="inlineStr">
        <is>
          <t>Pass</t>
        </is>
      </c>
      <c r="I13" s="8" t="inlineStr">
        <is>
          <t>AC23 · Decision Table (R3) · share_invite_link_screen_test</t>
        </is>
      </c>
      <c r="Q13" s="10" t="inlineStr">
        <is>
          <t>Cảnh báo + lối sang Quyền riêng tư</t>
        </is>
      </c>
      <c r="R13" s="11" t="inlineStr"/>
      <c r="S13" s="11" t="inlineStr">
        <is>
          <t>X</t>
        </is>
      </c>
      <c r="T13" s="11" t="inlineStr"/>
    </row>
    <row r="14" ht="57.5" customHeight="1">
      <c r="A14" s="7" t="inlineStr">
        <is>
          <t>TC-INVITELINK-06</t>
        </is>
      </c>
      <c r="B14" s="7" t="inlineStr">
        <is>
          <t>Ghép link và đọc ngược ra mã</t>
        </is>
      </c>
      <c r="C14" s="8" t="inlineStr">
        <is>
          <t>Không</t>
        </is>
      </c>
      <c r="D14" s="8" t="inlineStr">
        <is>
          <t>1. Ghép link từ mã
2. Đọc lại mã từ link</t>
        </is>
      </c>
      <c r="E14" s="8" t="inlineStr">
        <is>
          <t>K7M2Q9XAR4, host drug-time-frontend.vercel.app</t>
        </is>
      </c>
      <c r="F14" s="8" t="inlineStr">
        <is>
          <t>Link https://drug-time-frontend.vercel.app/link#code=K7M2Q9XAR4; đọc lại được K7M2Q9XAR4</t>
        </is>
      </c>
      <c r="G14" s="8" t="inlineStr">
        <is>
          <t>Đúng</t>
        </is>
      </c>
      <c r="H14" s="7" t="inlineStr">
        <is>
          <t>Pass</t>
        </is>
      </c>
      <c r="I14" s="8" t="inlineStr">
        <is>
          <t>AC22 · link_code_test: AC22</t>
        </is>
      </c>
      <c r="Q14" s="10" t="inlineStr">
        <is>
          <t>Thông báo lỗi + Thử lại, không có link</t>
        </is>
      </c>
      <c r="R14" s="11" t="inlineStr"/>
      <c r="S14" s="11" t="inlineStr"/>
      <c r="T14" s="11" t="inlineStr">
        <is>
          <t>X</t>
        </is>
      </c>
    </row>
    <row r="15" ht="74" customHeight="1">
      <c r="A15" s="7" t="inlineStr">
        <is>
          <t>TC-INVITELINK-07</t>
        </is>
      </c>
      <c r="B15" s="7" t="inlineStr">
        <is>
          <t>Trang /link đọc phần #code</t>
        </is>
      </c>
      <c r="C15" s="8" t="inlineStr">
        <is>
          <t>Không</t>
        </is>
      </c>
      <c r="D15" s="8" t="inlineStr">
        <is>
          <t>1. Gọi parseInviteHash với từng giá trị</t>
        </is>
      </c>
      <c r="E15" s="8" t="inlineStr">
        <is>
          <t>#code=K7M2Q9XAR4; code=K7M2Q9XAR4; (blank); #ma=…; #code=; chữ thường; có 0/O; 9/11 ký tự; #code=&lt;script&gt;</t>
        </is>
      </c>
      <c r="F15" s="8" t="inlineStr">
        <is>
          <t>Hai giá trị đầu trả mã; còn lại trả null</t>
        </is>
      </c>
      <c r="G15" s="8" t="inlineStr">
        <is>
          <t>4/4 test vitest pass</t>
        </is>
      </c>
      <c r="H15" s="7" t="inlineStr">
        <is>
          <t>Pass</t>
        </is>
      </c>
      <c r="I15" s="8" t="inlineStr">
        <is>
          <t>AC17 · EP (1-7) · landing lib/invite/linkCode.test.ts</t>
        </is>
      </c>
    </row>
    <row r="16" ht="57.5" customHeight="1">
      <c r="A16" s="7" t="inlineStr">
        <is>
          <t>TC-INVITELINK-08</t>
        </is>
      </c>
      <c r="B16" s="7" t="inlineStr">
        <is>
          <t>HTML trang /link không lộ mã và không được lập chỉ mục</t>
        </is>
      </c>
      <c r="C16" s="8" t="inlineStr">
        <is>
          <t>Landing build và chạy bằng next start</t>
        </is>
      </c>
      <c r="D16" s="8" t="inlineStr">
        <is>
          <t>1. curl http://127.0.0.1:3917/link</t>
        </is>
      </c>
      <c r="E16" s="8" t="inlineStr">
        <is>
          <t>(không có)</t>
        </is>
      </c>
      <c r="F16" s="8" t="inlineStr">
        <is>
          <t>Có meta robots noindex, nofollow; thẻ OG chỉ có nội dung chung; không chứa mã; không có script ngoài</t>
        </is>
      </c>
      <c r="G16" s="8" t="inlineStr">
        <is>
          <t>robots "noindex, nofollow"; OG chung; 0 lần xuất hiện K7M2; 0 script ngoài</t>
        </is>
      </c>
      <c r="H16" s="7" t="inlineStr">
        <is>
          <t>Pass</t>
        </is>
      </c>
      <c r="I16" s="8" t="inlineStr">
        <is>
          <t>AC17 · Bảo mật · evidence/implement-P16.log</t>
        </is>
      </c>
    </row>
    <row r="17" ht="90.5" customHeight="1">
      <c r="A17" s="7" t="inlineStr">
        <is>
          <t>TC-INVITELINK-09</t>
        </is>
      </c>
      <c r="B17" s="7" t="inlineStr">
        <is>
          <t>Mở trang /link trên trình duyệt</t>
        </is>
      </c>
      <c r="C17" s="8" t="inlineStr">
        <is>
          <t>Landing đã deploy</t>
        </is>
      </c>
      <c r="D17" s="8" t="inlineStr">
        <is>
          <t>1. Mở link mời trên Chrome Android và desktop
2. Bấm Sao chép mã
3. Xem tab Network</t>
        </is>
      </c>
      <c r="E17" s="8" t="inlineStr">
        <is>
          <t>/link#code=K7M2Q9XAR4; /link#code=abc</t>
        </is>
      </c>
      <c r="F17" s="8" t="inlineStr">
        <is>
          <t>Hiện K7M2 Q9XA R4, nút sao chép, Mở bằng ứng dụng (chỉ Android), Tải ứng dụng, hướng dẫn iPhone; không có request tới backend hay analytics; mã sai hiện thông báo chung</t>
        </is>
      </c>
      <c r="G17" s="8" t="inlineStr"/>
      <c r="H17" s="7" t="inlineStr">
        <is>
          <t>Pending</t>
        </is>
      </c>
      <c r="I17" s="8" t="inlineStr">
        <is>
          <t>AC17 · manual (trình duyệt)</t>
        </is>
      </c>
    </row>
    <row r="18" ht="41" customHeight="1">
      <c r="A18" s="7" t="inlineStr">
        <is>
          <t>TC-INVITELINK-10</t>
        </is>
      </c>
      <c r="B18" s="7" t="inlineStr">
        <is>
          <t>File assetlinks.json phục vụ đúng</t>
        </is>
      </c>
      <c r="C18" s="8" t="inlineStr">
        <is>
          <t>Landing build và chạy bằng next start</t>
        </is>
      </c>
      <c r="D18" s="8" t="inlineStr">
        <is>
          <t>1. curl -i http://127.0.0.1:3917/.well-known/assetlinks.json</t>
        </is>
      </c>
      <c r="E18" s="8" t="inlineStr">
        <is>
          <t>(không có)</t>
        </is>
      </c>
      <c r="F18" s="8" t="inlineStr">
        <is>
          <t>200, Content-Type application/json</t>
        </is>
      </c>
      <c r="G18" s="8" t="inlineStr">
        <is>
          <t>200 OK, Content-Type: application/json; charset=UTF-8</t>
        </is>
      </c>
      <c r="H18" s="7" t="inlineStr">
        <is>
          <t>Pass</t>
        </is>
      </c>
      <c r="I18" s="8" t="inlineStr">
        <is>
          <t>AC18 (local) · evidence/implement-P16.log</t>
        </is>
      </c>
    </row>
    <row r="19" ht="74" customHeight="1">
      <c r="A19" s="7" t="inlineStr">
        <is>
          <t>TC-INVITELINK-11</t>
        </is>
      </c>
      <c r="B19" s="7" t="inlineStr">
        <is>
          <t>App Links được Android xác minh trên production</t>
        </is>
      </c>
      <c r="C19" s="8" t="inlineStr">
        <is>
          <t>Landing đã deploy lên drug-time-frontend.vercel.app; cài APK ký bằng khóa có fingerprint trong assetlinks.json</t>
        </is>
      </c>
      <c r="D19" s="8" t="inlineStr">
        <is>
          <t>1. curl -i https://drug-time-frontend.vercel.app/.well-known/assetlinks.json
2. adb shell pm get-app-links vn.drugtime.drugtime_mobile</t>
        </is>
      </c>
      <c r="E19" s="8" t="inlineStr">
        <is>
          <t>(không có)</t>
        </is>
      </c>
      <c r="F19" s="8" t="inlineStr">
        <is>
          <t>200 application/json; host drug-time-frontend.vercel.app ở trạng thái verified</t>
        </is>
      </c>
      <c r="G19" s="8" t="inlineStr"/>
      <c r="H19" s="7" t="inlineStr">
        <is>
          <t>Pending</t>
        </is>
      </c>
      <c r="I19" s="8" t="inlineStr">
        <is>
          <t>AC18 · manual (cần deploy production, Q1-A)</t>
        </is>
      </c>
    </row>
    <row r="20" ht="74" customHeight="1">
      <c r="A20" s="7" t="inlineStr">
        <is>
          <t>TC-INVITELINK-12</t>
        </is>
      </c>
      <c r="B20" s="7" t="inlineStr">
        <is>
          <t>Bấm link mời trong Zalo và SMS</t>
        </is>
      </c>
      <c r="C20" s="8" t="inlineStr">
        <is>
          <t>Android thật đã cài APK demo; landing đã lên production</t>
        </is>
      </c>
      <c r="D20" s="8" t="inlineStr">
        <is>
          <t>1. Gửi link qua Zalo, bấm link
2. Gửi qua SMS, bấm link
3. Nếu Zalo mở trình duyệt riêng: bấm Mở bằng ứng dụng DrugTime</t>
        </is>
      </c>
      <c r="E20" s="8" t="inlineStr">
        <is>
          <t>https://drug-time-frontend.vercel.app/link#code=&lt;mã thật&gt;</t>
        </is>
      </c>
      <c r="F20" s="8" t="inlineStr">
        <is>
          <t>App mở màn nhập mã đã điền sẵn; với trình duyệt của Zalo, nút Mở bằng ứng dụng vào được app</t>
        </is>
      </c>
      <c r="G20" s="8" t="inlineStr"/>
      <c r="H20" s="7" t="inlineStr">
        <is>
          <t>Pending</t>
        </is>
      </c>
      <c r="I20" s="8" t="inlineStr">
        <is>
          <t>AC19 · manual</t>
        </is>
      </c>
    </row>
    <row r="21" ht="41" customHeight="1">
      <c r="A21" s="7" t="inlineStr">
        <is>
          <t>TC-INVITELINK-13</t>
        </is>
      </c>
      <c r="B21" s="7" t="inlineStr">
        <is>
          <t>Chia sẻ link qua bảng chia sẻ thật</t>
        </is>
      </c>
      <c r="C21" s="8" t="inlineStr">
        <is>
          <t>Android thật có Zalo</t>
        </is>
      </c>
      <c r="D21" s="8" t="inlineStr">
        <is>
          <t>1. Tab Người thân → Gửi link mời → Chia sẻ
2. Chọn Zalo, gửi cho một người</t>
        </is>
      </c>
      <c r="E21" s="8" t="inlineStr">
        <is>
          <t>(không có)</t>
        </is>
      </c>
      <c r="F21" s="8" t="inlineStr">
        <is>
          <t>Zalo nhận đúng câu mời kèm link</t>
        </is>
      </c>
      <c r="G21" s="8" t="inlineStr"/>
      <c r="H21" s="7" t="inlineStr">
        <is>
          <t>Pending</t>
        </is>
      </c>
      <c r="I21" s="8" t="inlineStr">
        <is>
          <t>AC22 · manual</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Khung điều hướng: tab Hồ sơ và Người thân (APPNAV)</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57.5" customHeight="1">
      <c r="A9" s="7" t="inlineStr">
        <is>
          <t>TC-APPNAV-01</t>
        </is>
      </c>
      <c r="B9" s="7" t="inlineStr">
        <is>
          <t>Mở tab Hồ sơ</t>
        </is>
      </c>
      <c r="C9" s="8" t="inlineStr">
        <is>
          <t>Đã đăng nhập</t>
        </is>
      </c>
      <c r="D9" s="8" t="inlineStr">
        <is>
          <t>1. Bấm tab Hồ sơ</t>
        </is>
      </c>
      <c r="E9" s="8" t="inlineStr">
        <is>
          <t>(không có)</t>
        </is>
      </c>
      <c r="F9" s="8" t="inlineStr">
        <is>
          <t>Hiện màn Hồ sơ có mục Người giám sát; không có thẻ UI Catalog hay lối tắt màn Đăng nhập</t>
        </is>
      </c>
      <c r="G9" s="8" t="inlineStr">
        <is>
          <t>ProfileScreen có supervisors-tile; không có UI Catalog</t>
        </is>
      </c>
      <c r="H9" s="7" t="inlineStr">
        <is>
          <t>Pass</t>
        </is>
      </c>
      <c r="I9" s="8" t="inlineStr">
        <is>
          <t>AC24 · app_shell_test: AC24</t>
        </is>
      </c>
    </row>
    <row r="10" ht="41" customHeight="1">
      <c r="A10" s="7" t="inlineStr">
        <is>
          <t>TC-APPNAV-02</t>
        </is>
      </c>
      <c r="B10" s="7" t="inlineStr">
        <is>
          <t>Đăng xuất từ menu cài đặt của Hồ sơ</t>
        </is>
      </c>
      <c r="C10" s="8" t="inlineStr">
        <is>
          <t>Đã đăng nhập</t>
        </is>
      </c>
      <c r="D10" s="8" t="inlineStr">
        <is>
          <t>1. Tab Hồ sơ → nút cài đặt → Đăng xuất</t>
        </is>
      </c>
      <c r="E10" s="8" t="inlineStr">
        <is>
          <t>(không có)</t>
        </is>
      </c>
      <c r="F10" s="8" t="inlineStr">
        <is>
          <t>Về màn Đăng nhập; phiên bị xóa</t>
        </is>
      </c>
      <c r="G10" s="8" t="inlineStr">
        <is>
          <t>Hiện LoginMobileScreen; phiên null</t>
        </is>
      </c>
      <c r="H10" s="7" t="inlineStr">
        <is>
          <t>Pass</t>
        </is>
      </c>
      <c r="I10" s="8" t="inlineStr">
        <is>
          <t>AC24 · auth_flow_test: (e) Đăng xuất</t>
        </is>
      </c>
    </row>
    <row r="11" ht="41" customHeight="1">
      <c r="A11" s="7" t="inlineStr">
        <is>
          <t>TC-APPNAV-03</t>
        </is>
      </c>
      <c r="B11" s="7" t="inlineStr">
        <is>
          <t>Menu cài đặt của Hồ sơ không còn UI Catalog</t>
        </is>
      </c>
      <c r="C11" s="8" t="inlineStr">
        <is>
          <t>Đã đăng nhập, ở tab Hồ sơ</t>
        </is>
      </c>
      <c r="D11" s="8" t="inlineStr">
        <is>
          <t>1. Bấm nút cài đặt</t>
        </is>
      </c>
      <c r="E11" s="8" t="inlineStr">
        <is>
          <t>(không có)</t>
        </is>
      </c>
      <c r="F11" s="8" t="inlineStr">
        <is>
          <t>Menu chỉ có một mục "Đăng xuất"</t>
        </is>
      </c>
      <c r="G11" s="8" t="inlineStr">
        <is>
          <t>1 mục Đăng xuất</t>
        </is>
      </c>
      <c r="H11" s="7" t="inlineStr">
        <is>
          <t>Pass</t>
        </is>
      </c>
      <c r="I11" s="8" t="inlineStr">
        <is>
          <t>AC25 · app_shell_test: AC25</t>
        </is>
      </c>
    </row>
    <row r="12" ht="30" customHeight="1">
      <c r="A12" s="7" t="inlineStr">
        <is>
          <t>TC-APPNAV-04</t>
        </is>
      </c>
      <c r="B12" s="7" t="inlineStr">
        <is>
          <t>Mở route /dev-catalog</t>
        </is>
      </c>
      <c r="C12" s="8" t="inlineStr">
        <is>
          <t>Không</t>
        </is>
      </c>
      <c r="D12" s="8" t="inlineStr">
        <is>
          <t>1. Gọi onGenerateRoute với /dev-catalog</t>
        </is>
      </c>
      <c r="E12" s="8" t="inlineStr">
        <is>
          <t>/dev-catalog</t>
        </is>
      </c>
      <c r="F12" s="8" t="inlineStr">
        <is>
          <t>Không có route (null)</t>
        </is>
      </c>
      <c r="G12" s="8" t="inlineStr">
        <is>
          <t>null</t>
        </is>
      </c>
      <c r="H12" s="7" t="inlineStr">
        <is>
          <t>Pass</t>
        </is>
      </c>
      <c r="I12" s="8" t="inlineStr">
        <is>
          <t>AC25 · app_shell_test: AC25</t>
        </is>
      </c>
    </row>
    <row r="13" ht="41" customHeight="1">
      <c r="A13" s="7" t="inlineStr">
        <is>
          <t>TC-APPNAV-05</t>
        </is>
      </c>
      <c r="B13" s="7" t="inlineStr">
        <is>
          <t>Mở tab Người thân</t>
        </is>
      </c>
      <c r="C13" s="8" t="inlineStr">
        <is>
          <t>Đã đăng nhập</t>
        </is>
      </c>
      <c r="D13" s="8" t="inlineStr">
        <is>
          <t>1. Bấm tab Người thân</t>
        </is>
      </c>
      <c r="E13" s="8" t="inlineStr">
        <is>
          <t>(không có)</t>
        </is>
      </c>
      <c r="F13" s="8" t="inlineStr">
        <is>
          <t>Hiện các thẻ Mã liên kết của tôi, Gửi link mời, Theo dõi người thân</t>
        </is>
      </c>
      <c r="G13" s="8" t="inlineStr">
        <is>
          <t>Hiện FamilyTabScreen; thẻ Mã liên kết của tôi mở màn QR của 3.11</t>
        </is>
      </c>
      <c r="H13" s="7" t="inlineStr">
        <is>
          <t>Pass</t>
        </is>
      </c>
      <c r="I13" s="8" t="inlineStr">
        <is>
          <t>AC11 · app_shell_test, family_tab_screen_test</t>
        </is>
      </c>
    </row>
    <row r="14"/>
    <row r="15"/>
    <row r="16">
      <c r="G16" s="12" t="inlineStr">
        <is>
          <t>Pass</t>
        </is>
      </c>
      <c r="H16" s="13">
        <f>COUNTIF(H9:H13,"Pass")</f>
        <v/>
      </c>
    </row>
    <row r="17">
      <c r="G17" s="12" t="inlineStr">
        <is>
          <t>Fail</t>
        </is>
      </c>
      <c r="H17" s="13">
        <f>COUNTIF(H9:H13,"Fail")</f>
        <v/>
      </c>
    </row>
    <row r="18">
      <c r="G18" s="12" t="inlineStr">
        <is>
          <t>Pending</t>
        </is>
      </c>
      <c r="H18" s="13">
        <f>COUNTIF(H9:H13,"Pending")</f>
        <v/>
      </c>
    </row>
    <row r="19">
      <c r="G19" s="12" t="inlineStr">
        <is>
          <t>Total</t>
        </is>
      </c>
      <c r="H19" s="13">
        <f>SUM(H16:H18)</f>
        <v/>
      </c>
    </row>
  </sheetData>
  <autoFilter ref="A8:I13"/>
  <conditionalFormatting sqref="H9:H13">
    <cfRule type="cellIs" priority="1" operator="equal" dxfId="0">
      <formula>"Fail"</formula>
    </cfRule>
  </conditionalFormatting>
  <dataValidations count="1">
    <dataValidation sqref="H9:H13" showDropDown="0" showInputMessage="0" showErrorMessage="0" allowBlank="0" type="list">
      <formula1>"Pass,Fail,Pending"</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41"/>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Duyệt yêu cầu liên kết người thân (LINKAPPROVE)</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BS-04: người thân gửi lại yêu cầu</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TC-LINKAPPROVE-01</t>
        </is>
      </c>
      <c r="B9" s="7" t="inlineStr">
        <is>
          <t>Xem danh sách yêu cầu đang chờ của chính mình</t>
        </is>
      </c>
      <c r="C9" s="8" t="inlineStr">
        <is>
          <t>Patient P có 2 yêu cầu pending từ F1 (gửi trước) và F2 (gửi sau); có thêm yêu cầu pending gửi cho patient khác</t>
        </is>
      </c>
      <c r="D9" s="8" t="inlineStr">
        <is>
          <t>1. Đăng nhập bằng P
2. GET /family/links?status=pending</t>
        </is>
      </c>
      <c r="E9" s="8" t="inlineStr">
        <is>
          <t>status=pending</t>
        </is>
      </c>
      <c r="F9" s="8" t="inlineStr">
        <is>
          <t>200; items gồm đúng 2 mục theo thứ tự F2, F1; mỗi mục chỉ có link_id, family_user_id, family_full_name, status=pending, requested_at; có audit list_pending/allowed</t>
        </is>
      </c>
      <c r="G9" s="8" t="inlineStr">
        <is>
          <t>Đúng như mong đợi</t>
        </is>
      </c>
      <c r="H9" s="7" t="inlineStr">
        <is>
          <t>Pass</t>
        </is>
      </c>
      <c r="I9" s="8" t="inlineStr">
        <is>
          <t>AC2 · test_list_own_pending_minimal_order_without_consents__AC12_AC13 · evidence/test-integration.log</t>
        </is>
      </c>
      <c r="K9" s="9" t="inlineStr">
        <is>
          <t>family_user_id (body approve)</t>
        </is>
      </c>
      <c r="L9" s="10" t="inlineStr">
        <is>
          <t>UUID đúng người gửi yêu cầu</t>
        </is>
      </c>
      <c r="M9" s="10" t="inlineStr">
        <is>
          <t>1</t>
        </is>
      </c>
      <c r="N9" s="10" t="inlineStr">
        <is>
          <t>UUID của người khác
không phải UUID</t>
        </is>
      </c>
      <c r="O9" s="10" t="inlineStr">
        <is>
          <t>4
5</t>
        </is>
      </c>
      <c r="Q9" s="10" t="inlineStr">
        <is>
          <t>Số lần bị cùng patient từ chối liên tiếp (từ lần chấp thuận gần nhất)</t>
        </is>
      </c>
      <c r="R9" s="11" t="inlineStr">
        <is>
          <t>0–4</t>
        </is>
      </c>
      <c r="S9" s="11" t="inlineStr">
        <is>
          <t>5</t>
        </is>
      </c>
      <c r="T9" s="11" t="inlineStr">
        <is>
          <t>5</t>
        </is>
      </c>
    </row>
    <row r="10" ht="57.5" customHeight="1">
      <c r="A10" s="7" t="inlineStr">
        <is>
          <t>TC-LINKAPPROVE-02</t>
        </is>
      </c>
      <c r="B10" s="7" t="inlineStr">
        <is>
          <t>Xem danh sách khi không có yêu cầu nào</t>
        </is>
      </c>
      <c r="C10" s="8" t="inlineStr">
        <is>
          <t>Patient không có yêu cầu pending</t>
        </is>
      </c>
      <c r="D10" s="8" t="inlineStr">
        <is>
          <t>1. GET /family/links?status=pending</t>
        </is>
      </c>
      <c r="E10" s="8" t="inlineStr">
        <is>
          <t>status=pending</t>
        </is>
      </c>
      <c r="F10" s="8" t="inlineStr">
        <is>
          <t>200; {"items": []}</t>
        </is>
      </c>
      <c r="G10" s="8" t="inlineStr">
        <is>
          <t>200; {"items": []}</t>
        </is>
      </c>
      <c r="H10" s="7" t="inlineStr">
        <is>
          <t>Pass</t>
        </is>
      </c>
      <c r="I10" s="8" t="inlineStr">
        <is>
          <t>AC2 · test_list_pending_empty_returns_200_items_empty__AC13 · evidence/test-integration.log</t>
        </is>
      </c>
      <c r="K10" s="9" t="inlineStr">
        <is>
          <t>consent_confirmed</t>
        </is>
      </c>
      <c r="L10" s="10" t="inlineStr">
        <is>
          <t>true (boolean)</t>
        </is>
      </c>
      <c r="M10" s="10" t="inlineStr">
        <is>
          <t>2</t>
        </is>
      </c>
      <c r="N10" s="10" t="inlineStr">
        <is>
          <t>false
thiếu field
"true" (chuỗi)</t>
        </is>
      </c>
      <c r="O10" s="10" t="inlineStr">
        <is>
          <t>6
7
8</t>
        </is>
      </c>
      <c r="Q10" s="10" t="inlineStr">
        <is>
          <t>Còn trong 24 giờ kể từ lần từ chối thứ 5?</t>
        </is>
      </c>
      <c r="R10" s="11" t="inlineStr">
        <is>
          <t>-</t>
        </is>
      </c>
      <c r="S10" s="11" t="inlineStr">
        <is>
          <t>Có</t>
        </is>
      </c>
      <c r="T10" s="11" t="inlineStr">
        <is>
          <t>Không</t>
        </is>
      </c>
    </row>
    <row r="11" ht="90.5" customHeight="1">
      <c r="A11" s="7" t="inlineStr">
        <is>
          <t>TC-LINKAPPROVE-03</t>
        </is>
      </c>
      <c r="B11" s="7" t="inlineStr">
        <is>
          <t>Gửi query lạ khi xem danh sách (patient_id)</t>
        </is>
      </c>
      <c r="C11" s="8" t="inlineStr">
        <is>
          <t>Patient đã đăng nhập</t>
        </is>
      </c>
      <c r="D11" s="8" t="inlineStr">
        <is>
          <t>1. GET /family/links?status=pending&amp;patient_id=&lt;UUID khác&gt;</t>
        </is>
      </c>
      <c r="E11" s="8" t="inlineStr">
        <is>
          <t>patient_id=&lt;UUID patient khác&gt;</t>
        </is>
      </c>
      <c r="F11" s="8" t="inlineStr">
        <is>
          <t>422 ValidationError; không gọi use case</t>
        </is>
      </c>
      <c r="G11" s="8" t="inlineStr">
        <is>
          <t>422</t>
        </is>
      </c>
      <c r="H11" s="7" t="inlineStr">
        <is>
          <t>Pass</t>
        </is>
      </c>
      <c r="I11" s="8" t="inlineStr">
        <is>
          <t>AC5 · Đoán lỗi (truy cập dữ liệu người khác) · test_list_rejects_missing_invalid_duplicate_or_extra_query · evidence/implement-final-backend.log</t>
        </is>
      </c>
      <c r="K11" s="9" t="inlineStr">
        <is>
          <t>document_version</t>
        </is>
      </c>
      <c r="L11" s="10" t="inlineStr">
        <is>
          <t>2026-10-v1 (bản hiện hành)</t>
        </is>
      </c>
      <c r="M11" s="10" t="inlineStr">
        <is>
          <t>3</t>
        </is>
      </c>
      <c r="N11" s="10" t="inlineStr">
        <is>
          <t>(blank)
a*65
phiên bản khác bản hiện hành</t>
        </is>
      </c>
      <c r="O11" s="10" t="inlineStr">
        <is>
          <t>9
10
11</t>
        </is>
      </c>
      <c r="Q11" s="6" t="inlineStr">
        <is>
          <t>Action</t>
        </is>
      </c>
      <c r="R11" s="5" t="inlineStr">
        <is>
          <t>R1</t>
        </is>
      </c>
      <c r="S11" s="5" t="inlineStr">
        <is>
          <t>R2</t>
        </is>
      </c>
      <c r="T11" s="5" t="inlineStr">
        <is>
          <t>R3</t>
        </is>
      </c>
    </row>
    <row r="12" ht="107" customHeight="1">
      <c r="A12" s="7" t="inlineStr">
        <is>
          <t>TC-LINKAPPROVE-04</t>
        </is>
      </c>
      <c r="B12" s="7" t="inlineStr">
        <is>
          <t>Chấp thuận yêu cầu với xác nhận đồng ý hợp lệ</t>
        </is>
      </c>
      <c r="C12" s="8" t="inlineStr">
        <is>
          <t>P đã đồng ý family_sharing 2026-10-v1; có link pending từ F</t>
        </is>
      </c>
      <c r="D12" s="8" t="inlineStr">
        <is>
          <t>1. Đăng nhập bằng P
2. POST /family/links/{link_id}/approve</t>
        </is>
      </c>
      <c r="E12" s="8" t="inlineStr">
        <is>
          <t>{"family_user_id": "&lt;F&gt;", "consent_confirmed": true, "document_version": "2026-10-v1"}</t>
        </is>
      </c>
      <c r="F12" s="8" t="inlineStr">
        <is>
          <t>200; status=active, sharing_enabled=false, consent_confirmation.purpose=family_sharing; đúng 1 dòng family_link_consent_confirmations; link rời danh sách chờ và có trong GET /family/caregivers</t>
        </is>
      </c>
      <c r="G12" s="8" t="inlineStr">
        <is>
          <t>Đúng như mong đợi</t>
        </is>
      </c>
      <c r="H12" s="7" t="inlineStr">
        <is>
          <t>Pass</t>
        </is>
      </c>
      <c r="I12" s="8" t="inlineStr">
        <is>
          <t>AC3 · EP (1,2,3) · test_approve_success_persists_evidence_and_activates_link__AC2, test_approved_link_moves_from_pending_to_caregivers__AC3 · evidence/test-integration.log</t>
        </is>
      </c>
      <c r="Q12" s="10" t="inlineStr">
        <is>
          <t>201: tạo yêu cầu mới (pending)</t>
        </is>
      </c>
      <c r="R12" s="11" t="inlineStr">
        <is>
          <t>X</t>
        </is>
      </c>
      <c r="S12" s="11" t="inlineStr"/>
      <c r="T12" s="11" t="inlineStr">
        <is>
          <t>X</t>
        </is>
      </c>
    </row>
    <row r="13" ht="74" customHeight="1">
      <c r="A13" s="7" t="inlineStr">
        <is>
          <t>TC-LINKAPPROVE-05</t>
        </is>
      </c>
      <c r="B13" s="7" t="inlineStr">
        <is>
          <t>Chấp thuận thay bởi người thân, người lạ, admin hoặc sai family_user_id</t>
        </is>
      </c>
      <c r="C13" s="8" t="inlineStr">
        <is>
          <t>Link pending P←F; có người lạ X và tài khoản admin A</t>
        </is>
      </c>
      <c r="D13" s="8" t="inlineStr">
        <is>
          <t>1. POST approve không token
2. POST approve bằng token F, X, A
3. POST approve bằng token P với family_user_id của X</t>
        </is>
      </c>
      <c r="E13" s="8" t="inlineStr">
        <is>
          <t>family_user_id = &lt;F&gt; hoặc &lt;X&gt;</t>
        </is>
      </c>
      <c r="F13" s="8" t="inlineStr">
        <is>
          <t>401 khi không token; 403 {"detail": "khong_co_quyen"} cho các trường hợp còn lại; link vẫn pending, không có bằng chứng; có audit denied</t>
        </is>
      </c>
      <c r="G13" s="8" t="inlineStr">
        <is>
          <t>Đúng như mong đợi</t>
        </is>
      </c>
      <c r="H13" s="7" t="inlineStr">
        <is>
          <t>Pass</t>
        </is>
      </c>
      <c r="I13" s="8" t="inlineStr">
        <is>
          <t>AC5 · EP (4) · test_approve_denied_caller_matrix__AC4_AC10_AC16 · evidence/test-integration.log</t>
        </is>
      </c>
      <c r="Q13" s="10" t="inlineStr">
        <is>
          <t>429 link_request_cooldown + Retry-After</t>
        </is>
      </c>
      <c r="R13" s="11" t="inlineStr"/>
      <c r="S13" s="11" t="inlineStr">
        <is>
          <t>X</t>
        </is>
      </c>
      <c r="T13" s="11" t="inlineStr"/>
    </row>
    <row r="14" ht="90.5" customHeight="1">
      <c r="A14" s="7" t="inlineStr">
        <is>
          <t>TC-LINKAPPROVE-06</t>
        </is>
      </c>
      <c r="B14" s="7" t="inlineStr">
        <is>
          <t>Từ chối thay bởi người thân, người lạ hoặc admin</t>
        </is>
      </c>
      <c r="C14" s="8" t="inlineStr">
        <is>
          <t>Link pending P←F; người lạ X; admin A</t>
        </is>
      </c>
      <c r="D14" s="8" t="inlineStr">
        <is>
          <t>1. POST /family/links/{link_id}/reject không token
2. POST reject bằng token F, X, A
3. POST reject bằng token P</t>
        </is>
      </c>
      <c r="E14" s="8" t="inlineStr">
        <is>
          <t>(không có body)</t>
        </is>
      </c>
      <c r="F14" s="8" t="inlineStr">
        <is>
          <t>401 khi không token; 403 khong_co_quyen với F, X, A, mỗi lượt đúng 1 audit reject/denied với actor là người gọi (admin không ghi patient/link); link vẫn pending; P từ chối được (200)</t>
        </is>
      </c>
      <c r="G14" s="8" t="inlineStr">
        <is>
          <t>Đúng như mong đợi</t>
        </is>
      </c>
      <c r="H14" s="7" t="inlineStr">
        <is>
          <t>Pass</t>
        </is>
      </c>
      <c r="I14" s="8" t="inlineStr">
        <is>
          <t>AC5 · test_reject_denied_caller_matrix__AC5 · evidence/test-integration.log</t>
        </is>
      </c>
    </row>
    <row r="15" ht="74" customHeight="1">
      <c r="A15" s="7" t="inlineStr">
        <is>
          <t>TC-LINKAPPROVE-07</t>
        </is>
      </c>
      <c r="B15" s="7" t="inlineStr">
        <is>
          <t>Chấp thuận khi patient chưa đồng ý hoặc đã rút family_sharing</t>
        </is>
      </c>
      <c r="C15" s="8" t="inlineStr">
        <is>
          <t>Link pending P←F; P không có consent family_sharing hiệu lực</t>
        </is>
      </c>
      <c r="D15" s="8" t="inlineStr">
        <is>
          <t>1. POST approve bằng token P</t>
        </is>
      </c>
      <c r="E15" s="8" t="inlineStr">
        <is>
          <t>body hợp lệ</t>
        </is>
      </c>
      <c r="F15" s="8" t="inlineStr">
        <is>
          <t>403 {"detail": "consent_revoked"}; link vẫn pending; không có bằng chứng; audit approve/denied reason consent_revoked</t>
        </is>
      </c>
      <c r="G15" s="8" t="inlineStr">
        <is>
          <t>Đúng như mong đợi</t>
        </is>
      </c>
      <c r="H15" s="7" t="inlineStr">
        <is>
          <t>Pass</t>
        </is>
      </c>
      <c r="I15" s="8" t="inlineStr">
        <is>
          <t>AC7 · test_approve_missing_or_revoked_patient_consent_403__AC3_AC10 · evidence/test-integration.log</t>
        </is>
      </c>
    </row>
    <row r="16" ht="74" customHeight="1">
      <c r="A16" s="7" t="inlineStr">
        <is>
          <t>TC-LINKAPPROVE-08</t>
        </is>
      </c>
      <c r="B16" s="7" t="inlineStr">
        <is>
          <t>Chấp thuận với phiên bản văn bản cũ hoặc consent_confirmed=false</t>
        </is>
      </c>
      <c r="C16" s="8" t="inlineStr">
        <is>
          <t>Link pending P←F; P có family_sharing</t>
        </is>
      </c>
      <c r="D16" s="8" t="inlineStr">
        <is>
          <t>1. POST approve với document_version khác bản hiện hành
2. POST approve với consent_confirmed=false</t>
        </is>
      </c>
      <c r="E16" s="8" t="inlineStr">
        <is>
          <t>document_version="wrong-version"; consent_confirmed=false</t>
        </is>
      </c>
      <c r="F16" s="8" t="inlineStr">
        <is>
          <t>422 {"detail": "consent_document_outdated"}; 422 ValidationError; link vẫn pending</t>
        </is>
      </c>
      <c r="G16" s="8" t="inlineStr">
        <is>
          <t>Đúng như mong đợi</t>
        </is>
      </c>
      <c r="H16" s="7" t="inlineStr">
        <is>
          <t>Pass</t>
        </is>
      </c>
      <c r="I16" s="8" t="inlineStr">
        <is>
          <t>AC8 · EP (6,11) · test_approve_outdated_version_and_false_confirmation_422__AC3 · evidence/test-integration.log</t>
        </is>
      </c>
    </row>
    <row r="17" ht="107" customHeight="1">
      <c r="A17" s="7" t="inlineStr">
        <is>
          <t>TC-LINKAPPROVE-09</t>
        </is>
      </c>
      <c r="B17" s="7" t="inlineStr">
        <is>
          <t>Gửi body chấp thuận sai cấu trúc</t>
        </is>
      </c>
      <c r="C17" s="8" t="inlineStr">
        <is>
          <t>Người gọi đã đăng nhập</t>
        </is>
      </c>
      <c r="D17" s="8" t="inlineStr">
        <is>
          <t>1. POST /family/links/1/approve với từng body sai</t>
        </is>
      </c>
      <c r="E17" s="8" t="inlineStr">
        <is>
          <t>family_user_id="invalid"; thiếu consent_confirmed; consent_confirmed="true"; consent_confirmed=1; document_version=""; document_version="a"*65; field lạ patient_id</t>
        </is>
      </c>
      <c r="F17" s="8" t="inlineStr">
        <is>
          <t>422 ValidationError cho mọi trường hợp; không gọi use case</t>
        </is>
      </c>
      <c r="G17" s="8" t="inlineStr">
        <is>
          <t>422 cho mọi trường hợp</t>
        </is>
      </c>
      <c r="H17" s="7" t="inlineStr">
        <is>
          <t>Pass</t>
        </is>
      </c>
      <c r="I17" s="8" t="inlineStr">
        <is>
          <t>AC8 · EP (5,7,8,9,10) · BVA (min-1, max+1) · test_strict_approval_body_rejected_before_use_case · evidence/implement-final-backend.log</t>
        </is>
      </c>
    </row>
    <row r="18" ht="57.5" customHeight="1">
      <c r="A18" s="7" t="inlineStr">
        <is>
          <t>TC-LINKAPPROVE-BVA-10</t>
        </is>
      </c>
      <c r="B18" s="7" t="inlineStr">
        <is>
          <t>Chấp thuận với document_version dài 1 ký tự (biên dưới hợp lệ của độ dài)</t>
        </is>
      </c>
      <c r="C18" s="8" t="inlineStr">
        <is>
          <t>Link pending P←F; P có family_sharing</t>
        </is>
      </c>
      <c r="D18" s="8" t="inlineStr">
        <is>
          <t>1. POST approve bằng token P</t>
        </is>
      </c>
      <c r="E18" s="8" t="inlineStr">
        <is>
          <t>document_version="a"</t>
        </is>
      </c>
      <c r="F18" s="8" t="inlineStr">
        <is>
          <t>422 {"detail": "consent_document_outdated"} (đúng độ dài nhưng không phải bản hiện hành); link vẫn pending</t>
        </is>
      </c>
      <c r="G18" s="8" t="inlineStr"/>
      <c r="H18" s="7" t="inlineStr">
        <is>
          <t>Pending</t>
        </is>
      </c>
      <c r="I18" s="8" t="inlineStr">
        <is>
          <t>AC8 · BVA (min) · chưa có test riêng, cần chạy tay</t>
        </is>
      </c>
    </row>
    <row r="19" ht="41" customHeight="1">
      <c r="A19" s="7" t="inlineStr">
        <is>
          <t>TC-LINKAPPROVE-BVA-11</t>
        </is>
      </c>
      <c r="B19" s="7" t="inlineStr">
        <is>
          <t>Chấp thuận với document_version dài 64 ký tự (biên trên hợp lệ của độ dài)</t>
        </is>
      </c>
      <c r="C19" s="8" t="inlineStr">
        <is>
          <t>Link pending P←F; P có family_sharing</t>
        </is>
      </c>
      <c r="D19" s="8" t="inlineStr">
        <is>
          <t>1. POST approve bằng token P</t>
        </is>
      </c>
      <c r="E19" s="8" t="inlineStr">
        <is>
          <t>document_version="a"*64</t>
        </is>
      </c>
      <c r="F19" s="8" t="inlineStr">
        <is>
          <t>422 {"detail": "consent_document_outdated"}; link vẫn pending</t>
        </is>
      </c>
      <c r="G19" s="8" t="inlineStr"/>
      <c r="H19" s="7" t="inlineStr">
        <is>
          <t>Pending</t>
        </is>
      </c>
      <c r="I19" s="8" t="inlineStr">
        <is>
          <t>AC8 · BVA (max) · chưa có test riêng, cần chạy tay</t>
        </is>
      </c>
    </row>
    <row r="20" ht="74" customHeight="1">
      <c r="A20" s="7" t="inlineStr">
        <is>
          <t>TC-LINKAPPROVE-12</t>
        </is>
      </c>
      <c r="B20" s="7" t="inlineStr">
        <is>
          <t>Gửi lại chấp thuận với cùng nội dung</t>
        </is>
      </c>
      <c r="C20" s="8" t="inlineStr">
        <is>
          <t>Link đã được P chấp thuận</t>
        </is>
      </c>
      <c r="D20" s="8" t="inlineStr">
        <is>
          <t>1. POST approve lần 2 với cùng body</t>
        </is>
      </c>
      <c r="E20" s="8" t="inlineStr">
        <is>
          <t>body giống lần 1</t>
        </is>
      </c>
      <c r="F20" s="8" t="inlineStr">
        <is>
          <t>200; cùng id/confirmed_at bằng chứng cũ; không thêm bằng chứng</t>
        </is>
      </c>
      <c r="G20" s="8" t="inlineStr">
        <is>
          <t>Đúng như mong đợi</t>
        </is>
      </c>
      <c r="H20" s="7" t="inlineStr">
        <is>
          <t>Pass</t>
        </is>
      </c>
      <c r="I20" s="8" t="inlineStr">
        <is>
          <t>AC3 · Đoán lỗi (gửi trùng) · test_approve_replay_idempotent_with_same_evidence__AC5_AC9 · evidence/test-integration.log</t>
        </is>
      </c>
    </row>
    <row r="21" ht="90.5" customHeight="1">
      <c r="A21" s="7" t="inlineStr">
        <is>
          <t>TC-LINKAPPROVE-13</t>
        </is>
      </c>
      <c r="B21" s="7" t="inlineStr">
        <is>
          <t>Chấp thuận liên kết đã bị từ chối hoặc đã hủy</t>
        </is>
      </c>
      <c r="C21" s="8" t="inlineStr">
        <is>
          <t>Link ở trạng thái rejected hoặc revoked</t>
        </is>
      </c>
      <c r="D21" s="8" t="inlineStr">
        <is>
          <t>1. POST approve bằng token P</t>
        </is>
      </c>
      <c r="E21" s="8" t="inlineStr">
        <is>
          <t>body hợp lệ</t>
        </is>
      </c>
      <c r="F21" s="8" t="inlineStr">
        <is>
          <t>409 {"detail": "invalid_link_transition"}; trạng thái giữ nguyên</t>
        </is>
      </c>
      <c r="G21" s="8" t="inlineStr">
        <is>
          <t>Đúng như mong đợi</t>
        </is>
      </c>
      <c r="H21" s="7" t="inlineStr">
        <is>
          <t>Pass</t>
        </is>
      </c>
      <c r="I21" s="8" t="inlineStr">
        <is>
          <t>AC10 · Chuyển trạng thái (chuyển bị cấm) · test_approve_rejected_or_revoked_conflict_409__AC8 · evidence/test-integration.log</t>
        </is>
      </c>
    </row>
    <row r="22" ht="90.5" customHeight="1">
      <c r="A22" s="7" t="inlineStr">
        <is>
          <t>TC-LINKAPPROVE-14</t>
        </is>
      </c>
      <c r="B22" s="7" t="inlineStr">
        <is>
          <t>Từ chối yêu cầu đang chờ và gửi lại lệnh từ chối</t>
        </is>
      </c>
      <c r="C22" s="8" t="inlineStr">
        <is>
          <t>Link pending P←F; P không cần consent</t>
        </is>
      </c>
      <c r="D22" s="8" t="inlineStr">
        <is>
          <t>1. POST reject bằng token P
2. POST reject lần 2</t>
        </is>
      </c>
      <c r="E22" s="8" t="inlineStr">
        <is>
          <t>(không có body)</t>
        </is>
      </c>
      <c r="F22" s="8" t="inlineStr">
        <is>
          <t>200 status=rejected, có rejected_at; lần 2 trả 200 cùng rejected_at</t>
        </is>
      </c>
      <c r="G22" s="8" t="inlineStr">
        <is>
          <t>Đúng như mong đợi</t>
        </is>
      </c>
      <c r="H22" s="7" t="inlineStr">
        <is>
          <t>Pass</t>
        </is>
      </c>
      <c r="I22" s="8" t="inlineStr">
        <is>
          <t>AC4 · Chuyển trạng thái (pending→rejected) · test_reject_without_consent_and_replay_idempotent__AC14_AC15 · evidence/test-integration.log</t>
        </is>
      </c>
    </row>
    <row r="23" ht="74" customHeight="1">
      <c r="A23" s="7" t="inlineStr">
        <is>
          <t>TC-LINKAPPROVE-15</t>
        </is>
      </c>
      <c r="B23" s="7" t="inlineStr">
        <is>
          <t>Từ chối liên kết đang active hoặc đã hủy</t>
        </is>
      </c>
      <c r="C23" s="8" t="inlineStr">
        <is>
          <t>Link active hoặc revoked</t>
        </is>
      </c>
      <c r="D23" s="8" t="inlineStr">
        <is>
          <t>1. POST reject bằng token P</t>
        </is>
      </c>
      <c r="E23" s="8" t="inlineStr">
        <is>
          <t>(không có body)</t>
        </is>
      </c>
      <c r="F23" s="8" t="inlineStr">
        <is>
          <t>409 {"detail": "invalid_link_transition"}</t>
        </is>
      </c>
      <c r="G23" s="8" t="inlineStr">
        <is>
          <t>Đúng như mong đợi</t>
        </is>
      </c>
      <c r="H23" s="7" t="inlineStr">
        <is>
          <t>Pass</t>
        </is>
      </c>
      <c r="I23" s="8" t="inlineStr">
        <is>
          <t>AC10 · Chuyển trạng thái (chuyển bị cấm) · test_reject_active_or_revoked_conflict_409__AC15 · evidence/test-integration.log</t>
        </is>
      </c>
    </row>
    <row r="24" ht="74" customHeight="1">
      <c r="A24" s="7" t="inlineStr">
        <is>
          <t>TC-LINKAPPROVE-16</t>
        </is>
      </c>
      <c r="B24" s="7" t="inlineStr">
        <is>
          <t>Chấp thuận và từ chối cùng lúc một yêu cầu</t>
        </is>
      </c>
      <c r="C24" s="8" t="inlineStr">
        <is>
          <t>Link pending P←F</t>
        </is>
      </c>
      <c r="D24" s="8" t="inlineStr">
        <is>
          <t>1. Gửi đồng thời POST approve và POST reject bằng token P</t>
        </is>
      </c>
      <c r="E24" s="8" t="inlineStr">
        <is>
          <t>body approve hợp lệ</t>
        </is>
      </c>
      <c r="F24" s="8" t="inlineStr">
        <is>
          <t>Một request 200, request kia 409; không có trạng thái vừa rejected vừa có bằng chứng</t>
        </is>
      </c>
      <c r="G24" s="8" t="inlineStr">
        <is>
          <t>Đúng như mong đợi</t>
        </is>
      </c>
      <c r="H24" s="7" t="inlineStr">
        <is>
          <t>Pass</t>
        </is>
      </c>
      <c r="I24" s="8" t="inlineStr">
        <is>
          <t>AC15 · Đoán lỗi (chạy đua) · test_concurrent_approve_and_reject_one_wins_other_409__AC17 · evidence/test-integration.log</t>
        </is>
      </c>
    </row>
    <row r="25" ht="123.5" customHeight="1">
      <c r="A25" s="7" t="inlineStr">
        <is>
          <t>TC-LINKAPPROVE-17</t>
        </is>
      </c>
      <c r="B25" s="7" t="inlineStr">
        <is>
          <t>Gửi lại yêu cầu sau 5 lần bị từ chối liên tiếp qua endpoint thật</t>
        </is>
      </c>
      <c r="C25" s="8" t="inlineStr">
        <is>
          <t>P có family_sharing và mã liên kết; F chưa liên kết</t>
        </is>
      </c>
      <c r="D25" s="8" t="inlineStr">
        <is>
          <t>1. F gửi yêu cầu bằng mã của P, P từ chối; lặp 4 lần (lần 5 vẫn gửi được)
2. P từ chối lần thứ 5
3. F gửi lại ngay
4. Người thân khác gửi yêu cầu
5. Đặt giờ app = rejected_at lần 5 + 23h59
6. Đặt giờ app = rejected_at lần 5 + 24h</t>
        </is>
      </c>
      <c r="E25" s="8" t="inlineStr">
        <is>
          <t>client_uuid mới mỗi lần</t>
        </is>
      </c>
      <c r="F25" s="8" t="inlineStr">
        <is>
          <t>Lần 1–5: 201; sau lần từ chối thứ 5: 429 {"detail": "link_request_cooldown"}, Retry-After trong (0, 86400]; người thân khác 201; tại +23h59: 429; tại +24h: 201</t>
        </is>
      </c>
      <c r="G25" s="8" t="inlineStr">
        <is>
          <t>Đúng như mong đợi</t>
        </is>
      </c>
      <c r="H25" s="7" t="inlineStr">
        <is>
          <t>Pass</t>
        </is>
      </c>
      <c r="I25" s="8" t="inlineStr">
        <is>
          <t>AC9 · Decision Table (R1, R2, R3) · BVA (24h-1 phút, 24h) · test_five_rejections_via_endpoint_block_24h_others_unaffected__AC9 · evidence/test-integration.log</t>
        </is>
      </c>
    </row>
    <row r="26" ht="74" customHeight="1">
      <c r="A26" s="7" t="inlineStr">
        <is>
          <t>TC-LINKAPPROVE-18</t>
        </is>
      </c>
      <c r="B26" s="7" t="inlineStr">
        <is>
          <t>Chấp thuận rồi hủy liên kết làm bộ đếm từ chối về 0</t>
        </is>
      </c>
      <c r="C26" s="8" t="inlineStr">
        <is>
          <t>P có family_sharing và mã liên kết; F chưa liên kết</t>
        </is>
      </c>
      <c r="D26" s="8" t="inlineStr">
        <is>
          <t>1. Từ chối 4 lần qua endpoint
2. F gửi, P chấp thuận, P hủy liên kết
3. Từ chối thêm 4 lần
4. F gửi lần thứ 10 trong ngày</t>
        </is>
      </c>
      <c r="E26" s="8" t="inlineStr">
        <is>
          <t>client_uuid mới mỗi lần</t>
        </is>
      </c>
      <c r="F26" s="8" t="inlineStr">
        <is>
          <t>Lần gửi cuối 201 (không bị chặn); các dòng theo thứ tự: 4 rejected, 1 revoked, 4 rejected, 1 pending</t>
        </is>
      </c>
      <c r="G26" s="8" t="inlineStr">
        <is>
          <t>Đúng như mong đợi</t>
        </is>
      </c>
      <c r="H26" s="7" t="inlineStr">
        <is>
          <t>Pass</t>
        </is>
      </c>
      <c r="I26" s="8" t="inlineStr">
        <is>
          <t>AC9 · Decision Table (R1) · test_approval_then_revoke_resets_streak_via_endpoints__AC9 · evidence/test-integration.log</t>
        </is>
      </c>
    </row>
    <row r="27" ht="90.5" customHeight="1">
      <c r="A27" s="7" t="inlineStr">
        <is>
          <t>TC-LINKAPPROVE-19</t>
        </is>
      </c>
      <c r="B27" s="7" t="inlineStr">
        <is>
          <t>Hiện mục Yêu cầu theo dõi bạn trên tab Người thân</t>
        </is>
      </c>
      <c r="C27" s="8" t="inlineStr">
        <is>
          <t>App mobile; có 2 yêu cầu pending, 1 người gửi không có tên</t>
        </is>
      </c>
      <c r="D27" s="8" t="inlineStr">
        <is>
          <t>1. Mở tab Người thân
2. Kéo xuống để tải lại</t>
        </is>
      </c>
      <c r="E27" s="8" t="inlineStr">
        <is>
          <t>requested_at = 2026-10-15T02:00:00Z</t>
        </is>
      </c>
      <c r="F27" s="8" t="inlineStr">
        <is>
          <t>Hiện "Yêu cầu theo dõi bạn (2)"; tên người thân và "Người dùng DrugTime" cho người không có tên; "Gửi lúc 09:00 15/10/2026"; kéo xuống gọi lại API; không có yêu cầu thì không hiện mục</t>
        </is>
      </c>
      <c r="G27" s="8" t="inlineStr">
        <is>
          <t>Đúng như mong đợi</t>
        </is>
      </c>
      <c r="H27" s="7" t="inlineStr">
        <is>
          <t>Pass</t>
        </is>
      </c>
      <c r="I27" s="8" t="inlineStr">
        <is>
          <t>AC16 · incoming_requests_test.dart (AC16) · evidence/implement-final-frontend.log</t>
        </is>
      </c>
    </row>
    <row r="28" ht="57.5" customHeight="1">
      <c r="A28" s="7" t="inlineStr">
        <is>
          <t>TC-LINKAPPROVE-20</t>
        </is>
      </c>
      <c r="B28" s="7" t="inlineStr">
        <is>
          <t>Chuyển sang tab Người thân thì tải lại yêu cầu đang chờ</t>
        </is>
      </c>
      <c r="C28" s="8" t="inlineStr">
        <is>
          <t>App mở ở tab Thuốc</t>
        </is>
      </c>
      <c r="D28" s="8" t="inlineStr">
        <is>
          <t>1. Chạm tab Người thân
2. Chuyển sang tab Thuốc
3. Chạm lại tab Người thân</t>
        </is>
      </c>
      <c r="E28" s="8" t="inlineStr">
        <is>
          <t>-</t>
        </is>
      </c>
      <c r="F28" s="8" t="inlineStr">
        <is>
          <t>Mỗi lần mở tab Người thân gọi listPendingRequests một lần; trước khi mở tab thì không gọi</t>
        </is>
      </c>
      <c r="G28" s="8" t="inlineStr">
        <is>
          <t>Đúng như mong đợi</t>
        </is>
      </c>
      <c r="H28" s="7" t="inlineStr">
        <is>
          <t>Pass</t>
        </is>
      </c>
      <c r="I28" s="8" t="inlineStr">
        <is>
          <t>AC16 · app_shell_test.dart (AC16) · evidence/implement-final-frontend.log</t>
        </is>
      </c>
    </row>
    <row r="29" ht="123.5" customHeight="1">
      <c r="A29" s="7" t="inlineStr">
        <is>
          <t>TC-LINKAPPROVE-21</t>
        </is>
      </c>
      <c r="B29" s="7" t="inlineStr">
        <is>
          <t>Chấp thuận trên app qua bước xác nhận đồng ý</t>
        </is>
      </c>
      <c r="C29" s="8" t="inlineStr">
        <is>
          <t>Có yêu cầu từ Nguyễn Văn An</t>
        </is>
      </c>
      <c r="D29" s="8" t="inlineStr">
        <is>
          <t>1. Bấm Chấp thuận
2. Kiểm nút Chấp thuận khi chưa tick
3. Tick "Tôi đồng ý chia sẻ…" và bấm Chấp thuận
4. Ở hộp "Đã liên kết…" chọn Để sau (lần khác chọn Bật chia sẻ)
5. Lần khác: mở bước xác nhận rồi bấm Hủy</t>
        </is>
      </c>
      <c r="E29" s="8" t="inlineStr">
        <is>
          <t>consentDocumentVersion = 2026-10-v1</t>
        </is>
      </c>
      <c r="F29" s="8" t="inlineStr">
        <is>
          <t>Hiện văn bản family_sharing và "Chia sẻ với: Nguyễn Văn An"; chưa tick thì nút khóa; gửi approve đúng family_user_id và 2026-10-v1; mục biến mất; Để sau không bật chia sẻ, Bật chia sẻ gọi API và báo "Đã bật chia sẻ với Nguyễn Văn An."; Hủy không gọi API</t>
        </is>
      </c>
      <c r="G29" s="8" t="inlineStr">
        <is>
          <t>Đúng như mong đợi</t>
        </is>
      </c>
      <c r="H29" s="7" t="inlineStr">
        <is>
          <t>Pass</t>
        </is>
      </c>
      <c r="I29" s="8" t="inlineStr">
        <is>
          <t>AC17 · incoming_requests_test.dart (AC17) · evidence/implement-final-frontend.log</t>
        </is>
      </c>
    </row>
    <row r="30" ht="74" customHeight="1">
      <c r="A30" s="7" t="inlineStr">
        <is>
          <t>TC-LINKAPPROVE-22</t>
        </is>
      </c>
      <c r="B30" s="7" t="inlineStr">
        <is>
          <t>Từ chối trên app có hộp xác nhận</t>
        </is>
      </c>
      <c r="C30" s="8" t="inlineStr">
        <is>
          <t>Có yêu cầu từ Nguyễn Văn An</t>
        </is>
      </c>
      <c r="D30" s="8" t="inlineStr">
        <is>
          <t>1. Bấm Từ chối rồi Hủy
2. Bấm Từ chối rồi xác nhận Từ chối</t>
        </is>
      </c>
      <c r="E30" s="8" t="inlineStr">
        <is>
          <t>-</t>
        </is>
      </c>
      <c r="F30" s="8" t="inlineStr">
        <is>
          <t>Hủy không gọi API; xác nhận thì gửi reject không body, mục biến mất, báo "Đã từ chối yêu cầu của Nguyễn Văn An."</t>
        </is>
      </c>
      <c r="G30" s="8" t="inlineStr">
        <is>
          <t>Đúng như mong đợi</t>
        </is>
      </c>
      <c r="H30" s="7" t="inlineStr">
        <is>
          <t>Pass</t>
        </is>
      </c>
      <c r="I30" s="8" t="inlineStr">
        <is>
          <t>AC18 · incoming_requests_test.dart (AC18), api_client_test.dart (post không body) · evidence/implement-final-frontend.log</t>
        </is>
      </c>
    </row>
    <row r="31" ht="57.5" customHeight="1">
      <c r="A31" s="7" t="inlineStr">
        <is>
          <t>TC-LINKAPPROVE-23</t>
        </is>
      </c>
      <c r="B31" s="7" t="inlineStr">
        <is>
          <t>Nhắc bật chia sẻ khi patient chưa đồng ý family_sharing</t>
        </is>
      </c>
      <c r="C31" s="8" t="inlineStr">
        <is>
          <t>Tài khoản chưa bật family_sharing; có yêu cầu đang chờ</t>
        </is>
      </c>
      <c r="D31" s="8" t="inlineStr">
        <is>
          <t>1. Mở tab Người thân
2. Bấm "Mở Quyền riêng tư"</t>
        </is>
      </c>
      <c r="E31" s="8" t="inlineStr">
        <is>
          <t>-</t>
        </is>
      </c>
      <c r="F31" s="8" t="inlineStr">
        <is>
          <t>Có dải nhắc "Cần bật \"Chia sẻ với người thân\"…"; bấm nút mở màn Quyền riêng tư; đã bật thì không có dải nhắc</t>
        </is>
      </c>
      <c r="G31" s="8" t="inlineStr">
        <is>
          <t>Đúng như mong đợi</t>
        </is>
      </c>
      <c r="H31" s="7" t="inlineStr">
        <is>
          <t>Pass</t>
        </is>
      </c>
      <c r="I31" s="8" t="inlineStr">
        <is>
          <t>AC19 · incoming_requests_test.dart (AC19) · evidence/implement-final-frontend.log</t>
        </is>
      </c>
    </row>
    <row r="32" ht="90.5" customHeight="1">
      <c r="A32" s="7" t="inlineStr">
        <is>
          <t>TC-LINKAPPROVE-24</t>
        </is>
      </c>
      <c r="B32" s="7" t="inlineStr">
        <is>
          <t>Xử lý lỗi khi chấp thuận trên app</t>
        </is>
      </c>
      <c r="C32" s="8" t="inlineStr">
        <is>
          <t>Có yêu cầu đang chờ; server trả lỗi</t>
        </is>
      </c>
      <c r="D32" s="8" t="inlineStr">
        <is>
          <t>1. Chấp thuận khi server trả lần lượt 403 consent_revoked, 409, 404, 422 consent_document_outdated, lỗi mạng</t>
        </is>
      </c>
      <c r="E32" s="8" t="inlineStr">
        <is>
          <t>-</t>
        </is>
      </c>
      <c r="F32" s="8" t="inlineStr">
        <is>
          <t>Báo đúng câu cho từng lỗi; không hiện hộp bật chia sẻ; tải lại danh sách; yêu cầu vẫn còn</t>
        </is>
      </c>
      <c r="G32" s="8" t="inlineStr">
        <is>
          <t>Đúng như mong đợi</t>
        </is>
      </c>
      <c r="H32" s="7" t="inlineStr">
        <is>
          <t>Pass</t>
        </is>
      </c>
      <c r="I32" s="8" t="inlineStr">
        <is>
          <t>AC22 · Đoán lỗi (mất mạng) · incoming_requests_test.dart (AC22), remote_caregiver_repository_test.dart · evidence/implement-final-frontend.log</t>
        </is>
      </c>
    </row>
    <row r="33" ht="74" customHeight="1">
      <c r="A33" s="7" t="inlineStr">
        <is>
          <t>TC-LINKAPPROVE-25</t>
        </is>
      </c>
      <c r="B33" s="7" t="inlineStr">
        <is>
          <t>Bấm liên tục khi đang gửi thao tác</t>
        </is>
      </c>
      <c r="C33" s="8" t="inlineStr">
        <is>
          <t>Có yêu cầu đang chờ; server phản hồi chậm</t>
        </is>
      </c>
      <c r="D33" s="8" t="inlineStr">
        <is>
          <t>1. Xác nhận từ chối
2. Trong lúc chờ bấm lại Từ chối</t>
        </is>
      </c>
      <c r="E33" s="8" t="inlineStr">
        <is>
          <t>-</t>
        </is>
      </c>
      <c r="F33" s="8" t="inlineStr">
        <is>
          <t>Hai nút của mục bị khóa khi đang gửi; chỉ một request reject được gửi</t>
        </is>
      </c>
      <c r="G33" s="8" t="inlineStr">
        <is>
          <t>Đúng như mong đợi</t>
        </is>
      </c>
      <c r="H33" s="7" t="inlineStr">
        <is>
          <t>Pass</t>
        </is>
      </c>
      <c r="I33" s="8" t="inlineStr">
        <is>
          <t>AC22 · Đoán lỗi (bấm liên tục) · incoming_requests_test.dart (AC22) · evidence/implement-final-frontend.log</t>
        </is>
      </c>
    </row>
    <row r="34" ht="74" customHeight="1">
      <c r="A34" s="7" t="inlineStr">
        <is>
          <t>TC-LINKAPPROVE-26</t>
        </is>
      </c>
      <c r="B34" s="7" t="inlineStr">
        <is>
          <t>Chấp thuận yêu cầu thật trên hai thiết bị</t>
        </is>
      </c>
      <c r="C34" s="8" t="inlineStr">
        <is>
          <t>Hai tài khoản trên hai máy, backend đang chạy; P đã bật family_sharing</t>
        </is>
      </c>
      <c r="D34" s="8" t="inlineStr">
        <is>
          <t>1. F nhập/quét mã của P
2. P mở tab Người thân, thấy yêu cầu
3. P chấp thuận, tick đồng ý, chọn Bật chia sẻ
4. F gửi lại mã</t>
        </is>
      </c>
      <c r="E34" s="8" t="inlineStr">
        <is>
          <t>Mã liên kết của P</t>
        </is>
      </c>
      <c r="F34" s="8" t="inlineStr">
        <is>
          <t>P thấy yêu cầu đúng tên F; sau chấp thuận F có trong Người giám sát với chia sẻ bật; F gửi lại mã nhận thông báo đã liên kết (409 already_linked)</t>
        </is>
      </c>
      <c r="G34" s="8" t="inlineStr"/>
      <c r="H34" s="7" t="inlineStr">
        <is>
          <t>Pending</t>
        </is>
      </c>
      <c r="I34" s="8" t="inlineStr">
        <is>
          <t>AC23 · manual</t>
        </is>
      </c>
    </row>
    <row r="35" ht="57.5" customHeight="1">
      <c r="A35" s="7" t="inlineStr">
        <is>
          <t>TC-LINKAPPROVE-27</t>
        </is>
      </c>
      <c r="B35" s="7" t="inlineStr">
        <is>
          <t>Từ chối yêu cầu thật trên hai thiết bị</t>
        </is>
      </c>
      <c r="C35" s="8" t="inlineStr">
        <is>
          <t>Hai tài khoản trên hai máy, backend đang chạy</t>
        </is>
      </c>
      <c r="D35" s="8" t="inlineStr">
        <is>
          <t>1. F gửi yêu cầu bằng mã của P
2. P từ chối
3. F gửi lại ngay</t>
        </is>
      </c>
      <c r="E35" s="8" t="inlineStr">
        <is>
          <t>Mã liên kết của P</t>
        </is>
      </c>
      <c r="F35" s="8" t="inlineStr">
        <is>
          <t>Yêu cầu biến mất trên máy P; F gửi lại được ngay (201) khi chưa đủ 5 lần bị từ chối</t>
        </is>
      </c>
      <c r="G35" s="8" t="inlineStr"/>
      <c r="H35" s="7" t="inlineStr">
        <is>
          <t>Pending</t>
        </is>
      </c>
      <c r="I35" s="8" t="inlineStr">
        <is>
          <t>AC23 · manual</t>
        </is>
      </c>
    </row>
    <row r="36"/>
    <row r="37"/>
    <row r="38">
      <c r="G38" s="12" t="inlineStr">
        <is>
          <t>Pass</t>
        </is>
      </c>
      <c r="H38" s="13">
        <f>COUNTIF(H9:H35,"Pass")</f>
        <v/>
      </c>
    </row>
    <row r="39">
      <c r="G39" s="12" t="inlineStr">
        <is>
          <t>Fail</t>
        </is>
      </c>
      <c r="H39" s="13">
        <f>COUNTIF(H9:H35,"Fail")</f>
        <v/>
      </c>
    </row>
    <row r="40">
      <c r="G40" s="12" t="inlineStr">
        <is>
          <t>Pending</t>
        </is>
      </c>
      <c r="H40" s="13">
        <f>COUNTIF(H9:H35,"Pending")</f>
        <v/>
      </c>
    </row>
    <row r="41">
      <c r="G41" s="12" t="inlineStr">
        <is>
          <t>Total</t>
        </is>
      </c>
      <c r="H41" s="13">
        <f>SUM(H38:H40)</f>
        <v/>
      </c>
    </row>
  </sheetData>
  <autoFilter ref="A8:I35"/>
  <conditionalFormatting sqref="H9:H35">
    <cfRule type="cellIs" priority="1" operator="equal" dxfId="0">
      <formula>"Fail"</formula>
    </cfRule>
  </conditionalFormatting>
  <dataValidations count="1">
    <dataValidation sqref="H9:H35" showDropDown="0" showInputMessage="0" showErrorMessage="0" allowBlank="0" type="list">
      <formula1>"Pass,Fail,Pending"</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Quản lý người giám sát (CAREGIVER)</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Người thân đọc dữ liệu sức khỏe / nhận cảnh báo của patient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TC-CAREGIVER-01</t>
        </is>
      </c>
      <c r="B9" s="7" t="inlineStr">
        <is>
          <t>Xem danh sách người giám sát của chính mình</t>
        </is>
      </c>
      <c r="C9" s="8" t="inlineStr">
        <is>
          <t>P có 2 liên kết chấp thuận qua API (F1 bật chia sẻ, F2 chấp thuận sau), 1 liên kết cũ không bằng chứng (F3), và các liên kết pending/rejected/revoked; có liên kết của patient khác</t>
        </is>
      </c>
      <c r="D9" s="8" t="inlineStr">
        <is>
          <t>1. Đăng nhập bằng P
2. GET /family/caregivers</t>
        </is>
      </c>
      <c r="E9" s="8" t="inlineStr">
        <is>
          <t>-</t>
        </is>
      </c>
      <c r="F9" s="8" t="inlineStr">
        <is>
          <t>200; items theo thứ tự F2, F1, F3; mỗi mục đúng 6 field, status=active; F1 sharing_enabled=true; F3 approved_at=null; không có liên kết khác; audit list_caregivers/allowed không có link_id</t>
        </is>
      </c>
      <c r="G9" s="8" t="inlineStr">
        <is>
          <t>Đúng như mong đợi</t>
        </is>
      </c>
      <c r="H9" s="7" t="inlineStr">
        <is>
          <t>Pass</t>
        </is>
      </c>
      <c r="I9" s="8" t="inlineStr">
        <is>
          <t>AC11 · test_list_only_own_active_ordered_minimal__AC11 · evidence/test-integration.log</t>
        </is>
      </c>
      <c r="K9" s="9" t="inlineStr">
        <is>
          <t>sharing_enabled (body PATCH)</t>
        </is>
      </c>
      <c r="L9" s="10" t="inlineStr">
        <is>
          <t>true
false</t>
        </is>
      </c>
      <c r="M9" s="10" t="inlineStr">
        <is>
          <t>1
2</t>
        </is>
      </c>
      <c r="N9" s="10" t="inlineStr">
        <is>
          <t>"true" (chuỗi)
1
null
thiếu field
field lạ (patient_id)</t>
        </is>
      </c>
      <c r="O9" s="10" t="inlineStr">
        <is>
          <t>4
5
6
7
8</t>
        </is>
      </c>
      <c r="Q9" s="10" t="inlineStr">
        <is>
          <t>Liên kết active?</t>
        </is>
      </c>
      <c r="R9" s="11" t="inlineStr">
        <is>
          <t>Không</t>
        </is>
      </c>
      <c r="S9" s="11" t="inlineStr">
        <is>
          <t>Có</t>
        </is>
      </c>
      <c r="T9" s="11" t="inlineStr">
        <is>
          <t>Có</t>
        </is>
      </c>
      <c r="U9" s="11" t="inlineStr">
        <is>
          <t>Có</t>
        </is>
      </c>
    </row>
    <row r="10" ht="140" customHeight="1">
      <c r="A10" s="7" t="inlineStr">
        <is>
          <t>TC-CAREGIVER-02</t>
        </is>
      </c>
      <c r="B10" s="7" t="inlineStr">
        <is>
          <t>Xem danh sách khi chưa có người giám sát</t>
        </is>
      </c>
      <c r="C10" s="8" t="inlineStr">
        <is>
          <t>Tài khoản không có liên kết active</t>
        </is>
      </c>
      <c r="D10" s="8" t="inlineStr">
        <is>
          <t>1. GET /family/caregivers</t>
        </is>
      </c>
      <c r="E10" s="8" t="inlineStr">
        <is>
          <t>-</t>
        </is>
      </c>
      <c r="F10" s="8" t="inlineStr">
        <is>
          <t>200; {"items": []}</t>
        </is>
      </c>
      <c r="G10" s="8" t="inlineStr">
        <is>
          <t>200; {"items": []}</t>
        </is>
      </c>
      <c r="H10" s="7" t="inlineStr">
        <is>
          <t>Pass</t>
        </is>
      </c>
      <c r="I10" s="8" t="inlineStr">
        <is>
          <t>AC11 · test_empty_list_returns_items_empty__AC11 · evidence/test-integration.log</t>
        </is>
      </c>
      <c r="K10" s="9" t="inlineStr">
        <is>
          <t>link_id (path)</t>
        </is>
      </c>
      <c r="L10" s="10" t="inlineStr">
        <is>
          <t>id liên kết active của chính mình</t>
        </is>
      </c>
      <c r="M10" s="10" t="inlineStr">
        <is>
          <t>3</t>
        </is>
      </c>
      <c r="N10" s="10" t="inlineStr">
        <is>
          <t>0
-1
abc
9223372036854775808
id không tồn tại
liên kết của patient khác
liên kết không active (pending/rejected/revoked)</t>
        </is>
      </c>
      <c r="O10" s="10" t="inlineStr">
        <is>
          <t>9
10
11
12
13
14
15</t>
        </is>
      </c>
      <c r="Q10" s="10" t="inlineStr">
        <is>
          <t>Công tắc chia sẻ bật?</t>
        </is>
      </c>
      <c r="R10" s="11" t="inlineStr">
        <is>
          <t>-</t>
        </is>
      </c>
      <c r="S10" s="11" t="inlineStr">
        <is>
          <t>Không</t>
        </is>
      </c>
      <c r="T10" s="11" t="inlineStr">
        <is>
          <t>Có</t>
        </is>
      </c>
      <c r="U10" s="11" t="inlineStr">
        <is>
          <t>Có</t>
        </is>
      </c>
    </row>
    <row r="11" ht="90.5" customHeight="1">
      <c r="A11" s="7" t="inlineStr">
        <is>
          <t>TC-CAREGIVER-03</t>
        </is>
      </c>
      <c r="B11" s="7" t="inlineStr">
        <is>
          <t>Gửi query patient_id để xem người giám sát của người khác</t>
        </is>
      </c>
      <c r="C11" s="8" t="inlineStr">
        <is>
          <t>Đã đăng nhập</t>
        </is>
      </c>
      <c r="D11" s="8" t="inlineStr">
        <is>
          <t>1. GET /family/caregivers?patient_id=&lt;UUID khác&gt;</t>
        </is>
      </c>
      <c r="E11" s="8" t="inlineStr">
        <is>
          <t>patient_id=&lt;UUID&gt;</t>
        </is>
      </c>
      <c r="F11" s="8" t="inlineStr">
        <is>
          <t>422</t>
        </is>
      </c>
      <c r="G11" s="8" t="inlineStr">
        <is>
          <t>422</t>
        </is>
      </c>
      <c r="H11" s="7" t="inlineStr">
        <is>
          <t>Pass</t>
        </is>
      </c>
      <c r="I11" s="8" t="inlineStr">
        <is>
          <t>AC5 · Đoán lỗi (truy cập dữ liệu người khác) · test_caregivers_rejects_query_parameters__AC11 · evidence/test-integration.log</t>
        </is>
      </c>
      <c r="Q11" s="10" t="inlineStr">
        <is>
          <t>Patient còn đồng ý family_sharing?</t>
        </is>
      </c>
      <c r="R11" s="11" t="inlineStr">
        <is>
          <t>-</t>
        </is>
      </c>
      <c r="S11" s="11" t="inlineStr">
        <is>
          <t>-</t>
        </is>
      </c>
      <c r="T11" s="11" t="inlineStr">
        <is>
          <t>Không</t>
        </is>
      </c>
      <c r="U11" s="11" t="inlineStr">
        <is>
          <t>Có</t>
        </is>
      </c>
    </row>
    <row r="12" ht="74" customHeight="1">
      <c r="A12" s="7" t="inlineStr">
        <is>
          <t>TC-CAREGIVER-04</t>
        </is>
      </c>
      <c r="B12" s="7" t="inlineStr">
        <is>
          <t>Bật, bật lại và tắt chia sẻ</t>
        </is>
      </c>
      <c r="C12" s="8" t="inlineStr">
        <is>
          <t>Liên kết active chấp thuận qua API, chia sẻ đang tắt; P có family_sharing</t>
        </is>
      </c>
      <c r="D12" s="8" t="inlineStr">
        <is>
          <t>1. PATCH /family/links/{id}/sharing true
2. PATCH lại true
3. PATCH false</t>
        </is>
      </c>
      <c r="E12" s="8" t="inlineStr">
        <is>
          <t>{"sharing_enabled": true} / {"sharing_enabled": false}</t>
        </is>
      </c>
      <c r="F12" s="8" t="inlineStr">
        <is>
          <t>200 trả Caregiver với sharing_enabled đúng giá trị; gửi lại true trả kết quả giống hệt; DB đổi theo; audit enable_sharing x2, disable_sharing</t>
        </is>
      </c>
      <c r="G12" s="8" t="inlineStr">
        <is>
          <t>Đúng như mong đợi</t>
        </is>
      </c>
      <c r="H12" s="7" t="inlineStr">
        <is>
          <t>Pass</t>
        </is>
      </c>
      <c r="I12" s="8" t="inlineStr">
        <is>
          <t>AC12 · EP (1,2,3) · Đoán lỗi (gửi trùng) · test_enable_disable_idempotent_and_audit__AC12 · evidence/test-integration.log</t>
        </is>
      </c>
      <c r="Q12" s="6" t="inlineStr">
        <is>
          <t>Action</t>
        </is>
      </c>
      <c r="R12" s="5" t="inlineStr">
        <is>
          <t>R1</t>
        </is>
      </c>
      <c r="S12" s="5" t="inlineStr">
        <is>
          <t>R2</t>
        </is>
      </c>
      <c r="T12" s="5" t="inlineStr">
        <is>
          <t>R3</t>
        </is>
      </c>
      <c r="U12" s="5" t="inlineStr">
        <is>
          <t>R4</t>
        </is>
      </c>
    </row>
    <row r="13" ht="57.5" customHeight="1">
      <c r="A13" s="7" t="inlineStr">
        <is>
          <t>TC-CAREGIVER-05</t>
        </is>
      </c>
      <c r="B13" s="7" t="inlineStr">
        <is>
          <t>Tắt chia sẻ khi đã rút family_sharing</t>
        </is>
      </c>
      <c r="C13" s="8" t="inlineStr">
        <is>
          <t>Liên kết active đang chia sẻ; P đã rút family_sharing</t>
        </is>
      </c>
      <c r="D13" s="8" t="inlineStr">
        <is>
          <t>1. PATCH sharing false</t>
        </is>
      </c>
      <c r="E13" s="8" t="inlineStr">
        <is>
          <t>{"sharing_enabled": false}</t>
        </is>
      </c>
      <c r="F13" s="8" t="inlineStr">
        <is>
          <t>200; sharing_enabled=false</t>
        </is>
      </c>
      <c r="G13" s="8" t="inlineStr">
        <is>
          <t>Đúng như mong đợi</t>
        </is>
      </c>
      <c r="H13" s="7" t="inlineStr">
        <is>
          <t>Pass</t>
        </is>
      </c>
      <c r="I13" s="8" t="inlineStr">
        <is>
          <t>AC12 · test_disable_allowed_without_consent__AC12 · evidence/test-integration.log</t>
        </is>
      </c>
      <c r="Q13" s="10" t="inlineStr">
        <is>
          <t>403 + access_logs denied; không có trong danh sách nhận cảnh báo</t>
        </is>
      </c>
      <c r="R13" s="11" t="inlineStr">
        <is>
          <t>X</t>
        </is>
      </c>
      <c r="S13" s="11" t="inlineStr">
        <is>
          <t>X</t>
        </is>
      </c>
      <c r="T13" s="11" t="inlineStr">
        <is>
          <t>X</t>
        </is>
      </c>
      <c r="U13" s="11" t="inlineStr"/>
    </row>
    <row r="14" ht="74" customHeight="1">
      <c r="A14" s="7" t="inlineStr">
        <is>
          <t>TC-CAREGIVER-06</t>
        </is>
      </c>
      <c r="B14" s="7" t="inlineStr">
        <is>
          <t>Bật chia sẻ khi chưa đồng ý family_sharing</t>
        </is>
      </c>
      <c r="C14" s="8" t="inlineStr">
        <is>
          <t>Liên kết active, chia sẻ tắt; P đã rút family_sharing</t>
        </is>
      </c>
      <c r="D14" s="8" t="inlineStr">
        <is>
          <t>1. PATCH sharing true</t>
        </is>
      </c>
      <c r="E14" s="8" t="inlineStr">
        <is>
          <t>{"sharing_enabled": true}</t>
        </is>
      </c>
      <c r="F14" s="8" t="inlineStr">
        <is>
          <t>403 {"detail": "consent_revoked"}; công tắc vẫn tắt; audit enable_sharing/denied reason consent_revoked</t>
        </is>
      </c>
      <c r="G14" s="8" t="inlineStr">
        <is>
          <t>Đúng như mong đợi</t>
        </is>
      </c>
      <c r="H14" s="7" t="inlineStr">
        <is>
          <t>Pass</t>
        </is>
      </c>
      <c r="I14" s="8" t="inlineStr">
        <is>
          <t>AC7, AC10 · test_enable_without_consent_403_denied_audit__AC7_AC10 · evidence/test-integration.log</t>
        </is>
      </c>
      <c r="Q14" s="10" t="inlineStr">
        <is>
          <t>200 + access_logs allowed; có trong danh sách nhận cảnh báo</t>
        </is>
      </c>
      <c r="R14" s="11" t="inlineStr"/>
      <c r="S14" s="11" t="inlineStr"/>
      <c r="T14" s="11" t="inlineStr"/>
      <c r="U14" s="11" t="inlineStr">
        <is>
          <t>X</t>
        </is>
      </c>
    </row>
    <row r="15" ht="74" customHeight="1">
      <c r="A15" s="7" t="inlineStr">
        <is>
          <t>TC-CAREGIVER-07</t>
        </is>
      </c>
      <c r="B15" s="7" t="inlineStr">
        <is>
          <t>Bật chia sẻ cho liên kết cũ không có bằng chứng xác nhận</t>
        </is>
      </c>
      <c r="C15" s="8" t="inlineStr">
        <is>
          <t>Liên kết active tạo trước 3.16 (không có bằng chứng), chia sẻ bật</t>
        </is>
      </c>
      <c r="D15" s="8" t="inlineStr">
        <is>
          <t>1. PATCH sharing true
2. PATCH sharing false</t>
        </is>
      </c>
      <c r="E15" s="8" t="inlineStr">
        <is>
          <t>-</t>
        </is>
      </c>
      <c r="F15" s="8" t="inlineStr">
        <is>
          <t>true: 409 {"detail": "consent_confirmation_missing"}; false: 200, approved_at=null</t>
        </is>
      </c>
      <c r="G15" s="8" t="inlineStr">
        <is>
          <t>Đúng như mong đợi</t>
        </is>
      </c>
      <c r="H15" s="7" t="inlineStr">
        <is>
          <t>Pass</t>
        </is>
      </c>
      <c r="I15" s="8" t="inlineStr">
        <is>
          <t>AC10 · test_enable_legacy_link_409_confirmation_missing_but_disable_ok__AC10 · evidence/test-integration.log</t>
        </is>
      </c>
    </row>
    <row r="16" ht="90.5" customHeight="1">
      <c r="A16" s="7" t="inlineStr">
        <is>
          <t>TC-CAREGIVER-08</t>
        </is>
      </c>
      <c r="B16" s="7" t="inlineStr">
        <is>
          <t>Bật/tắt chia sẻ cho liên kết không active</t>
        </is>
      </c>
      <c r="C16" s="8" t="inlineStr">
        <is>
          <t>Liên kết pending, rejected hoặc revoked</t>
        </is>
      </c>
      <c r="D16" s="8" t="inlineStr">
        <is>
          <t>1. PATCH sharing true và false cho từng trạng thái</t>
        </is>
      </c>
      <c r="E16" s="8" t="inlineStr">
        <is>
          <t>6 tổ hợp trạng thái × giá trị</t>
        </is>
      </c>
      <c r="F16" s="8" t="inlineStr">
        <is>
          <t>409 {"detail": "family_link_not_active"}; dòng liên kết không đổi</t>
        </is>
      </c>
      <c r="G16" s="8" t="inlineStr">
        <is>
          <t>Đúng như mong đợi (6/6)</t>
        </is>
      </c>
      <c r="H16" s="7" t="inlineStr">
        <is>
          <t>Pass</t>
        </is>
      </c>
      <c r="I16" s="8" t="inlineStr">
        <is>
          <t>AC10 · EP (15) · Chuyển trạng thái (thao tác bị cấm) · test_sharing_on_non_active_link_409__AC10 · evidence/test-integration.log</t>
        </is>
      </c>
    </row>
    <row r="17" ht="74" customHeight="1">
      <c r="A17" s="7" t="inlineStr">
        <is>
          <t>TC-CAREGIVER-09</t>
        </is>
      </c>
      <c r="B17" s="7" t="inlineStr">
        <is>
          <t>Gửi body bật/tắt chia sẻ sai cấu trúc</t>
        </is>
      </c>
      <c r="C17" s="8" t="inlineStr">
        <is>
          <t>Đã đăng nhập</t>
        </is>
      </c>
      <c r="D17" s="8" t="inlineStr">
        <is>
          <t>1. PATCH /family/links/1/sharing với từng body sai</t>
        </is>
      </c>
      <c r="E17" s="8" t="inlineStr">
        <is>
          <t>(không body); {}; "true" (chuỗi); 1; null; {"sharing_enabled": true, "patient_id": "…"}</t>
        </is>
      </c>
      <c r="F17" s="8" t="inlineStr">
        <is>
          <t>422 ValidationError; không gọi use case</t>
        </is>
      </c>
      <c r="G17" s="8" t="inlineStr">
        <is>
          <t>422 cho mọi trường hợp</t>
        </is>
      </c>
      <c r="H17" s="7" t="inlineStr">
        <is>
          <t>Pass</t>
        </is>
      </c>
      <c r="I17" s="8" t="inlineStr">
        <is>
          <t>AC22 · EP (4,5,6,7,8) · test_strict_sharing_body_rejected_before_use_case · evidence/implement-final-backend.log</t>
        </is>
      </c>
    </row>
    <row r="18" ht="74" customHeight="1">
      <c r="A18" s="7" t="inlineStr">
        <is>
          <t>TC-CAREGIVER-10</t>
        </is>
      </c>
      <c r="B18" s="7" t="inlineStr">
        <is>
          <t>Gọi bật/tắt chia sẻ và hủy với link_id không hợp lệ</t>
        </is>
      </c>
      <c r="C18" s="8" t="inlineStr">
        <is>
          <t>Đã đăng nhập</t>
        </is>
      </c>
      <c r="D18" s="8" t="inlineStr">
        <is>
          <t>1. PATCH /family/links/{link_id}/sharing
2. POST /family/links/{link_id}/revoke</t>
        </is>
      </c>
      <c r="E18" s="8" t="inlineStr">
        <is>
          <t>link_id = 0, -1, abc, 1.1, 9223372036854775808</t>
        </is>
      </c>
      <c r="F18" s="8" t="inlineStr">
        <is>
          <t>422 cho mọi giá trị</t>
        </is>
      </c>
      <c r="G18" s="8" t="inlineStr">
        <is>
          <t>422</t>
        </is>
      </c>
      <c r="H18" s="7" t="inlineStr">
        <is>
          <t>Pass</t>
        </is>
      </c>
      <c r="I18" s="8" t="inlineStr">
        <is>
          <t>AC22 · EP (9,10,11,12) · BVA (min-1) · test_new_routes_invalid_path_id_is_422 · evidence/implement-final-backend.log</t>
        </is>
      </c>
    </row>
    <row r="19" ht="74" customHeight="1">
      <c r="A19" s="7" t="inlineStr">
        <is>
          <t>TC-CAREGIVER-11</t>
        </is>
      </c>
      <c r="B19" s="7" t="inlineStr">
        <is>
          <t>Thao tác trên liên kết không tồn tại</t>
        </is>
      </c>
      <c r="C19" s="8" t="inlineStr">
        <is>
          <t>P đã đăng nhập</t>
        </is>
      </c>
      <c r="D19" s="8" t="inlineStr">
        <is>
          <t>1. PATCH sharing true cho id 2000000000
2. POST revoke cho id 2000000000</t>
        </is>
      </c>
      <c r="E19" s="8" t="inlineStr">
        <is>
          <t>link_id=2000000000</t>
        </is>
      </c>
      <c r="F19" s="8" t="inlineStr">
        <is>
          <t>404 {"detail": "family_link_not_found"}; không ghi audit</t>
        </is>
      </c>
      <c r="G19" s="8" t="inlineStr">
        <is>
          <t>Đúng như mong đợi</t>
        </is>
      </c>
      <c r="H19" s="7" t="inlineStr">
        <is>
          <t>Pass</t>
        </is>
      </c>
      <c r="I19" s="8" t="inlineStr">
        <is>
          <t>AC10 · EP (13) · test_missing_link_404_without_allowed_audit__AC10 · evidence/test-integration.log</t>
        </is>
      </c>
    </row>
    <row r="20" ht="107" customHeight="1">
      <c r="A20" s="7" t="inlineStr">
        <is>
          <t>TC-CAREGIVER-12</t>
        </is>
      </c>
      <c r="B20" s="7" t="inlineStr">
        <is>
          <t>Người thân, người lạ, admin bật/tắt chia sẻ hoặc hủy liên kết thay patient</t>
        </is>
      </c>
      <c r="C20" s="8" t="inlineStr">
        <is>
          <t>Liên kết active P←F đang chia sẻ; người lạ X; admin A</t>
        </is>
      </c>
      <c r="D20" s="8" t="inlineStr">
        <is>
          <t>1. Gọi 3 endpoint không token
2. Với F, X, A: PATCH false, PATCH true, POST revoke
3. A gọi GET /family/caregivers
4. F, X gọi GET /family/caregivers
5. P gọi POST revoke</t>
        </is>
      </c>
      <c r="E20" s="8" t="inlineStr">
        <is>
          <t>-</t>
        </is>
      </c>
      <c r="F20" s="8" t="inlineStr">
        <is>
          <t>401 khi không token; 403 khong_co_quyen, liên kết không đổi, mỗi lượt 1 audit denied với actor là người gọi (admin không ghi patient/link); admin xem danh sách 403; F và X thấy items rỗng; P hủy được (200)</t>
        </is>
      </c>
      <c r="G20" s="8" t="inlineStr">
        <is>
          <t>Đúng như mong đợi</t>
        </is>
      </c>
      <c r="H20" s="7" t="inlineStr">
        <is>
          <t>Pass</t>
        </is>
      </c>
      <c r="I20" s="8" t="inlineStr">
        <is>
          <t>AC5 · EP (14) · test_new_endpoints_denied_caller_matrix__AC5 · evidence/test-integration.log</t>
        </is>
      </c>
    </row>
    <row r="21" ht="90.5" customHeight="1">
      <c r="A21" s="7" t="inlineStr">
        <is>
          <t>TC-CAREGIVER-13</t>
        </is>
      </c>
      <c r="B21" s="7" t="inlineStr">
        <is>
          <t>Hủy liên kết và gửi lại lệnh hủy</t>
        </is>
      </c>
      <c r="C21" s="8" t="inlineStr">
        <is>
          <t>Liên kết active đang chia sẻ</t>
        </is>
      </c>
      <c r="D21" s="8" t="inlineStr">
        <is>
          <t>1. POST /family/links/{id}/revoke
2. POST revoke lần 2
3. GET /family/caregivers</t>
        </is>
      </c>
      <c r="E21" s="8" t="inlineStr">
        <is>
          <t>(không body)</t>
        </is>
      </c>
      <c r="F21" s="8" t="inlineStr">
        <is>
          <t>200 {link_id, family_user_id, status: revoked, revoked_at}; lần 2 trả y hệt; bằng chứng đồng ý vẫn còn 1 dòng; audit revoke x2; danh sách rỗng</t>
        </is>
      </c>
      <c r="G21" s="8" t="inlineStr">
        <is>
          <t>Đúng như mong đợi</t>
        </is>
      </c>
      <c r="H21" s="7" t="inlineStr">
        <is>
          <t>Pass</t>
        </is>
      </c>
      <c r="I21" s="8" t="inlineStr">
        <is>
          <t>AC13 · Chuyển trạng thái (active→revoked) · test_revoke_keeps_history_and_replay_returns_same_time__AC13 · evidence/test-integration.log</t>
        </is>
      </c>
    </row>
    <row r="22" ht="74" customHeight="1">
      <c r="A22" s="7" t="inlineStr">
        <is>
          <t>TC-CAREGIVER-14</t>
        </is>
      </c>
      <c r="B22" s="7" t="inlineStr">
        <is>
          <t>Liên kết lại sau khi hủy</t>
        </is>
      </c>
      <c r="C22" s="8" t="inlineStr">
        <is>
          <t>Liên kết đã chấp thuận, bật chia sẻ, rồi bị hủy</t>
        </is>
      </c>
      <c r="D22" s="8" t="inlineStr">
        <is>
          <t>1. F gửi lại yêu cầu bằng mã của P
2. P chấp thuận</t>
        </is>
      </c>
      <c r="E22" s="8" t="inlineStr">
        <is>
          <t>client_uuid mới</t>
        </is>
      </c>
      <c r="F22" s="8" t="inlineStr">
        <is>
          <t>201 tạo liên kết mới pending (id khác); sau chấp thuận sharing_enabled=false; bằng chứng mới riêng, bằng chứng cũ còn; liên kết cũ vẫn revoked</t>
        </is>
      </c>
      <c r="G22" s="8" t="inlineStr">
        <is>
          <t>Đúng như mong đợi</t>
        </is>
      </c>
      <c r="H22" s="7" t="inlineStr">
        <is>
          <t>Pass</t>
        </is>
      </c>
      <c r="I22" s="8" t="inlineStr">
        <is>
          <t>AC13 · test_relink_after_revoke_starts_unshared_with_new_evidence__AC13 · evidence/test-integration.log</t>
        </is>
      </c>
    </row>
    <row r="23" ht="74" customHeight="1">
      <c r="A23" s="7" t="inlineStr">
        <is>
          <t>TC-CAREGIVER-15</t>
        </is>
      </c>
      <c r="B23" s="7" t="inlineStr">
        <is>
          <t>Hủy liên kết đang chờ hoặc đã bị từ chối</t>
        </is>
      </c>
      <c r="C23" s="8" t="inlineStr">
        <is>
          <t>Liên kết pending hoặc rejected</t>
        </is>
      </c>
      <c r="D23" s="8" t="inlineStr">
        <is>
          <t>1. POST revoke</t>
        </is>
      </c>
      <c r="E23" s="8" t="inlineStr">
        <is>
          <t>-</t>
        </is>
      </c>
      <c r="F23" s="8" t="inlineStr">
        <is>
          <t>409 {"detail": "invalid_link_transition"}; liên kết không đổi</t>
        </is>
      </c>
      <c r="G23" s="8" t="inlineStr">
        <is>
          <t>Đúng như mong đợi</t>
        </is>
      </c>
      <c r="H23" s="7" t="inlineStr">
        <is>
          <t>Pass</t>
        </is>
      </c>
      <c r="I23" s="8" t="inlineStr">
        <is>
          <t>AC10 · Chuyển trạng thái (chuyển bị cấm) · test_revoke_pending_or_rejected_409__AC10 · evidence/test-integration.log</t>
        </is>
      </c>
    </row>
    <row r="24" ht="57.5" customHeight="1">
      <c r="A24" s="7" t="inlineStr">
        <is>
          <t>TC-CAREGIVER-16</t>
        </is>
      </c>
      <c r="B24" s="7" t="inlineStr">
        <is>
          <t>Gửi body khi hủy liên kết</t>
        </is>
      </c>
      <c r="C24" s="8" t="inlineStr">
        <is>
          <t>Liên kết active</t>
        </is>
      </c>
      <c r="D24" s="8" t="inlineStr">
        <is>
          <t>1. POST revoke với body {}</t>
        </is>
      </c>
      <c r="E24" s="8" t="inlineStr">
        <is>
          <t>{}</t>
        </is>
      </c>
      <c r="F24" s="8" t="inlineStr">
        <is>
          <t>422; liên kết vẫn active</t>
        </is>
      </c>
      <c r="G24" s="8" t="inlineStr">
        <is>
          <t>422</t>
        </is>
      </c>
      <c r="H24" s="7" t="inlineStr">
        <is>
          <t>Pass</t>
        </is>
      </c>
      <c r="I24" s="8" t="inlineStr">
        <is>
          <t>AC10 · Đoán lỗi · test_revoke_with_body_is_422__AC10 · evidence/test-integration.log</t>
        </is>
      </c>
    </row>
    <row r="25" ht="123.5" customHeight="1">
      <c r="A25" s="7" t="inlineStr">
        <is>
          <t>TC-CAREGIVER-17</t>
        </is>
      </c>
      <c r="B25" s="7" t="inlineStr">
        <is>
          <t>Mỗi quyết định của patient có hiệu lực ngay ở request kế tiếp của người thân</t>
        </is>
      </c>
      <c r="C25" s="8" t="inlineStr">
        <is>
          <t>P có health_data và family_sharing, có một thuốc; F dùng một token duy nhất</t>
        </is>
      </c>
      <c r="D25" s="8" t="inlineStr">
        <is>
          <t>1. F gửi yêu cầu (pending) → F đọc GET /medications/{id}
2. P chấp thuận → F đọc
3. P bật chia sẻ → F đọc
4. P tắt chia sẻ → F đọc
5. P bật lại → F đọc, P hủy liên kết → F đọc
6. F gửi lại, P từ chối → F đọc</t>
        </is>
      </c>
      <c r="E25" s="8" t="inlineStr">
        <is>
          <t>-</t>
        </is>
      </c>
      <c r="F25" s="8" t="inlineStr">
        <is>
          <t>403 + access_logs denied ở pending, chấp thuận (chia sẻ tắt), tắt chia sẻ, hủy, từ chối; 200 + allowed (actor_role family) khi đang chia sẻ; danh sách nhận cảnh báo (authorized_caregivers) có F đúng khi được 200</t>
        </is>
      </c>
      <c r="G25" s="8" t="inlineStr">
        <is>
          <t>Đúng như mong đợi</t>
        </is>
      </c>
      <c r="H25" s="7" t="inlineStr">
        <is>
          <t>Pass</t>
        </is>
      </c>
      <c r="I25" s="8" t="inlineStr">
        <is>
          <t>AC6 · Decision Table (R1, R2, R4) · test_every_decision_applies_on_next_request_same_token__AC6 · evidence/test-integration.log</t>
        </is>
      </c>
    </row>
    <row r="26" ht="74" customHeight="1">
      <c r="A26" s="7" t="inlineStr">
        <is>
          <t>TC-CAREGIVER-18</t>
        </is>
      </c>
      <c r="B26" s="7" t="inlineStr">
        <is>
          <t>Rút family_sharing khi công tắc vẫn bật</t>
        </is>
      </c>
      <c r="C26" s="8" t="inlineStr">
        <is>
          <t>Liên kết active đang chia sẻ, F đọc được</t>
        </is>
      </c>
      <c r="D26" s="8" t="inlineStr">
        <is>
          <t>1. P rút family_sharing
2. F đọc GET /medications/{id} ngay</t>
        </is>
      </c>
      <c r="E26" s="8" t="inlineStr">
        <is>
          <t>-</t>
        </is>
      </c>
      <c r="F26" s="8" t="inlineStr">
        <is>
          <t>403 + access_logs denied; F không còn trong danh sách nhận cảnh báo; công tắc không tự đổi</t>
        </is>
      </c>
      <c r="G26" s="8" t="inlineStr">
        <is>
          <t>Đúng như mong đợi</t>
        </is>
      </c>
      <c r="H26" s="7" t="inlineStr">
        <is>
          <t>Pass</t>
        </is>
      </c>
      <c r="I26" s="8" t="inlineStr">
        <is>
          <t>AC6 · Decision Table (R3) · test_consent_withdrawal_blocks_even_with_sharing_on__AC6 · evidence/test-integration.log</t>
        </is>
      </c>
    </row>
    <row r="27" ht="74" customHeight="1">
      <c r="A27" s="7" t="inlineStr">
        <is>
          <t>TC-CAREGIVER-19</t>
        </is>
      </c>
      <c r="B27" s="7" t="inlineStr">
        <is>
          <t>Hủy liên kết và bật chia sẻ cùng lúc</t>
        </is>
      </c>
      <c r="C27" s="8" t="inlineStr">
        <is>
          <t>Liên kết active, chia sẻ tắt; giữ khóa dòng để hai request cùng chờ</t>
        </is>
      </c>
      <c r="D27" s="8" t="inlineStr">
        <is>
          <t>1. Gửi đồng thời PATCH sharing true và POST revoke
2. Nhả khóa
3. F đọc dữ liệu</t>
        </is>
      </c>
      <c r="E27" s="8" t="inlineStr">
        <is>
          <t>-</t>
        </is>
      </c>
      <c r="F27" s="8" t="inlineStr">
        <is>
          <t>Revoke 200; PATCH 200 hoặc 409 family_link_not_active; trạng thái cuối revoked; F nhận 403 + denied</t>
        </is>
      </c>
      <c r="G27" s="8" t="inlineStr">
        <is>
          <t>Đúng như mong đợi (chạy 5 lần đều pass)</t>
        </is>
      </c>
      <c r="H27" s="7" t="inlineStr">
        <is>
          <t>Pass</t>
        </is>
      </c>
      <c r="I27" s="8" t="inlineStr">
        <is>
          <t>AC15 · Đoán lỗi (chạy đua) · test_concurrent_revoke_and_enable_sharing_ends_revoked__AC15 · evidence/test-integration.log</t>
        </is>
      </c>
    </row>
    <row r="28" ht="107" customHeight="1">
      <c r="A28" s="7" t="inlineStr">
        <is>
          <t>TC-CAREGIVER-20</t>
        </is>
      </c>
      <c r="B28" s="7" t="inlineStr">
        <is>
          <t>Kiểm migration audit cho thao tác mới</t>
        </is>
      </c>
      <c r="C28" s="8" t="inlineStr">
        <is>
          <t>DB reset sạch (supabase db reset)</t>
        </is>
      </c>
      <c r="D28" s="8" t="inlineStr">
        <is>
          <t>1. Chèn audit list_caregivers không link_id
2. Chèn enable_sharing/disable_sharing/revoke allowed và denied
3. Chèn operation lạ
4. Chèn allowed gắn link không có link_id
5. UPDATE/DELETE/TRUNCATE với mọi role</t>
        </is>
      </c>
      <c r="E28" s="8" t="inlineStr">
        <is>
          <t>operation = update_sharing, delete, LIST_CAREGIVERS, (blank)</t>
        </is>
      </c>
      <c r="F28" s="8" t="inlineStr">
        <is>
          <t>Operation mới được nhận; operation lạ và allowed gắn link thiếu link_id bị từ chối; mọi role không sửa/xóa được; ràng buộc đúng định nghĩa migration</t>
        </is>
      </c>
      <c r="G28" s="8" t="inlineStr">
        <is>
          <t>Đúng như mong đợi (32 test)</t>
        </is>
      </c>
      <c r="H28" s="7" t="inlineStr">
        <is>
          <t>Pass</t>
        </is>
      </c>
      <c r="I28" s="8" t="inlineStr">
        <is>
          <t>AC14 · test_migration_family_link_audit_operations.py · evidence/test-integration.log, evidence/test-db-reset.log</t>
        </is>
      </c>
    </row>
    <row r="29" ht="74" customHeight="1">
      <c r="A29" s="7" t="inlineStr">
        <is>
          <t>TC-CAREGIVER-21</t>
        </is>
      </c>
      <c r="B29" s="7" t="inlineStr">
        <is>
          <t>Mở màn Người giám sát từ Hồ sơ</t>
        </is>
      </c>
      <c r="C29" s="8" t="inlineStr">
        <is>
          <t>App mobile; có 2 người giám sát (1 không tên, 1 liên kết cũ)</t>
        </is>
      </c>
      <c r="D29" s="8" t="inlineStr">
        <is>
          <t>1. Hồ sơ &gt; Người giám sát</t>
        </is>
      </c>
      <c r="E29" s="8" t="inlineStr">
        <is>
          <t>approved_at = 2026-10-14T18:00:00Z</t>
        </is>
      </c>
      <c r="F29" s="8" t="inlineStr">
        <is>
          <t>Không còn "Sắp ra mắt"; hiện tên, "Chấp thuận ngày 15/10/2026", "Người dùng DrugTime", "Liên kết trước khi có bước xác nhận đồng ý", công tắc đúng giá trị</t>
        </is>
      </c>
      <c r="G29" s="8" t="inlineStr">
        <is>
          <t>Đúng như mong đợi</t>
        </is>
      </c>
      <c r="H29" s="7" t="inlineStr">
        <is>
          <t>Pass</t>
        </is>
      </c>
      <c r="I29" s="8" t="inlineStr">
        <is>
          <t>AC20 · caregivers_screen_test.dart (AC20), profile_screens_test.dart (AC20) · evidence/implement-final-frontend.log</t>
        </is>
      </c>
    </row>
    <row r="30" ht="74" customHeight="1">
      <c r="A30" s="7" t="inlineStr">
        <is>
          <t>TC-CAREGIVER-22</t>
        </is>
      </c>
      <c r="B30" s="7" t="inlineStr">
        <is>
          <t>Màn trống: bấm Mở tab Người thân</t>
        </is>
      </c>
      <c r="C30" s="8" t="inlineStr">
        <is>
          <t>Chưa có người giám sát</t>
        </is>
      </c>
      <c r="D30" s="8" t="inlineStr">
        <is>
          <t>1. Hồ sơ &gt; Người giám sát
2. Bấm "Mở tab Người thân"</t>
        </is>
      </c>
      <c r="E30" s="8" t="inlineStr">
        <is>
          <t>-</t>
        </is>
      </c>
      <c r="F30" s="8" t="inlineStr">
        <is>
          <t>Hiện "Chưa có người giám sát"; bấm nút thì đóng màn, shell chuyển sang tab Người thân và tải yêu cầu đang chờ</t>
        </is>
      </c>
      <c r="G30" s="8" t="inlineStr">
        <is>
          <t>Đúng như mong đợi</t>
        </is>
      </c>
      <c r="H30" s="7" t="inlineStr">
        <is>
          <t>Pass</t>
        </is>
      </c>
      <c r="I30" s="8" t="inlineStr">
        <is>
          <t>AC20 · app_shell_test.dart (AC20), caregivers_screen_test.dart · evidence/implement-final-frontend.log</t>
        </is>
      </c>
    </row>
    <row r="31" ht="74" customHeight="1">
      <c r="A31" s="7" t="inlineStr">
        <is>
          <t>TC-CAREGIVER-23</t>
        </is>
      </c>
      <c r="B31" s="7" t="inlineStr">
        <is>
          <t>Gạt công tắc chia sẻ trên app</t>
        </is>
      </c>
      <c r="C31" s="8" t="inlineStr">
        <is>
          <t>Có người giám sát</t>
        </is>
      </c>
      <c r="D31" s="8" t="inlineStr">
        <is>
          <t>1. Gạt công tắc
2. Trong lúc chờ gạt lại
3. Lần khác: server trả lỗi mạng</t>
        </is>
      </c>
      <c r="E31" s="8" t="inlineStr">
        <is>
          <t>-</t>
        </is>
      </c>
      <c r="F31" s="8" t="inlineStr">
        <is>
          <t>Công tắc và nút hủy khóa khi đang gửi, chỉ 1 request; hiện giá trị server trả và báo "Đã bật/tắt chia sẻ với …"; lỗi mạng thì giữ giá trị cũ và báo lỗi</t>
        </is>
      </c>
      <c r="G31" s="8" t="inlineStr">
        <is>
          <t>Đúng như mong đợi</t>
        </is>
      </c>
      <c r="H31" s="7" t="inlineStr">
        <is>
          <t>Pass</t>
        </is>
      </c>
      <c r="I31" s="8" t="inlineStr">
        <is>
          <t>AC21 · Đoán lỗi (bấm liên tục, mất mạng) · caregivers_screen_test.dart (AC21) · evidence/implement-final-frontend.log</t>
        </is>
      </c>
    </row>
    <row r="32" ht="90.5" customHeight="1">
      <c r="A32" s="7" t="inlineStr">
        <is>
          <t>TC-CAREGIVER-24</t>
        </is>
      </c>
      <c r="B32" s="7" t="inlineStr">
        <is>
          <t>Hủy liên kết trên app có hộp xác nhận</t>
        </is>
      </c>
      <c r="C32" s="8" t="inlineStr">
        <is>
          <t>Có người giám sát Nguyễn Văn An</t>
        </is>
      </c>
      <c r="D32" s="8" t="inlineStr">
        <is>
          <t>1. Bấm Hủy liên kết rồi Giữ liên kết
2. Bấm Hủy liên kết rồi xác nhận</t>
        </is>
      </c>
      <c r="E32" s="8" t="inlineStr">
        <is>
          <t>-</t>
        </is>
      </c>
      <c r="F32" s="8" t="inlineStr">
        <is>
          <t>Hộp nêu người thân mất quyền xem ngay và phải gửi yêu cầu mới; giữ thì không gọi API; xác nhận thì gọi revoke rồi tải lại, mục biến mất, báo "Đã hủy liên kết với Nguyễn Văn An."</t>
        </is>
      </c>
      <c r="G32" s="8" t="inlineStr">
        <is>
          <t>Đúng như mong đợi</t>
        </is>
      </c>
      <c r="H32" s="7" t="inlineStr">
        <is>
          <t>Pass</t>
        </is>
      </c>
      <c r="I32" s="8" t="inlineStr">
        <is>
          <t>AC21 · caregivers_screen_test.dart (AC21) · evidence/implement-final-frontend.log</t>
        </is>
      </c>
    </row>
    <row r="33" ht="57.5" customHeight="1">
      <c r="A33" s="7" t="inlineStr">
        <is>
          <t>TC-CAREGIVER-25</t>
        </is>
      </c>
      <c r="B33" s="7" t="inlineStr">
        <is>
          <t>Chưa bật family_sharing: chỉ tắt được, không bật được</t>
        </is>
      </c>
      <c r="C33" s="8" t="inlineStr">
        <is>
          <t>Tài khoản chưa bật family_sharing; 1 người giám sát đang tắt, 1 đang bật</t>
        </is>
      </c>
      <c r="D33" s="8" t="inlineStr">
        <is>
          <t>1. Mở màn Người giám sát
2. Bấm "Mở Quyền riêng tư"</t>
        </is>
      </c>
      <c r="E33" s="8" t="inlineStr">
        <is>
          <t>-</t>
        </is>
      </c>
      <c r="F33" s="8" t="inlineStr">
        <is>
          <t>Có dải nhắc; công tắc đang tắt bị khóa, công tắc đang bật vẫn tắt được; nút mở màn Quyền riêng tư</t>
        </is>
      </c>
      <c r="G33" s="8" t="inlineStr">
        <is>
          <t>Đúng như mong đợi</t>
        </is>
      </c>
      <c r="H33" s="7" t="inlineStr">
        <is>
          <t>Pass</t>
        </is>
      </c>
      <c r="I33" s="8" t="inlineStr">
        <is>
          <t>AC19 · caregivers_screen_test.dart (AC19) · evidence/implement-final-frontend.log</t>
        </is>
      </c>
    </row>
    <row r="34" ht="57.5" customHeight="1">
      <c r="A34" s="7" t="inlineStr">
        <is>
          <t>TC-CAREGIVER-26</t>
        </is>
      </c>
      <c r="B34" s="7" t="inlineStr">
        <is>
          <t>Xử lý lỗi khi bật chia sẻ trên app</t>
        </is>
      </c>
      <c r="C34" s="8" t="inlineStr">
        <is>
          <t>Có người giám sát; server trả lỗi</t>
        </is>
      </c>
      <c r="D34" s="8" t="inlineStr">
        <is>
          <t>1. Bật chia sẻ khi server trả lần lượt 403 consent_revoked, 409, 404, 409 consent_confirmation_missing, lỗi mạng</t>
        </is>
      </c>
      <c r="E34" s="8" t="inlineStr">
        <is>
          <t>-</t>
        </is>
      </c>
      <c r="F34" s="8" t="inlineStr">
        <is>
          <t>Báo đúng câu cho từng lỗi; công tắc giữ giá trị cũ; 409/404 thì tải lại danh sách</t>
        </is>
      </c>
      <c r="G34" s="8" t="inlineStr">
        <is>
          <t>Đúng như mong đợi</t>
        </is>
      </c>
      <c r="H34" s="7" t="inlineStr">
        <is>
          <t>Pass</t>
        </is>
      </c>
      <c r="I34" s="8" t="inlineStr">
        <is>
          <t>AC22 · caregivers_screen_test.dart (AC22) · evidence/implement-final-frontend.log</t>
        </is>
      </c>
    </row>
    <row r="35" ht="57.5" customHeight="1">
      <c r="A35" s="7" t="inlineStr">
        <is>
          <t>TC-CAREGIVER-27</t>
        </is>
      </c>
      <c r="B35" s="7" t="inlineStr">
        <is>
          <t>Mở lại màn và kéo xuống luôn gọi lại API</t>
        </is>
      </c>
      <c r="C35" s="8" t="inlineStr">
        <is>
          <t>Có người giám sát</t>
        </is>
      </c>
      <c r="D35" s="8" t="inlineStr">
        <is>
          <t>1. Kéo xuống
2. Đóng rồi mở lại màn</t>
        </is>
      </c>
      <c r="E35" s="8" t="inlineStr">
        <is>
          <t>-</t>
        </is>
      </c>
      <c r="F35" s="8" t="inlineStr">
        <is>
          <t>Mỗi lần gọi lại listCaregivers; không dùng dữ liệu cũ</t>
        </is>
      </c>
      <c r="G35" s="8" t="inlineStr">
        <is>
          <t>Đúng như mong đợi</t>
        </is>
      </c>
      <c r="H35" s="7" t="inlineStr">
        <is>
          <t>Pass</t>
        </is>
      </c>
      <c r="I35" s="8" t="inlineStr">
        <is>
          <t>AC22 · caregivers_screen_test.dart (AC20, AC22) · evidence/implement-final-frontend.log</t>
        </is>
      </c>
    </row>
    <row r="36" ht="90.5" customHeight="1">
      <c r="A36" s="7" t="inlineStr">
        <is>
          <t>TC-CAREGIVER-28</t>
        </is>
      </c>
      <c r="B36" s="7" t="inlineStr">
        <is>
          <t>Bật/tắt chia sẻ và hủy liên kết thật trên hai thiết bị</t>
        </is>
      </c>
      <c r="C36" s="8" t="inlineStr">
        <is>
          <t>P và F đã liên kết, chia sẻ bật; backend đang chạy</t>
        </is>
      </c>
      <c r="D36" s="8" t="inlineStr">
        <is>
          <t>1. F mở dữ liệu thuốc của P
2. P tắt chia sẻ ở Hồ sơ &gt; Người giám sát
3. F tải lại
4. P bật lại rồi Hủy liên kết
5. F tải lại; F gửi lại mã</t>
        </is>
      </c>
      <c r="E36" s="8" t="inlineStr">
        <is>
          <t>-</t>
        </is>
      </c>
      <c r="F36" s="8" t="inlineStr">
        <is>
          <t>F xem được khi đang chia sẻ; sau khi tắt hoặc hủy, lần tải kế tiếp F bị từ chối; sau khi hủy F gửi lại mã tạo được yêu cầu mới</t>
        </is>
      </c>
      <c r="G36" s="8" t="inlineStr"/>
      <c r="H36" s="7" t="inlineStr">
        <is>
          <t>Pending</t>
        </is>
      </c>
      <c r="I36" s="8" t="inlineStr">
        <is>
          <t>AC23 · manual</t>
        </is>
      </c>
    </row>
    <row r="37"/>
    <row r="38"/>
    <row r="39">
      <c r="G39" s="12" t="inlineStr">
        <is>
          <t>Pass</t>
        </is>
      </c>
      <c r="H39" s="13">
        <f>COUNTIF(H9:H36,"Pass")</f>
        <v/>
      </c>
    </row>
    <row r="40">
      <c r="G40" s="12" t="inlineStr">
        <is>
          <t>Fail</t>
        </is>
      </c>
      <c r="H40" s="13">
        <f>COUNTIF(H9:H36,"Fail")</f>
        <v/>
      </c>
    </row>
    <row r="41">
      <c r="G41" s="12" t="inlineStr">
        <is>
          <t>Pending</t>
        </is>
      </c>
      <c r="H41" s="13">
        <f>COUNTIF(H9:H36,"Pending")</f>
        <v/>
      </c>
    </row>
    <row r="42">
      <c r="G42" s="12" t="inlineStr">
        <is>
          <t>Total</t>
        </is>
      </c>
      <c r="H42" s="13">
        <f>SUM(H39:H41)</f>
        <v/>
      </c>
    </row>
  </sheetData>
  <autoFilter ref="A8:I36"/>
  <conditionalFormatting sqref="H9:H36">
    <cfRule type="cellIs" priority="1" operator="equal" dxfId="0">
      <formula>"Fail"</formula>
    </cfRule>
  </conditionalFormatting>
  <dataValidations count="1">
    <dataValidation sqref="H9:H36" showDropDown="0" showInputMessage="0" showErrorMessage="0" allowBlank="0" type="list">
      <formula1>"Pass,Fail,Pending"</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W8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Cảnh báo người thân (FALERT)</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Quyền notification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TC-FALERT-01</t>
        </is>
      </c>
      <c r="B9" s="7" t="inlineStr">
        <is>
          <t>Kiểm tra hộp thư, đọc chi tiết và PATCH lặp</t>
        </is>
      </c>
      <c r="C9" s="8" t="inlineStr">
        <is>
          <t>Supabase local đã reset, API dùng api_role; dữ liệu test synthetic độc lập. Không dùng DB deploy.</t>
        </is>
      </c>
      <c r="D9" s="8" t="inlineStr">
        <is>
          <t>1. Đăng nhập người thân F có liên kết active và hai consent của P.
2. Tạo một notification chưa đọc với thuốc Thuốc snapshot, giờ 2026-10-20T01:00:00Z.
3. GET /notifications, GET /notifications/{id}; PATCH is_read=true hai lần; GET lại danh sách.
4. Đếm dose_logs và truy vấn access_logs theo P.</t>
        </is>
      </c>
      <c r="E9" s="8" t="inlineStr">
        <is>
          <t>P/F là UUID synthetic mới mỗi lần; ID notification lấy từ DB fixture; giờ 2026-10-20T01:00:00Z.</t>
        </is>
      </c>
      <c r="F9" s="8" t="inlineStr">
        <is>
          <t>List total=1/unread=1; detail đủ patient/thuốc/giờ và không mark read; PATCH 200; unread=0; 5 allowed ADHERENCE/READ; dose không đổi.</t>
        </is>
      </c>
      <c r="G9" s="8" t="inlineStr">
        <is>
          <t>Đã chạy tự động: các kiểm tra response và DB nêu ở Expected Result đều pass.</t>
        </is>
      </c>
      <c r="H9" s="7" t="inlineStr">
        <is>
          <t>Pass</t>
        </is>
      </c>
      <c r="I9" s="8" t="inlineStr">
        <is>
          <t>AC3, AC4 · đoán lỗi, chuyển trạng thái và bảo mật · test_allowed_list_detail_patch_use_read_audit_and_replay__AC3_AC4 · evidence/test-task-integration-final.log</t>
        </is>
      </c>
      <c r="K9" s="9" t="inlineStr">
        <is>
          <t>limit</t>
        </is>
      </c>
      <c r="L9" s="10" t="inlineStr">
        <is>
          <t>1..100</t>
        </is>
      </c>
      <c r="M9" s="10" t="inlineStr">
        <is>
          <t>1</t>
        </is>
      </c>
      <c r="N9" s="10" t="inlineStr">
        <is>
          <t>0
101</t>
        </is>
      </c>
      <c r="O9" s="10" t="inlineStr">
        <is>
          <t>3
4</t>
        </is>
      </c>
      <c r="Q9" s="10" t="inlineStr">
        <is>
          <t>Liên kết active?</t>
        </is>
      </c>
      <c r="R9" s="11" t="inlineStr">
        <is>
          <t>Yes</t>
        </is>
      </c>
      <c r="S9" s="11" t="inlineStr">
        <is>
          <t>No</t>
        </is>
      </c>
      <c r="T9" s="11" t="inlineStr">
        <is>
          <t>Yes</t>
        </is>
      </c>
      <c r="U9" s="11" t="inlineStr">
        <is>
          <t>Yes</t>
        </is>
      </c>
      <c r="V9" s="11" t="inlineStr">
        <is>
          <t>Yes</t>
        </is>
      </c>
      <c r="W9" s="11" t="inlineStr">
        <is>
          <t>Yes</t>
        </is>
      </c>
    </row>
    <row r="10" ht="107" customHeight="1">
      <c r="A10" s="7" t="inlineStr">
        <is>
          <t>TC-FALERT-02</t>
        </is>
      </c>
      <c r="B10" s="7" t="inlineStr">
        <is>
          <t>Kiểm tra request kế tiếp sau thu hồi quyền [list-unlinked]</t>
        </is>
      </c>
      <c r="C10" s="8" t="inlineStr">
        <is>
          <t>Supabase local đã reset, API dùng api_role; dữ liệu test synthetic độc lập. Không dùng DB deploy.</t>
        </is>
      </c>
      <c r="D1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0" s="8" t="inlineStr">
        <is>
          <t>list-unlinked</t>
        </is>
      </c>
      <c r="F10" s="8" t="inlineStr">
        <is>
          <t>List 200 items=[] total=0 unread_count=0; detail/PATCH 403 khong_co_quyen; có denied; is_read không đổi.</t>
        </is>
      </c>
      <c r="G10" s="8" t="inlineStr">
        <is>
          <t>Đã chạy tự động: các kiểm tra response và DB nêu ở Expected Result đều pass.</t>
        </is>
      </c>
      <c r="H10" s="7" t="inlineStr">
        <is>
          <t>Pass</t>
        </is>
      </c>
      <c r="I10" s="8" t="inlineStr">
        <is>
          <t>AC5 · Decision Table (R2) · test_revocation_next_request_filters_counts_or_denies_and_audits__AC5[list-unlinked] · evidence/test-task-integration-final.log</t>
        </is>
      </c>
      <c r="K10" s="9" t="inlineStr">
        <is>
          <t>offset</t>
        </is>
      </c>
      <c r="L10" s="10" t="inlineStr">
        <is>
          <t>0 hoặc số dương</t>
        </is>
      </c>
      <c r="M10" s="10" t="inlineStr">
        <is>
          <t>2</t>
        </is>
      </c>
      <c r="N10" s="10" t="inlineStr">
        <is>
          <t>-1</t>
        </is>
      </c>
      <c r="O10" s="10" t="inlineStr">
        <is>
          <t>5</t>
        </is>
      </c>
      <c r="Q10" s="10" t="inlineStr">
        <is>
          <t>Chia sẻ bật?</t>
        </is>
      </c>
      <c r="R10" s="11" t="inlineStr">
        <is>
          <t>Yes</t>
        </is>
      </c>
      <c r="S10" s="11" t="inlineStr">
        <is>
          <t>-</t>
        </is>
      </c>
      <c r="T10" s="11" t="inlineStr">
        <is>
          <t>No</t>
        </is>
      </c>
      <c r="U10" s="11" t="inlineStr">
        <is>
          <t>Yes</t>
        </is>
      </c>
      <c r="V10" s="11" t="inlineStr">
        <is>
          <t>Yes</t>
        </is>
      </c>
      <c r="W10" s="11" t="inlineStr">
        <is>
          <t>Yes</t>
        </is>
      </c>
    </row>
    <row r="11" ht="107" customHeight="1">
      <c r="A11" s="7" t="inlineStr">
        <is>
          <t>TC-FALERT-03</t>
        </is>
      </c>
      <c r="B11" s="7" t="inlineStr">
        <is>
          <t>Kiểm tra request kế tiếp sau thu hồi quyền [list-inactive]</t>
        </is>
      </c>
      <c r="C11" s="8" t="inlineStr">
        <is>
          <t>Supabase local đã reset, API dùng api_role; dữ liệu test synthetic độc lập. Không dùng DB deploy.</t>
        </is>
      </c>
      <c r="D1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1" s="8" t="inlineStr">
        <is>
          <t>list-inactive</t>
        </is>
      </c>
      <c r="F11" s="8" t="inlineStr">
        <is>
          <t>List 200 items=[] total=0 unread_count=0; detail/PATCH 403 khong_co_quyen; có denied; is_read không đổi.</t>
        </is>
      </c>
      <c r="G11" s="8" t="inlineStr">
        <is>
          <t>Đã chạy tự động: các kiểm tra response và DB nêu ở Expected Result đều pass.</t>
        </is>
      </c>
      <c r="H11" s="7" t="inlineStr">
        <is>
          <t>Pass</t>
        </is>
      </c>
      <c r="I11" s="8" t="inlineStr">
        <is>
          <t>AC5 · Decision Table (R2) · test_revocation_next_request_filters_counts_or_denies_and_audits__AC5[list-inactive] · evidence/test-task-integration-final.log</t>
        </is>
      </c>
      <c r="Q11" s="10" t="inlineStr">
        <is>
          <t>health_data còn hiệu lực?</t>
        </is>
      </c>
      <c r="R11" s="11" t="inlineStr">
        <is>
          <t>Yes</t>
        </is>
      </c>
      <c r="S11" s="11" t="inlineStr">
        <is>
          <t>-</t>
        </is>
      </c>
      <c r="T11" s="11" t="inlineStr">
        <is>
          <t>-</t>
        </is>
      </c>
      <c r="U11" s="11" t="inlineStr">
        <is>
          <t>No</t>
        </is>
      </c>
      <c r="V11" s="11" t="inlineStr">
        <is>
          <t>Yes</t>
        </is>
      </c>
      <c r="W11" s="11" t="inlineStr">
        <is>
          <t>Yes</t>
        </is>
      </c>
    </row>
    <row r="12" ht="107" customHeight="1">
      <c r="A12" s="7" t="inlineStr">
        <is>
          <t>TC-FALERT-04</t>
        </is>
      </c>
      <c r="B12" s="7" t="inlineStr">
        <is>
          <t>Kiểm tra request kế tiếp sau thu hồi quyền [list-sharing_off]</t>
        </is>
      </c>
      <c r="C12" s="8" t="inlineStr">
        <is>
          <t>Supabase local đã reset, API dùng api_role; dữ liệu test synthetic độc lập. Không dùng DB deploy.</t>
        </is>
      </c>
      <c r="D1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2" s="8" t="inlineStr">
        <is>
          <t>list-sharing_off</t>
        </is>
      </c>
      <c r="F12" s="8" t="inlineStr">
        <is>
          <t>List 200 items=[] total=0 unread_count=0; detail/PATCH 403 khong_co_quyen; có denied; is_read không đổi.</t>
        </is>
      </c>
      <c r="G12" s="8" t="inlineStr">
        <is>
          <t>Đã chạy tự động: các kiểm tra response và DB nêu ở Expected Result đều pass.</t>
        </is>
      </c>
      <c r="H12" s="7" t="inlineStr">
        <is>
          <t>Pass</t>
        </is>
      </c>
      <c r="I12" s="8" t="inlineStr">
        <is>
          <t>AC5 · Decision Table (R3) · test_revocation_next_request_filters_counts_or_denies_and_audits__AC5[list-sharing_off] · evidence/test-task-integration-final.log</t>
        </is>
      </c>
      <c r="Q12" s="10" t="inlineStr">
        <is>
          <t>family_sharing còn hiệu lực?</t>
        </is>
      </c>
      <c r="R12" s="11" t="inlineStr">
        <is>
          <t>Yes</t>
        </is>
      </c>
      <c r="S12" s="11" t="inlineStr">
        <is>
          <t>-</t>
        </is>
      </c>
      <c r="T12" s="11" t="inlineStr">
        <is>
          <t>-</t>
        </is>
      </c>
      <c r="U12" s="11" t="inlineStr">
        <is>
          <t>-</t>
        </is>
      </c>
      <c r="V12" s="11" t="inlineStr">
        <is>
          <t>No</t>
        </is>
      </c>
      <c r="W12" s="11" t="inlineStr">
        <is>
          <t>Yes</t>
        </is>
      </c>
    </row>
    <row r="13" ht="107" customHeight="1">
      <c r="A13" s="7" t="inlineStr">
        <is>
          <t>TC-FALERT-05</t>
        </is>
      </c>
      <c r="B13" s="7" t="inlineStr">
        <is>
          <t>Kiểm tra request kế tiếp sau thu hồi quyền [list-health_data]</t>
        </is>
      </c>
      <c r="C13" s="8" t="inlineStr">
        <is>
          <t>Supabase local đã reset, API dùng api_role; dữ liệu test synthetic độc lập. Không dùng DB deploy.</t>
        </is>
      </c>
      <c r="D1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3" s="8" t="inlineStr">
        <is>
          <t>list-health_data</t>
        </is>
      </c>
      <c r="F13" s="8" t="inlineStr">
        <is>
          <t>List 200 items=[] total=0 unread_count=0; detail/PATCH 403 khong_co_quyen; có denied; is_read không đổi.</t>
        </is>
      </c>
      <c r="G13" s="8" t="inlineStr">
        <is>
          <t>Đã chạy tự động: các kiểm tra response và DB nêu ở Expected Result đều pass.</t>
        </is>
      </c>
      <c r="H13" s="7" t="inlineStr">
        <is>
          <t>Pass</t>
        </is>
      </c>
      <c r="I13" s="8" t="inlineStr">
        <is>
          <t>AC5 · Decision Table (R4) · test_revocation_next_request_filters_counts_or_denies_and_audits__AC5[list-health_data] · evidence/test-task-integration-final.log</t>
        </is>
      </c>
      <c r="Q13" s="10" t="inlineStr">
        <is>
          <t>Facts/audit/commit thành công?</t>
        </is>
      </c>
      <c r="R13" s="11" t="inlineStr">
        <is>
          <t>Yes</t>
        </is>
      </c>
      <c r="S13" s="11" t="inlineStr">
        <is>
          <t>Yes</t>
        </is>
      </c>
      <c r="T13" s="11" t="inlineStr">
        <is>
          <t>Yes</t>
        </is>
      </c>
      <c r="U13" s="11" t="inlineStr">
        <is>
          <t>Yes</t>
        </is>
      </c>
      <c r="V13" s="11" t="inlineStr">
        <is>
          <t>Yes</t>
        </is>
      </c>
      <c r="W13" s="11" t="inlineStr">
        <is>
          <t>No</t>
        </is>
      </c>
    </row>
    <row r="14" ht="107" customHeight="1">
      <c r="A14" s="7" t="inlineStr">
        <is>
          <t>TC-FALERT-06</t>
        </is>
      </c>
      <c r="B14" s="7" t="inlineStr">
        <is>
          <t>Kiểm tra request kế tiếp sau thu hồi quyền [list-family_sharing]</t>
        </is>
      </c>
      <c r="C14" s="8" t="inlineStr">
        <is>
          <t>Supabase local đã reset, API dùng api_role; dữ liệu test synthetic độc lập. Không dùng DB deploy.</t>
        </is>
      </c>
      <c r="D1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4" s="8" t="inlineStr">
        <is>
          <t>list-family_sharing</t>
        </is>
      </c>
      <c r="F14" s="8" t="inlineStr">
        <is>
          <t>List 200 items=[] total=0 unread_count=0; detail/PATCH 403 khong_co_quyen; có denied; is_read không đổi.</t>
        </is>
      </c>
      <c r="G14" s="8" t="inlineStr">
        <is>
          <t>Đã chạy tự động: các kiểm tra response và DB nêu ở Expected Result đều pass.</t>
        </is>
      </c>
      <c r="H14" s="7" t="inlineStr">
        <is>
          <t>Pass</t>
        </is>
      </c>
      <c r="I14" s="8" t="inlineStr">
        <is>
          <t>AC5 · Decision Table (R5) · test_revocation_next_request_filters_counts_or_denies_and_audits__AC5[list-family_sharing] · evidence/test-task-integration-final.log</t>
        </is>
      </c>
      <c r="Q14" s="6" t="inlineStr">
        <is>
          <t>Action</t>
        </is>
      </c>
      <c r="R14" s="5" t="inlineStr">
        <is>
          <t>R1</t>
        </is>
      </c>
      <c r="S14" s="5" t="inlineStr">
        <is>
          <t>R2</t>
        </is>
      </c>
      <c r="T14" s="5" t="inlineStr">
        <is>
          <t>R3</t>
        </is>
      </c>
      <c r="U14" s="5" t="inlineStr">
        <is>
          <t>R4</t>
        </is>
      </c>
      <c r="V14" s="5" t="inlineStr">
        <is>
          <t>R5</t>
        </is>
      </c>
      <c r="W14" s="5" t="inlineStr">
        <is>
          <t>R6</t>
        </is>
      </c>
    </row>
    <row r="15" ht="107" customHeight="1">
      <c r="A15" s="7" t="inlineStr">
        <is>
          <t>TC-FALERT-07</t>
        </is>
      </c>
      <c r="B15" s="7" t="inlineStr">
        <is>
          <t>Kiểm tra request kế tiếp sau thu hồi quyền [detail-unlinked]</t>
        </is>
      </c>
      <c r="C15" s="8" t="inlineStr">
        <is>
          <t>Supabase local đã reset, API dùng api_role; dữ liệu test synthetic độc lập. Không dùng DB deploy.</t>
        </is>
      </c>
      <c r="D15"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5" s="8" t="inlineStr">
        <is>
          <t>detail-unlinked</t>
        </is>
      </c>
      <c r="F15" s="8" t="inlineStr">
        <is>
          <t>List 200 items=[] total=0 unread_count=0; detail/PATCH 403 khong_co_quyen; có denied; is_read không đổi.</t>
        </is>
      </c>
      <c r="G15" s="8" t="inlineStr">
        <is>
          <t>Đã chạy tự động: các kiểm tra response và DB nêu ở Expected Result đều pass.</t>
        </is>
      </c>
      <c r="H15" s="7" t="inlineStr">
        <is>
          <t>Pass</t>
        </is>
      </c>
      <c r="I15" s="8" t="inlineStr">
        <is>
          <t>AC5 · Decision Table (R2) · test_revocation_next_request_filters_counts_or_denies_and_audits__AC5[detail-unlinked] · evidence/test-task-integration-final.log</t>
        </is>
      </c>
      <c r="Q15" s="10" t="inlineStr">
        <is>
          <t>200 và allowed</t>
        </is>
      </c>
      <c r="R15" s="11" t="inlineStr">
        <is>
          <t>X</t>
        </is>
      </c>
      <c r="S15" s="11" t="inlineStr"/>
      <c r="T15" s="11" t="inlineStr"/>
      <c r="U15" s="11" t="inlineStr"/>
      <c r="V15" s="11" t="inlineStr"/>
      <c r="W15" s="11" t="inlineStr"/>
    </row>
    <row r="16" ht="107" customHeight="1">
      <c r="A16" s="7" t="inlineStr">
        <is>
          <t>TC-FALERT-08</t>
        </is>
      </c>
      <c r="B16" s="7" t="inlineStr">
        <is>
          <t>Kiểm tra request kế tiếp sau thu hồi quyền [detail-inactive]</t>
        </is>
      </c>
      <c r="C16" s="8" t="inlineStr">
        <is>
          <t>Supabase local đã reset, API dùng api_role; dữ liệu test synthetic độc lập. Không dùng DB deploy.</t>
        </is>
      </c>
      <c r="D16"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6" s="8" t="inlineStr">
        <is>
          <t>detail-inactive</t>
        </is>
      </c>
      <c r="F16" s="8" t="inlineStr">
        <is>
          <t>List 200 items=[] total=0 unread_count=0; detail/PATCH 403 khong_co_quyen; có denied; is_read không đổi.</t>
        </is>
      </c>
      <c r="G16" s="8" t="inlineStr">
        <is>
          <t>Đã chạy tự động: các kiểm tra response và DB nêu ở Expected Result đều pass.</t>
        </is>
      </c>
      <c r="H16" s="7" t="inlineStr">
        <is>
          <t>Pass</t>
        </is>
      </c>
      <c r="I16" s="8" t="inlineStr">
        <is>
          <t>AC5 · Decision Table (R2) · test_revocation_next_request_filters_counts_or_denies_and_audits__AC5[detail-inactive] · evidence/test-task-integration-final.log</t>
        </is>
      </c>
      <c r="Q16" s="10" t="inlineStr">
        <is>
          <t>List lọc/count 0; detail/PATCH 403; denied</t>
        </is>
      </c>
      <c r="R16" s="11" t="inlineStr"/>
      <c r="S16" s="11" t="inlineStr">
        <is>
          <t>X</t>
        </is>
      </c>
      <c r="T16" s="11" t="inlineStr">
        <is>
          <t>X</t>
        </is>
      </c>
      <c r="U16" s="11" t="inlineStr">
        <is>
          <t>X</t>
        </is>
      </c>
      <c r="V16" s="11" t="inlineStr">
        <is>
          <t>X</t>
        </is>
      </c>
      <c r="W16" s="11" t="inlineStr"/>
    </row>
    <row r="17" ht="107" customHeight="1">
      <c r="A17" s="7" t="inlineStr">
        <is>
          <t>TC-FALERT-09</t>
        </is>
      </c>
      <c r="B17" s="7" t="inlineStr">
        <is>
          <t>Kiểm tra request kế tiếp sau thu hồi quyền [detail-sharing_off]</t>
        </is>
      </c>
      <c r="C17" s="8" t="inlineStr">
        <is>
          <t>Supabase local đã reset, API dùng api_role; dữ liệu test synthetic độc lập. Không dùng DB deploy.</t>
        </is>
      </c>
      <c r="D17"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7" s="8" t="inlineStr">
        <is>
          <t>detail-sharing_off</t>
        </is>
      </c>
      <c r="F17" s="8" t="inlineStr">
        <is>
          <t>List 200 items=[] total=0 unread_count=0; detail/PATCH 403 khong_co_quyen; có denied; is_read không đổi.</t>
        </is>
      </c>
      <c r="G17" s="8" t="inlineStr">
        <is>
          <t>Đã chạy tự động: các kiểm tra response và DB nêu ở Expected Result đều pass.</t>
        </is>
      </c>
      <c r="H17" s="7" t="inlineStr">
        <is>
          <t>Pass</t>
        </is>
      </c>
      <c r="I17" s="8" t="inlineStr">
        <is>
          <t>AC5 · Decision Table (R3) · test_revocation_next_request_filters_counts_or_denies_and_audits__AC5[detail-sharing_off] · evidence/test-task-integration-final.log</t>
        </is>
      </c>
      <c r="Q17" s="10" t="inlineStr">
        <is>
          <t>503 không trả health hoặc đổi is_read</t>
        </is>
      </c>
      <c r="R17" s="11" t="inlineStr"/>
      <c r="S17" s="11" t="inlineStr"/>
      <c r="T17" s="11" t="inlineStr"/>
      <c r="U17" s="11" t="inlineStr"/>
      <c r="V17" s="11" t="inlineStr"/>
      <c r="W17" s="11" t="inlineStr">
        <is>
          <t>X</t>
        </is>
      </c>
    </row>
    <row r="18" ht="107" customHeight="1">
      <c r="A18" s="7" t="inlineStr">
        <is>
          <t>TC-FALERT-10</t>
        </is>
      </c>
      <c r="B18" s="7" t="inlineStr">
        <is>
          <t>Kiểm tra request kế tiếp sau thu hồi quyền [detail-health_data]</t>
        </is>
      </c>
      <c r="C18" s="8" t="inlineStr">
        <is>
          <t>Supabase local đã reset, API dùng api_role; dữ liệu test synthetic độc lập. Không dùng DB deploy.</t>
        </is>
      </c>
      <c r="D18"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8" s="8" t="inlineStr">
        <is>
          <t>detail-health_data</t>
        </is>
      </c>
      <c r="F18" s="8" t="inlineStr">
        <is>
          <t>List 200 items=[] total=0 unread_count=0; detail/PATCH 403 khong_co_quyen; có denied; is_read không đổi.</t>
        </is>
      </c>
      <c r="G18" s="8" t="inlineStr">
        <is>
          <t>Đã chạy tự động: các kiểm tra response và DB nêu ở Expected Result đều pass.</t>
        </is>
      </c>
      <c r="H18" s="7" t="inlineStr">
        <is>
          <t>Pass</t>
        </is>
      </c>
      <c r="I18" s="8" t="inlineStr">
        <is>
          <t>AC5 · Decision Table (R4) · test_revocation_next_request_filters_counts_or_denies_and_audits__AC5[detail-health_data] · evidence/test-task-integration-final.log</t>
        </is>
      </c>
    </row>
    <row r="19" ht="107" customHeight="1">
      <c r="A19" s="7" t="inlineStr">
        <is>
          <t>TC-FALERT-11</t>
        </is>
      </c>
      <c r="B19" s="7" t="inlineStr">
        <is>
          <t>Kiểm tra request kế tiếp sau thu hồi quyền [detail-family_sharing]</t>
        </is>
      </c>
      <c r="C19" s="8" t="inlineStr">
        <is>
          <t>Supabase local đã reset, API dùng api_role; dữ liệu test synthetic độc lập. Không dùng DB deploy.</t>
        </is>
      </c>
      <c r="D19"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9" s="8" t="inlineStr">
        <is>
          <t>detail-family_sharing</t>
        </is>
      </c>
      <c r="F19" s="8" t="inlineStr">
        <is>
          <t>List 200 items=[] total=0 unread_count=0; detail/PATCH 403 khong_co_quyen; có denied; is_read không đổi.</t>
        </is>
      </c>
      <c r="G19" s="8" t="inlineStr">
        <is>
          <t>Đã chạy tự động: các kiểm tra response và DB nêu ở Expected Result đều pass.</t>
        </is>
      </c>
      <c r="H19" s="7" t="inlineStr">
        <is>
          <t>Pass</t>
        </is>
      </c>
      <c r="I19" s="8" t="inlineStr">
        <is>
          <t>AC5 · Decision Table (R5) · test_revocation_next_request_filters_counts_or_denies_and_audits__AC5[detail-family_sharing] · evidence/test-task-integration-final.log</t>
        </is>
      </c>
    </row>
    <row r="20" ht="107" customHeight="1">
      <c r="A20" s="7" t="inlineStr">
        <is>
          <t>TC-FALERT-12</t>
        </is>
      </c>
      <c r="B20" s="7" t="inlineStr">
        <is>
          <t>Kiểm tra request kế tiếp sau thu hồi quyền [patch-unlinked]</t>
        </is>
      </c>
      <c r="C20" s="8" t="inlineStr">
        <is>
          <t>Supabase local đã reset, API dùng api_role; dữ liệu test synthetic độc lập. Không dùng DB deploy.</t>
        </is>
      </c>
      <c r="D2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0" s="8" t="inlineStr">
        <is>
          <t>patch-unlinked</t>
        </is>
      </c>
      <c r="F20" s="8" t="inlineStr">
        <is>
          <t>List 200 items=[] total=0 unread_count=0; detail/PATCH 403 khong_co_quyen; có denied; is_read không đổi.</t>
        </is>
      </c>
      <c r="G20" s="8" t="inlineStr">
        <is>
          <t>Đã chạy tự động: các kiểm tra response và DB nêu ở Expected Result đều pass.</t>
        </is>
      </c>
      <c r="H20" s="7" t="inlineStr">
        <is>
          <t>Pass</t>
        </is>
      </c>
      <c r="I20" s="8" t="inlineStr">
        <is>
          <t>AC5 · Decision Table (R2) · test_revocation_next_request_filters_counts_or_denies_and_audits__AC5[patch-unlinked] · evidence/test-task-integration-final.log</t>
        </is>
      </c>
    </row>
    <row r="21" ht="107" customHeight="1">
      <c r="A21" s="7" t="inlineStr">
        <is>
          <t>TC-FALERT-13</t>
        </is>
      </c>
      <c r="B21" s="7" t="inlineStr">
        <is>
          <t>Kiểm tra request kế tiếp sau thu hồi quyền [patch-inactive]</t>
        </is>
      </c>
      <c r="C21" s="8" t="inlineStr">
        <is>
          <t>Supabase local đã reset, API dùng api_role; dữ liệu test synthetic độc lập. Không dùng DB deploy.</t>
        </is>
      </c>
      <c r="D2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1" s="8" t="inlineStr">
        <is>
          <t>patch-inactive</t>
        </is>
      </c>
      <c r="F21" s="8" t="inlineStr">
        <is>
          <t>List 200 items=[] total=0 unread_count=0; detail/PATCH 403 khong_co_quyen; có denied; is_read không đổi.</t>
        </is>
      </c>
      <c r="G21" s="8" t="inlineStr">
        <is>
          <t>Đã chạy tự động: các kiểm tra response và DB nêu ở Expected Result đều pass.</t>
        </is>
      </c>
      <c r="H21" s="7" t="inlineStr">
        <is>
          <t>Pass</t>
        </is>
      </c>
      <c r="I21" s="8" t="inlineStr">
        <is>
          <t>AC5 · Decision Table (R2) · test_revocation_next_request_filters_counts_or_denies_and_audits__AC5[patch-inactive] · evidence/test-task-integration-final.log</t>
        </is>
      </c>
    </row>
    <row r="22" ht="107" customHeight="1">
      <c r="A22" s="7" t="inlineStr">
        <is>
          <t>TC-FALERT-14</t>
        </is>
      </c>
      <c r="B22" s="7" t="inlineStr">
        <is>
          <t>Kiểm tra request kế tiếp sau thu hồi quyền [patch-sharing_off]</t>
        </is>
      </c>
      <c r="C22" s="8" t="inlineStr">
        <is>
          <t>Supabase local đã reset, API dùng api_role; dữ liệu test synthetic độc lập. Không dùng DB deploy.</t>
        </is>
      </c>
      <c r="D2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2" s="8" t="inlineStr">
        <is>
          <t>patch-sharing_off</t>
        </is>
      </c>
      <c r="F22" s="8" t="inlineStr">
        <is>
          <t>List 200 items=[] total=0 unread_count=0; detail/PATCH 403 khong_co_quyen; có denied; is_read không đổi.</t>
        </is>
      </c>
      <c r="G22" s="8" t="inlineStr">
        <is>
          <t>Đã chạy tự động: các kiểm tra response và DB nêu ở Expected Result đều pass.</t>
        </is>
      </c>
      <c r="H22" s="7" t="inlineStr">
        <is>
          <t>Pass</t>
        </is>
      </c>
      <c r="I22" s="8" t="inlineStr">
        <is>
          <t>AC5 · Decision Table (R3) · test_revocation_next_request_filters_counts_or_denies_and_audits__AC5[patch-sharing_off] · evidence/test-task-integration-final.log</t>
        </is>
      </c>
    </row>
    <row r="23" ht="107" customHeight="1">
      <c r="A23" s="7" t="inlineStr">
        <is>
          <t>TC-FALERT-15</t>
        </is>
      </c>
      <c r="B23" s="7" t="inlineStr">
        <is>
          <t>Kiểm tra request kế tiếp sau thu hồi quyền [patch-health_data]</t>
        </is>
      </c>
      <c r="C23" s="8" t="inlineStr">
        <is>
          <t>Supabase local đã reset, API dùng api_role; dữ liệu test synthetic độc lập. Không dùng DB deploy.</t>
        </is>
      </c>
      <c r="D2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3" s="8" t="inlineStr">
        <is>
          <t>patch-health_data</t>
        </is>
      </c>
      <c r="F23" s="8" t="inlineStr">
        <is>
          <t>List 200 items=[] total=0 unread_count=0; detail/PATCH 403 khong_co_quyen; có denied; is_read không đổi.</t>
        </is>
      </c>
      <c r="G23" s="8" t="inlineStr">
        <is>
          <t>Đã chạy tự động: các kiểm tra response và DB nêu ở Expected Result đều pass.</t>
        </is>
      </c>
      <c r="H23" s="7" t="inlineStr">
        <is>
          <t>Pass</t>
        </is>
      </c>
      <c r="I23" s="8" t="inlineStr">
        <is>
          <t>AC5 · Decision Table (R4) · test_revocation_next_request_filters_counts_or_denies_and_audits__AC5[patch-health_data] · evidence/test-task-integration-final.log</t>
        </is>
      </c>
    </row>
    <row r="24" ht="107" customHeight="1">
      <c r="A24" s="7" t="inlineStr">
        <is>
          <t>TC-FALERT-16</t>
        </is>
      </c>
      <c r="B24" s="7" t="inlineStr">
        <is>
          <t>Kiểm tra request kế tiếp sau thu hồi quyền [patch-family_sharing]</t>
        </is>
      </c>
      <c r="C24" s="8" t="inlineStr">
        <is>
          <t>Supabase local đã reset, API dùng api_role; dữ liệu test synthetic độc lập. Không dùng DB deploy.</t>
        </is>
      </c>
      <c r="D2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4" s="8" t="inlineStr">
        <is>
          <t>patch-family_sharing</t>
        </is>
      </c>
      <c r="F24" s="8" t="inlineStr">
        <is>
          <t>List 200 items=[] total=0 unread_count=0; detail/PATCH 403 khong_co_quyen; có denied; is_read không đổi.</t>
        </is>
      </c>
      <c r="G24" s="8" t="inlineStr">
        <is>
          <t>Đã chạy tự động: các kiểm tra response và DB nêu ở Expected Result đều pass.</t>
        </is>
      </c>
      <c r="H24" s="7" t="inlineStr">
        <is>
          <t>Pass</t>
        </is>
      </c>
      <c r="I24" s="8" t="inlineStr">
        <is>
          <t>AC5 · Decision Table (R5) · test_revocation_next_request_filters_counts_or_denies_and_audits__AC5[patch-family_sharing] · evidence/test-task-integration-final.log</t>
        </is>
      </c>
    </row>
    <row r="25" ht="107" customHeight="1">
      <c r="A25" s="7" t="inlineStr">
        <is>
          <t>TC-FALERT-17</t>
        </is>
      </c>
      <c r="B25" s="7" t="inlineStr">
        <is>
          <t>Từ chối ID thuộc hộp thư người khác [detail]</t>
        </is>
      </c>
      <c r="C25" s="8" t="inlineStr">
        <is>
          <t>Supabase local đã reset, API dùng api_role; dữ liệu test synthetic độc lập. Không dùng DB deploy.</t>
        </is>
      </c>
      <c r="D25" s="8" t="inlineStr">
        <is>
          <t>1. Tạo notification cho F/P; đăng nhập user X khác F.
2. GET hoặc PATCH /notifications/{id} theo biến thể bằng session X.
3. GET /notifications/9223372036854775807 bằng session F; kiểm audit của P.</t>
        </is>
      </c>
      <c r="E25" s="8" t="inlineStr">
        <is>
          <t>detail</t>
        </is>
      </c>
      <c r="F25" s="8" t="inlineStr">
        <is>
          <t>Cả ID khác hộp thư và ID không tồn tại trả 404 notification_not_found; không audit hoặc đọc health của P.</t>
        </is>
      </c>
      <c r="G25" s="8" t="inlineStr">
        <is>
          <t>Đã chạy tự động: các kiểm tra response và DB nêu ở Expected Result đều pass.</t>
        </is>
      </c>
      <c r="H25" s="7" t="inlineStr">
        <is>
          <t>Pass</t>
        </is>
      </c>
      <c r="I25" s="8" t="inlineStr">
        <is>
          <t>AC5 · đoán lỗi, chuyển trạng thái và bảo mật · test_other_recipient_and_unknown_id_return_404__AC5[detail] · evidence/test-task-integration-final.log</t>
        </is>
      </c>
    </row>
    <row r="26" ht="107" customHeight="1">
      <c r="A26" s="7" t="inlineStr">
        <is>
          <t>TC-FALERT-18</t>
        </is>
      </c>
      <c r="B26" s="7" t="inlineStr">
        <is>
          <t>Từ chối ID thuộc hộp thư người khác [patch]</t>
        </is>
      </c>
      <c r="C26" s="8" t="inlineStr">
        <is>
          <t>Supabase local đã reset, API dùng api_role; dữ liệu test synthetic độc lập. Không dùng DB deploy.</t>
        </is>
      </c>
      <c r="D26" s="8" t="inlineStr">
        <is>
          <t>1. Tạo notification cho F/P; đăng nhập user X khác F.
2. GET hoặc PATCH /notifications/{id} theo biến thể bằng session X.
3. GET /notifications/9223372036854775807 bằng session F; kiểm audit của P.</t>
        </is>
      </c>
      <c r="E26" s="8" t="inlineStr">
        <is>
          <t>patch</t>
        </is>
      </c>
      <c r="F26" s="8" t="inlineStr">
        <is>
          <t>Cả ID khác hộp thư và ID không tồn tại trả 404 notification_not_found; không audit hoặc đọc health của P.</t>
        </is>
      </c>
      <c r="G26" s="8" t="inlineStr">
        <is>
          <t>Đã chạy tự động: các kiểm tra response và DB nêu ở Expected Result đều pass.</t>
        </is>
      </c>
      <c r="H26" s="7" t="inlineStr">
        <is>
          <t>Pass</t>
        </is>
      </c>
      <c r="I26" s="8" t="inlineStr">
        <is>
          <t>AC5 · đoán lỗi, chuyển trạng thái và bảo mật · test_other_recipient_and_unknown_id_return_404__AC5[patch] · evidence/test-task-integration-final.log</t>
        </is>
      </c>
    </row>
    <row r="27" ht="107" customHeight="1">
      <c r="A27" s="7" t="inlineStr">
        <is>
          <t>TC-FALERT-19</t>
        </is>
      </c>
      <c r="B27" s="7" t="inlineStr">
        <is>
          <t>Lọc hộp thư mixed patient và từ chối patient_id trong PATCH</t>
        </is>
      </c>
      <c r="C27" s="8" t="inlineStr">
        <is>
          <t>Supabase local đã reset, API dùng api_role; dữ liệu test synthetic độc lập. Không dùng DB deploy.</t>
        </is>
      </c>
      <c r="D27" s="8" t="inlineStr">
        <is>
          <t>1. Tạo hai notification cho F: P được phép và Q không có liên kết.
2. GET /notifications?patient_id=P&amp;user_id=Q; kiểm item và count.
3. PATCH notification Q với JSON {is_read:true,patient_id:P}.</t>
        </is>
      </c>
      <c r="E27" s="8" t="inlineStr">
        <is>
          <t>P/F là UUID synthetic mới mỗi lần; ID notification lấy từ DB fixture; giờ 2026-10-20T01:00:00Z.</t>
        </is>
      </c>
      <c r="F27" s="8" t="inlineStr">
        <is>
          <t>List chỉ trả P, total=unread_count=1 và Q có denied; PATCH field lạ phải trả 422.</t>
        </is>
      </c>
      <c r="G27" s="8" t="inlineStr">
        <is>
          <t>HTTP 503 notification_access_unavailable thay vì 422; assertion fail.</t>
        </is>
      </c>
      <c r="H27" s="7" t="inlineStr">
        <is>
          <t>Fail</t>
        </is>
      </c>
      <c r="I27" s="8" t="inlineStr">
        <is>
          <t>AC3, AC5 · đoán lỗi, chuyển trạng thái và bảo mật · test_mixed_patient_filter_and_selector_tamper_do_not_leak__AC3_AC5 · evidence/test-task-integration-final.log</t>
        </is>
      </c>
    </row>
    <row r="28" ht="90.5" customHeight="1">
      <c r="A28" s="7" t="inlineStr">
        <is>
          <t>TC-FALERT-20</t>
        </is>
      </c>
      <c r="B28" s="7" t="inlineStr">
        <is>
          <t>Từ chối admin truy cập hộp thư người dùng [list]</t>
        </is>
      </c>
      <c r="C28" s="8" t="inlineStr">
        <is>
          <t>Supabase local đã reset, API dùng api_role; dữ liệu test synthetic độc lập. Không dùng DB deploy.</t>
        </is>
      </c>
      <c r="D28" s="8" t="inlineStr">
        <is>
          <t>1. Đăng nhập admin bằng app session admin_web.
2. Gọi list/detail/PATCH theo biến thể vào notification của F.</t>
        </is>
      </c>
      <c r="E28" s="8" t="inlineStr">
        <is>
          <t>list</t>
        </is>
      </c>
      <c r="F28" s="8" t="inlineStr">
        <is>
          <t>403 khong_co_quyen, không trả dữ liệu sức khỏe.</t>
        </is>
      </c>
      <c r="G28" s="8" t="inlineStr">
        <is>
          <t>Đã chạy tự động: các kiểm tra response và DB nêu ở Expected Result đều pass.</t>
        </is>
      </c>
      <c r="H28" s="7" t="inlineStr">
        <is>
          <t>Pass</t>
        </is>
      </c>
      <c r="I28" s="8" t="inlineStr">
        <is>
          <t>AC5 · đoán lỗi, chuyển trạng thái và bảo mật · test_admin_session_forbidden__AC5[list] · evidence/test-task-integration-final.log</t>
        </is>
      </c>
    </row>
    <row r="29" ht="90.5" customHeight="1">
      <c r="A29" s="7" t="inlineStr">
        <is>
          <t>TC-FALERT-21</t>
        </is>
      </c>
      <c r="B29" s="7" t="inlineStr">
        <is>
          <t>Từ chối admin truy cập hộp thư người dùng [detail]</t>
        </is>
      </c>
      <c r="C29" s="8" t="inlineStr">
        <is>
          <t>Supabase local đã reset, API dùng api_role; dữ liệu test synthetic độc lập. Không dùng DB deploy.</t>
        </is>
      </c>
      <c r="D29" s="8" t="inlineStr">
        <is>
          <t>1. Đăng nhập admin bằng app session admin_web.
2. Gọi list/detail/PATCH theo biến thể vào notification của F.</t>
        </is>
      </c>
      <c r="E29" s="8" t="inlineStr">
        <is>
          <t>detail</t>
        </is>
      </c>
      <c r="F29" s="8" t="inlineStr">
        <is>
          <t>403 khong_co_quyen, không trả dữ liệu sức khỏe.</t>
        </is>
      </c>
      <c r="G29" s="8" t="inlineStr">
        <is>
          <t>Đã chạy tự động: các kiểm tra response và DB nêu ở Expected Result đều pass.</t>
        </is>
      </c>
      <c r="H29" s="7" t="inlineStr">
        <is>
          <t>Pass</t>
        </is>
      </c>
      <c r="I29" s="8" t="inlineStr">
        <is>
          <t>AC5 · đoán lỗi, chuyển trạng thái và bảo mật · test_admin_session_forbidden__AC5[detail] · evidence/test-task-integration-final.log</t>
        </is>
      </c>
    </row>
    <row r="30" ht="90.5" customHeight="1">
      <c r="A30" s="7" t="inlineStr">
        <is>
          <t>TC-FALERT-22</t>
        </is>
      </c>
      <c r="B30" s="7" t="inlineStr">
        <is>
          <t>Từ chối admin truy cập hộp thư người dùng [patch]</t>
        </is>
      </c>
      <c r="C30" s="8" t="inlineStr">
        <is>
          <t>Supabase local đã reset, API dùng api_role; dữ liệu test synthetic độc lập. Không dùng DB deploy.</t>
        </is>
      </c>
      <c r="D30" s="8" t="inlineStr">
        <is>
          <t>1. Đăng nhập admin bằng app session admin_web.
2. Gọi list/detail/PATCH theo biến thể vào notification của F.</t>
        </is>
      </c>
      <c r="E30" s="8" t="inlineStr">
        <is>
          <t>patch</t>
        </is>
      </c>
      <c r="F30" s="8" t="inlineStr">
        <is>
          <t>403 khong_co_quyen, không trả dữ liệu sức khỏe.</t>
        </is>
      </c>
      <c r="G30" s="8" t="inlineStr">
        <is>
          <t>Đã chạy tự động: các kiểm tra response và DB nêu ở Expected Result đều pass.</t>
        </is>
      </c>
      <c r="H30" s="7" t="inlineStr">
        <is>
          <t>Pass</t>
        </is>
      </c>
      <c r="I30" s="8" t="inlineStr">
        <is>
          <t>AC5 · đoán lỗi, chuyển trạng thái và bảo mật · test_admin_session_forbidden__AC5[patch] · evidence/test-task-integration-final.log</t>
        </is>
      </c>
    </row>
    <row r="31" ht="123.5" customHeight="1">
      <c r="A31" s="7" t="inlineStr">
        <is>
          <t>TC-FALERT-23</t>
        </is>
      </c>
      <c r="B31" s="7" t="inlineStr">
        <is>
          <t>Fail-closed khi facts, audit hoặc commit lỗi [facts-list]</t>
        </is>
      </c>
      <c r="C31" s="8" t="inlineStr">
        <is>
          <t>Supabase local đã reset, API dùng api_role; dữ liệu test synthetic độc lập. Không dùng DB deploy.</t>
        </is>
      </c>
      <c r="D3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1" s="8" t="inlineStr">
        <is>
          <t>facts-list</t>
        </is>
      </c>
      <c r="F31" s="8" t="inlineStr">
        <is>
          <t>503 notification_access_unavailable + Cache-Control:no-store; không health, không audit dang dở, is_read vẫn false.</t>
        </is>
      </c>
      <c r="G31" s="8" t="inlineStr">
        <is>
          <t>Đã chạy tự động: các kiểm tra response và DB nêu ở Expected Result đều pass.</t>
        </is>
      </c>
      <c r="H31" s="7" t="inlineStr">
        <is>
          <t>Pass</t>
        </is>
      </c>
      <c r="I31" s="8" t="inlineStr">
        <is>
          <t>AC5 · Decision Table (R6) · test_access_audit_commit_failure_returns_503_without_health_or_write__AC5[facts-list] · evidence/test-task-integration-final.log</t>
        </is>
      </c>
    </row>
    <row r="32" ht="123.5" customHeight="1">
      <c r="A32" s="7" t="inlineStr">
        <is>
          <t>TC-FALERT-24</t>
        </is>
      </c>
      <c r="B32" s="7" t="inlineStr">
        <is>
          <t>Fail-closed khi facts, audit hoặc commit lỗi [facts-detail]</t>
        </is>
      </c>
      <c r="C32" s="8" t="inlineStr">
        <is>
          <t>Supabase local đã reset, API dùng api_role; dữ liệu test synthetic độc lập. Không dùng DB deploy.</t>
        </is>
      </c>
      <c r="D3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2" s="8" t="inlineStr">
        <is>
          <t>facts-detail</t>
        </is>
      </c>
      <c r="F32" s="8" t="inlineStr">
        <is>
          <t>503 notification_access_unavailable + Cache-Control:no-store; không health, không audit dang dở, is_read vẫn false.</t>
        </is>
      </c>
      <c r="G32" s="8" t="inlineStr">
        <is>
          <t>Đã chạy tự động: các kiểm tra response và DB nêu ở Expected Result đều pass.</t>
        </is>
      </c>
      <c r="H32" s="7" t="inlineStr">
        <is>
          <t>Pass</t>
        </is>
      </c>
      <c r="I32" s="8" t="inlineStr">
        <is>
          <t>AC5 · Decision Table (R6) · test_access_audit_commit_failure_returns_503_without_health_or_write__AC5[facts-detail] · evidence/test-task-integration-final.log</t>
        </is>
      </c>
    </row>
    <row r="33" ht="123.5" customHeight="1">
      <c r="A33" s="7" t="inlineStr">
        <is>
          <t>TC-FALERT-25</t>
        </is>
      </c>
      <c r="B33" s="7" t="inlineStr">
        <is>
          <t>Fail-closed khi facts, audit hoặc commit lỗi [facts-patch]</t>
        </is>
      </c>
      <c r="C33" s="8" t="inlineStr">
        <is>
          <t>Supabase local đã reset, API dùng api_role; dữ liệu test synthetic độc lập. Không dùng DB deploy.</t>
        </is>
      </c>
      <c r="D33"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3" s="8" t="inlineStr">
        <is>
          <t>facts-patch</t>
        </is>
      </c>
      <c r="F33" s="8" t="inlineStr">
        <is>
          <t>503 notification_access_unavailable + Cache-Control:no-store; không health, không audit dang dở, is_read vẫn false.</t>
        </is>
      </c>
      <c r="G33" s="8" t="inlineStr">
        <is>
          <t>Đã chạy tự động: các kiểm tra response và DB nêu ở Expected Result đều pass.</t>
        </is>
      </c>
      <c r="H33" s="7" t="inlineStr">
        <is>
          <t>Pass</t>
        </is>
      </c>
      <c r="I33" s="8" t="inlineStr">
        <is>
          <t>AC5 · Decision Table (R6) · test_access_audit_commit_failure_returns_503_without_health_or_write__AC5[facts-patch] · evidence/test-task-integration-final.log</t>
        </is>
      </c>
    </row>
    <row r="34" ht="123.5" customHeight="1">
      <c r="A34" s="7" t="inlineStr">
        <is>
          <t>TC-FALERT-26</t>
        </is>
      </c>
      <c r="B34" s="7" t="inlineStr">
        <is>
          <t>Fail-closed khi facts, audit hoặc commit lỗi [allowed_insert-list]</t>
        </is>
      </c>
      <c r="C34" s="8" t="inlineStr">
        <is>
          <t>Supabase local đã reset, API dùng api_role; dữ liệu test synthetic độc lập. Không dùng DB deploy.</t>
        </is>
      </c>
      <c r="D34"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4" s="8" t="inlineStr">
        <is>
          <t>allowed_insert-list</t>
        </is>
      </c>
      <c r="F34" s="8" t="inlineStr">
        <is>
          <t>503 notification_access_unavailable + Cache-Control:no-store; không health, không audit dang dở, is_read vẫn false.</t>
        </is>
      </c>
      <c r="G34" s="8" t="inlineStr">
        <is>
          <t>Đã chạy tự động: các kiểm tra response và DB nêu ở Expected Result đều pass.</t>
        </is>
      </c>
      <c r="H34" s="7" t="inlineStr">
        <is>
          <t>Pass</t>
        </is>
      </c>
      <c r="I34" s="8" t="inlineStr">
        <is>
          <t>AC5 · Decision Table (R6) · test_access_audit_commit_failure_returns_503_without_health_or_write__AC5[allowed_insert-list] · evidence/test-task-integration-final.log</t>
        </is>
      </c>
    </row>
    <row r="35" ht="123.5" customHeight="1">
      <c r="A35" s="7" t="inlineStr">
        <is>
          <t>TC-FALERT-27</t>
        </is>
      </c>
      <c r="B35" s="7" t="inlineStr">
        <is>
          <t>Fail-closed khi facts, audit hoặc commit lỗi [allowed_insert-detail]</t>
        </is>
      </c>
      <c r="C35" s="8" t="inlineStr">
        <is>
          <t>Supabase local đã reset, API dùng api_role; dữ liệu test synthetic độc lập. Không dùng DB deploy.</t>
        </is>
      </c>
      <c r="D35"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5" s="8" t="inlineStr">
        <is>
          <t>allowed_insert-detail</t>
        </is>
      </c>
      <c r="F35" s="8" t="inlineStr">
        <is>
          <t>503 notification_access_unavailable + Cache-Control:no-store; không health, không audit dang dở, is_read vẫn false.</t>
        </is>
      </c>
      <c r="G35" s="8" t="inlineStr">
        <is>
          <t>Đã chạy tự động: các kiểm tra response và DB nêu ở Expected Result đều pass.</t>
        </is>
      </c>
      <c r="H35" s="7" t="inlineStr">
        <is>
          <t>Pass</t>
        </is>
      </c>
      <c r="I35" s="8" t="inlineStr">
        <is>
          <t>AC5 · Decision Table (R6) · test_access_audit_commit_failure_returns_503_without_health_or_write__AC5[allowed_insert-detail] · evidence/test-task-integration-final.log</t>
        </is>
      </c>
    </row>
    <row r="36" ht="123.5" customHeight="1">
      <c r="A36" s="7" t="inlineStr">
        <is>
          <t>TC-FALERT-28</t>
        </is>
      </c>
      <c r="B36" s="7" t="inlineStr">
        <is>
          <t>Fail-closed khi facts, audit hoặc commit lỗi [allowed_insert-patch]</t>
        </is>
      </c>
      <c r="C36" s="8" t="inlineStr">
        <is>
          <t>Supabase local đã reset, API dùng api_role; dữ liệu test synthetic độc lập. Không dùng DB deploy.</t>
        </is>
      </c>
      <c r="D36"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6" s="8" t="inlineStr">
        <is>
          <t>allowed_insert-patch</t>
        </is>
      </c>
      <c r="F36" s="8" t="inlineStr">
        <is>
          <t>503 notification_access_unavailable + Cache-Control:no-store; không health, không audit dang dở, is_read vẫn false.</t>
        </is>
      </c>
      <c r="G36" s="8" t="inlineStr">
        <is>
          <t>Đã chạy tự động: các kiểm tra response và DB nêu ở Expected Result đều pass.</t>
        </is>
      </c>
      <c r="H36" s="7" t="inlineStr">
        <is>
          <t>Pass</t>
        </is>
      </c>
      <c r="I36" s="8" t="inlineStr">
        <is>
          <t>AC5 · Decision Table (R6) · test_access_audit_commit_failure_returns_503_without_health_or_write__AC5[allowed_insert-patch] · evidence/test-task-integration-final.log</t>
        </is>
      </c>
    </row>
    <row r="37" ht="123.5" customHeight="1">
      <c r="A37" s="7" t="inlineStr">
        <is>
          <t>TC-FALERT-29</t>
        </is>
      </c>
      <c r="B37" s="7" t="inlineStr">
        <is>
          <t>Fail-closed khi facts, audit hoặc commit lỗi [denied_insert-list]</t>
        </is>
      </c>
      <c r="C37" s="8" t="inlineStr">
        <is>
          <t>Supabase local đã reset, API dùng api_role; dữ liệu test synthetic độc lập. Không dùng DB deploy.</t>
        </is>
      </c>
      <c r="D37"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7" s="8" t="inlineStr">
        <is>
          <t>denied_insert-list</t>
        </is>
      </c>
      <c r="F37" s="8" t="inlineStr">
        <is>
          <t>503 notification_access_unavailable + Cache-Control:no-store; không health, không audit dang dở, is_read vẫn false.</t>
        </is>
      </c>
      <c r="G37" s="8" t="inlineStr">
        <is>
          <t>Đã chạy tự động: các kiểm tra response và DB nêu ở Expected Result đều pass.</t>
        </is>
      </c>
      <c r="H37" s="7" t="inlineStr">
        <is>
          <t>Pass</t>
        </is>
      </c>
      <c r="I37" s="8" t="inlineStr">
        <is>
          <t>AC5 · Decision Table (R6) · test_access_audit_commit_failure_returns_503_without_health_or_write__AC5[denied_insert-list] · evidence/test-task-integration-final.log</t>
        </is>
      </c>
    </row>
    <row r="38" ht="123.5" customHeight="1">
      <c r="A38" s="7" t="inlineStr">
        <is>
          <t>TC-FALERT-30</t>
        </is>
      </c>
      <c r="B38" s="7" t="inlineStr">
        <is>
          <t>Fail-closed khi facts, audit hoặc commit lỗi [denied_insert-detail]</t>
        </is>
      </c>
      <c r="C38" s="8" t="inlineStr">
        <is>
          <t>Supabase local đã reset, API dùng api_role; dữ liệu test synthetic độc lập. Không dùng DB deploy.</t>
        </is>
      </c>
      <c r="D38"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8" s="8" t="inlineStr">
        <is>
          <t>denied_insert-detail</t>
        </is>
      </c>
      <c r="F38" s="8" t="inlineStr">
        <is>
          <t>503 notification_access_unavailable + Cache-Control:no-store; không health, không audit dang dở, is_read vẫn false.</t>
        </is>
      </c>
      <c r="G38" s="8" t="inlineStr">
        <is>
          <t>Đã chạy tự động: các kiểm tra response và DB nêu ở Expected Result đều pass.</t>
        </is>
      </c>
      <c r="H38" s="7" t="inlineStr">
        <is>
          <t>Pass</t>
        </is>
      </c>
      <c r="I38" s="8" t="inlineStr">
        <is>
          <t>AC5 · Decision Table (R6) · test_access_audit_commit_failure_returns_503_without_health_or_write__AC5[denied_insert-detail] · evidence/test-task-integration-final.log</t>
        </is>
      </c>
    </row>
    <row r="39" ht="123.5" customHeight="1">
      <c r="A39" s="7" t="inlineStr">
        <is>
          <t>TC-FALERT-31</t>
        </is>
      </c>
      <c r="B39" s="7" t="inlineStr">
        <is>
          <t>Fail-closed khi facts, audit hoặc commit lỗi [denied_insert-patch]</t>
        </is>
      </c>
      <c r="C39" s="8" t="inlineStr">
        <is>
          <t>Supabase local đã reset, API dùng api_role; dữ liệu test synthetic độc lập. Không dùng DB deploy.</t>
        </is>
      </c>
      <c r="D39"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9" s="8" t="inlineStr">
        <is>
          <t>denied_insert-patch</t>
        </is>
      </c>
      <c r="F39" s="8" t="inlineStr">
        <is>
          <t>503 notification_access_unavailable + Cache-Control:no-store; không health, không audit dang dở, is_read vẫn false.</t>
        </is>
      </c>
      <c r="G39" s="8" t="inlineStr">
        <is>
          <t>Đã chạy tự động: các kiểm tra response và DB nêu ở Expected Result đều pass.</t>
        </is>
      </c>
      <c r="H39" s="7" t="inlineStr">
        <is>
          <t>Pass</t>
        </is>
      </c>
      <c r="I39" s="8" t="inlineStr">
        <is>
          <t>AC5 · Decision Table (R6) · test_access_audit_commit_failure_returns_503_without_health_or_write__AC5[denied_insert-patch] · evidence/test-task-integration-final.log</t>
        </is>
      </c>
    </row>
    <row r="40" ht="123.5" customHeight="1">
      <c r="A40" s="7" t="inlineStr">
        <is>
          <t>TC-FALERT-32</t>
        </is>
      </c>
      <c r="B40" s="7" t="inlineStr">
        <is>
          <t>Fail-closed khi facts, audit hoặc commit lỗi [commit-list]</t>
        </is>
      </c>
      <c r="C40" s="8" t="inlineStr">
        <is>
          <t>Supabase local đã reset, API dùng api_role; dữ liệu test synthetic độc lập. Không dùng DB deploy.</t>
        </is>
      </c>
      <c r="D40"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0" s="8" t="inlineStr">
        <is>
          <t>commit-list</t>
        </is>
      </c>
      <c r="F40" s="8" t="inlineStr">
        <is>
          <t>503 notification_access_unavailable + Cache-Control:no-store; không health, không audit dang dở, is_read vẫn false.</t>
        </is>
      </c>
      <c r="G40" s="8" t="inlineStr">
        <is>
          <t>Đã chạy tự động: các kiểm tra response và DB nêu ở Expected Result đều pass.</t>
        </is>
      </c>
      <c r="H40" s="7" t="inlineStr">
        <is>
          <t>Pass</t>
        </is>
      </c>
      <c r="I40" s="8" t="inlineStr">
        <is>
          <t>AC5 · Decision Table (R6) · test_access_audit_commit_failure_returns_503_without_health_or_write__AC5[commit-list] · evidence/test-task-integration-final.log</t>
        </is>
      </c>
    </row>
    <row r="41" ht="123.5" customHeight="1">
      <c r="A41" s="7" t="inlineStr">
        <is>
          <t>TC-FALERT-33</t>
        </is>
      </c>
      <c r="B41" s="7" t="inlineStr">
        <is>
          <t>Fail-closed khi facts, audit hoặc commit lỗi [commit-detail]</t>
        </is>
      </c>
      <c r="C41" s="8" t="inlineStr">
        <is>
          <t>Supabase local đã reset, API dùng api_role; dữ liệu test synthetic độc lập. Không dùng DB deploy.</t>
        </is>
      </c>
      <c r="D4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1" s="8" t="inlineStr">
        <is>
          <t>commit-detail</t>
        </is>
      </c>
      <c r="F41" s="8" t="inlineStr">
        <is>
          <t>503 notification_access_unavailable + Cache-Control:no-store; không health, không audit dang dở, is_read vẫn false.</t>
        </is>
      </c>
      <c r="G41" s="8" t="inlineStr">
        <is>
          <t>Đã chạy tự động: các kiểm tra response và DB nêu ở Expected Result đều pass.</t>
        </is>
      </c>
      <c r="H41" s="7" t="inlineStr">
        <is>
          <t>Pass</t>
        </is>
      </c>
      <c r="I41" s="8" t="inlineStr">
        <is>
          <t>AC5 · Decision Table (R6) · test_access_audit_commit_failure_returns_503_without_health_or_write__AC5[commit-detail] · evidence/test-task-integration-final.log</t>
        </is>
      </c>
    </row>
    <row r="42" ht="123.5" customHeight="1">
      <c r="A42" s="7" t="inlineStr">
        <is>
          <t>TC-FALERT-34</t>
        </is>
      </c>
      <c r="B42" s="7" t="inlineStr">
        <is>
          <t>Fail-closed khi facts, audit hoặc commit lỗi [commit-patch]</t>
        </is>
      </c>
      <c r="C42" s="8" t="inlineStr">
        <is>
          <t>Supabase local đã reset, API dùng api_role; dữ liệu test synthetic độc lập. Không dùng DB deploy.</t>
        </is>
      </c>
      <c r="D4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2" s="8" t="inlineStr">
        <is>
          <t>commit-patch</t>
        </is>
      </c>
      <c r="F42" s="8" t="inlineStr">
        <is>
          <t>503 notification_access_unavailable + Cache-Control:no-store; không health, không audit dang dở, is_read vẫn false.</t>
        </is>
      </c>
      <c r="G42" s="8" t="inlineStr">
        <is>
          <t>Đã chạy tự động: các kiểm tra response và DB nêu ở Expected Result đều pass.</t>
        </is>
      </c>
      <c r="H42" s="7" t="inlineStr">
        <is>
          <t>Pass</t>
        </is>
      </c>
      <c r="I42" s="8" t="inlineStr">
        <is>
          <t>AC5 · Decision Table (R6) · test_access_audit_commit_failure_returns_503_without_health_or_write__AC5[commit-patch] · evidence/test-task-integration-final.log</t>
        </is>
      </c>
    </row>
    <row r="43" ht="107" customHeight="1">
      <c r="A43" s="7" t="inlineStr">
        <is>
          <t>TC-FALERT-35</t>
        </is>
      </c>
      <c r="B43" s="7" t="inlineStr">
        <is>
          <t>Giữ audit denied sau rollback request</t>
        </is>
      </c>
      <c r="C43" s="8" t="inlineStr">
        <is>
          <t>Supabase local đã reset, API dùng api_role; dữ liệu test synthetic độc lập. Không dùng DB deploy.</t>
        </is>
      </c>
      <c r="D43" s="8" t="inlineStr">
        <is>
          <t>1. Rút family_sharing của P sau khi tạo notification cho F.
2. Gọi service detail trong UoW thật để Forbidden thoát ra và rollback.
3. Dùng connection khác SELECT access_logs của P.</t>
        </is>
      </c>
      <c r="E43" s="8" t="inlineStr">
        <is>
          <t>P/F là UUID synthetic mới mỗi lần; ID notification lấy từ DB fixture; giờ 2026-10-20T01:00:00Z.</t>
        </is>
      </c>
      <c r="F43" s="8" t="inlineStr">
        <is>
          <t>Có đúng một denied dù transaction request đã rollback.</t>
        </is>
      </c>
      <c r="G43" s="8" t="inlineStr">
        <is>
          <t>Đã chạy tự động: các kiểm tra response và DB nêu ở Expected Result đều pass.</t>
        </is>
      </c>
      <c r="H43" s="7" t="inlineStr">
        <is>
          <t>Pass</t>
        </is>
      </c>
      <c r="I43" s="8" t="inlineStr">
        <is>
          <t>AC5 · đoán lỗi, chuyển trạng thái và bảo mật · test_denied_audit_survives_request_transaction_rollback__AC5 · evidence/test-task-integration-final.log</t>
        </is>
      </c>
    </row>
    <row r="44" ht="90.5" customHeight="1">
      <c r="A44" s="7" t="inlineStr">
        <is>
          <t>TC-FALERT-36</t>
        </is>
      </c>
      <c r="B44" s="7" t="inlineStr">
        <is>
          <t>Từ chối tham số phân trang ngoài biên [params0]</t>
        </is>
      </c>
      <c r="C44" s="8" t="inlineStr">
        <is>
          <t>Supabase local đã reset, API dùng api_role; dữ liệu test synthetic độc lập. Không dùng DB deploy.</t>
        </is>
      </c>
      <c r="D44" s="8" t="inlineStr">
        <is>
          <t>1. Đăng nhập F có notification và quyền hợp lệ.
2. GET /notifications với limit=0, limit=101 hoặc offset=-1 theo Test Data.
3. Kiểm HTTP status và Cache-Control.</t>
        </is>
      </c>
      <c r="E44" s="8" t="inlineStr">
        <is>
          <t>limit=0; offset=0</t>
        </is>
      </c>
      <c r="F44" s="8" t="inlineStr">
        <is>
          <t>422 validation, Cache-Control:no-store; không trả dữ liệu notification.</t>
        </is>
      </c>
      <c r="G44" s="8" t="inlineStr">
        <is>
          <t>HTTP 503 notification_access_unavailable thay vì 422; assertion fail.</t>
        </is>
      </c>
      <c r="H44" s="7" t="inlineStr">
        <is>
          <t>Fail</t>
        </is>
      </c>
      <c r="I44" s="8" t="inlineStr">
        <is>
          <t>AC3 · BVA (min-1), EP (3) · test_invalid_pagination_is_422_no_store__AC3[params0] · evidence/test-task-integration-final.log</t>
        </is>
      </c>
    </row>
    <row r="45" ht="90.5" customHeight="1">
      <c r="A45" s="7" t="inlineStr">
        <is>
          <t>TC-FALERT-37</t>
        </is>
      </c>
      <c r="B45" s="7" t="inlineStr">
        <is>
          <t>Từ chối tham số phân trang ngoài biên [params1]</t>
        </is>
      </c>
      <c r="C45" s="8" t="inlineStr">
        <is>
          <t>Supabase local đã reset, API dùng api_role; dữ liệu test synthetic độc lập. Không dùng DB deploy.</t>
        </is>
      </c>
      <c r="D45" s="8" t="inlineStr">
        <is>
          <t>1. Đăng nhập F có notification và quyền hợp lệ.
2. GET /notifications với limit=0, limit=101 hoặc offset=-1 theo Test Data.
3. Kiểm HTTP status và Cache-Control.</t>
        </is>
      </c>
      <c r="E45" s="8" t="inlineStr">
        <is>
          <t>limit=101; offset=0</t>
        </is>
      </c>
      <c r="F45" s="8" t="inlineStr">
        <is>
          <t>422 validation, Cache-Control:no-store; không trả dữ liệu notification.</t>
        </is>
      </c>
      <c r="G45" s="8" t="inlineStr">
        <is>
          <t>HTTP 503 notification_access_unavailable thay vì 422; assertion fail.</t>
        </is>
      </c>
      <c r="H45" s="7" t="inlineStr">
        <is>
          <t>Fail</t>
        </is>
      </c>
      <c r="I45" s="8" t="inlineStr">
        <is>
          <t>AC3 · BVA (max+1), EP (4) · test_invalid_pagination_is_422_no_store__AC3[params1] · evidence/test-task-integration-final.log</t>
        </is>
      </c>
    </row>
    <row r="46" ht="90.5" customHeight="1">
      <c r="A46" s="7" t="inlineStr">
        <is>
          <t>TC-FALERT-38</t>
        </is>
      </c>
      <c r="B46" s="7" t="inlineStr">
        <is>
          <t>Từ chối tham số phân trang ngoài biên [params2]</t>
        </is>
      </c>
      <c r="C46" s="8" t="inlineStr">
        <is>
          <t>Supabase local đã reset, API dùng api_role; dữ liệu test synthetic độc lập. Không dùng DB deploy.</t>
        </is>
      </c>
      <c r="D46" s="8" t="inlineStr">
        <is>
          <t>1. Đăng nhập F có notification và quyền hợp lệ.
2. GET /notifications với limit=0, limit=101 hoặc offset=-1 theo Test Data.
3. Kiểm HTTP status và Cache-Control.</t>
        </is>
      </c>
      <c r="E46" s="8" t="inlineStr">
        <is>
          <t>limit=20; offset=-1</t>
        </is>
      </c>
      <c r="F46" s="8" t="inlineStr">
        <is>
          <t>422 validation, Cache-Control:no-store; không trả dữ liệu notification.</t>
        </is>
      </c>
      <c r="G46" s="8" t="inlineStr">
        <is>
          <t>HTTP 503 notification_access_unavailable thay vì 422; assertion fail.</t>
        </is>
      </c>
      <c r="H46" s="7" t="inlineStr">
        <is>
          <t>Fail</t>
        </is>
      </c>
      <c r="I46" s="8" t="inlineStr">
        <is>
          <t>AC3 · BVA (min-1), EP (5) · test_invalid_pagination_is_422_no_store__AC3[params2] · evidence/test-task-integration-final.log</t>
        </is>
      </c>
    </row>
    <row r="47" ht="74" customHeight="1">
      <c r="A47" s="7" t="inlineStr">
        <is>
          <t>TC-FALERT-39</t>
        </is>
      </c>
      <c r="B47" s="7" t="inlineStr">
        <is>
          <t>Chấp nhận giới hạn phân trang tại biên [1]</t>
        </is>
      </c>
      <c r="C47" s="8" t="inlineStr">
        <is>
          <t>Supabase local đã reset, API dùng api_role; dữ liệu test synthetic độc lập. Không dùng DB deploy.</t>
        </is>
      </c>
      <c r="D47" s="8" t="inlineStr">
        <is>
          <t>1. Tạo một notification cho F.
2. GET /notifications?limit=&lt;Test Data&gt;&amp;offset=0 bằng session F.</t>
        </is>
      </c>
      <c r="E47" s="8" t="inlineStr">
        <is>
          <t>1</t>
        </is>
      </c>
      <c r="F47" s="8" t="inlineStr">
        <is>
          <t>200 và danh sách có đúng ID notification của F.</t>
        </is>
      </c>
      <c r="G47" s="8" t="inlineStr">
        <is>
          <t>Đã chạy tự động: các kiểm tra response và DB nêu ở Expected Result đều pass.</t>
        </is>
      </c>
      <c r="H47" s="7" t="inlineStr">
        <is>
          <t>Pass</t>
        </is>
      </c>
      <c r="I47" s="8" t="inlineStr">
        <is>
          <t>AC3 · BVA (min), EP (1,2) · test_valid_pagination_boundaries__AC3[1] · evidence/test-task-integration-final.log</t>
        </is>
      </c>
    </row>
    <row r="48" ht="74" customHeight="1">
      <c r="A48" s="7" t="inlineStr">
        <is>
          <t>TC-FALERT-40</t>
        </is>
      </c>
      <c r="B48" s="7" t="inlineStr">
        <is>
          <t>Chấp nhận giới hạn phân trang tại biên [100]</t>
        </is>
      </c>
      <c r="C48" s="8" t="inlineStr">
        <is>
          <t>Supabase local đã reset, API dùng api_role; dữ liệu test synthetic độc lập. Không dùng DB deploy.</t>
        </is>
      </c>
      <c r="D48" s="8" t="inlineStr">
        <is>
          <t>1. Tạo một notification cho F.
2. GET /notifications?limit=&lt;Test Data&gt;&amp;offset=0 bằng session F.</t>
        </is>
      </c>
      <c r="E48" s="8" t="inlineStr">
        <is>
          <t>100</t>
        </is>
      </c>
      <c r="F48" s="8" t="inlineStr">
        <is>
          <t>200 và danh sách có đúng ID notification của F.</t>
        </is>
      </c>
      <c r="G48" s="8" t="inlineStr">
        <is>
          <t>Đã chạy tự động: các kiểm tra response và DB nêu ở Expected Result đều pass.</t>
        </is>
      </c>
      <c r="H48" s="7" t="inlineStr">
        <is>
          <t>Pass</t>
        </is>
      </c>
      <c r="I48" s="8" t="inlineStr">
        <is>
          <t>AC3 · BVA (max), EP (1,2) · test_valid_pagination_boundaries__AC3[100] · evidence/test-task-integration-final.log</t>
        </is>
      </c>
    </row>
    <row r="49" ht="107" customHeight="1">
      <c r="A49" s="7" t="inlineStr">
        <is>
          <t>TC-FALERT-41</t>
        </is>
      </c>
      <c r="B49" s="7" t="inlineStr">
        <is>
          <t>Từ chối khi chưa có liên kết active [list-missing]</t>
        </is>
      </c>
      <c r="C49" s="8" t="inlineStr">
        <is>
          <t>Supabase local đã reset, API dùng api_role; dữ liệu test synthetic độc lập. Không dùng DB deploy.</t>
        </is>
      </c>
      <c r="D49" s="8" t="inlineStr">
        <is>
          <t>1. Tạo P có health_data và family_sharing nhưng F chưa có link hoặc link pending theo Test Data.
2. Tạo notification cũ cho F/P; gọi list/detail/PATCH bằng session F.
3. Kiểm access_logs theo P.</t>
        </is>
      </c>
      <c r="E49" s="8" t="inlineStr">
        <is>
          <t>list-missing</t>
        </is>
      </c>
      <c r="F49" s="8" t="inlineStr">
        <is>
          <t>List 200 rỗng/count 0 hoặc detail/PATCH 403; một denied cho P.</t>
        </is>
      </c>
      <c r="G49" s="8" t="inlineStr">
        <is>
          <t>Đã chạy tự động: các kiểm tra response và DB nêu ở Expected Result đều pass.</t>
        </is>
      </c>
      <c r="H49" s="7" t="inlineStr">
        <is>
          <t>Pass</t>
        </is>
      </c>
      <c r="I49" s="8" t="inlineStr">
        <is>
          <t>AC5 · Decision Table (R2) · test_initial_missing_or_pending_link_denied_with_audit__AC5[list-missing] · evidence/test-task-integration-final.log</t>
        </is>
      </c>
    </row>
    <row r="50" ht="107" customHeight="1">
      <c r="A50" s="7" t="inlineStr">
        <is>
          <t>TC-FALERT-42</t>
        </is>
      </c>
      <c r="B50" s="7" t="inlineStr">
        <is>
          <t>Từ chối khi chưa có liên kết active [list-pending]</t>
        </is>
      </c>
      <c r="C50" s="8" t="inlineStr">
        <is>
          <t>Supabase local đã reset, API dùng api_role; dữ liệu test synthetic độc lập. Không dùng DB deploy.</t>
        </is>
      </c>
      <c r="D50" s="8" t="inlineStr">
        <is>
          <t>1. Tạo P có health_data và family_sharing nhưng F chưa có link hoặc link pending theo Test Data.
2. Tạo notification cũ cho F/P; gọi list/detail/PATCH bằng session F.
3. Kiểm access_logs theo P.</t>
        </is>
      </c>
      <c r="E50" s="8" t="inlineStr">
        <is>
          <t>list-pending</t>
        </is>
      </c>
      <c r="F50" s="8" t="inlineStr">
        <is>
          <t>List 200 rỗng/count 0 hoặc detail/PATCH 403; một denied cho P.</t>
        </is>
      </c>
      <c r="G50" s="8" t="inlineStr">
        <is>
          <t>Đã chạy tự động: các kiểm tra response và DB nêu ở Expected Result đều pass.</t>
        </is>
      </c>
      <c r="H50" s="7" t="inlineStr">
        <is>
          <t>Pass</t>
        </is>
      </c>
      <c r="I50" s="8" t="inlineStr">
        <is>
          <t>AC5 · Decision Table (R2) · test_initial_missing_or_pending_link_denied_with_audit__AC5[list-pending] · evidence/test-task-integration-final.log</t>
        </is>
      </c>
    </row>
    <row r="51" ht="107" customHeight="1">
      <c r="A51" s="7" t="inlineStr">
        <is>
          <t>TC-FALERT-43</t>
        </is>
      </c>
      <c r="B51" s="7" t="inlineStr">
        <is>
          <t>Từ chối khi chưa có liên kết active [detail-missing]</t>
        </is>
      </c>
      <c r="C51" s="8" t="inlineStr">
        <is>
          <t>Supabase local đã reset, API dùng api_role; dữ liệu test synthetic độc lập. Không dùng DB deploy.</t>
        </is>
      </c>
      <c r="D51" s="8" t="inlineStr">
        <is>
          <t>1. Tạo P có health_data và family_sharing nhưng F chưa có link hoặc link pending theo Test Data.
2. Tạo notification cũ cho F/P; gọi list/detail/PATCH bằng session F.
3. Kiểm access_logs theo P.</t>
        </is>
      </c>
      <c r="E51" s="8" t="inlineStr">
        <is>
          <t>detail-missing</t>
        </is>
      </c>
      <c r="F51" s="8" t="inlineStr">
        <is>
          <t>List 200 rỗng/count 0 hoặc detail/PATCH 403; một denied cho P.</t>
        </is>
      </c>
      <c r="G51" s="8" t="inlineStr">
        <is>
          <t>Đã chạy tự động: các kiểm tra response và DB nêu ở Expected Result đều pass.</t>
        </is>
      </c>
      <c r="H51" s="7" t="inlineStr">
        <is>
          <t>Pass</t>
        </is>
      </c>
      <c r="I51" s="8" t="inlineStr">
        <is>
          <t>AC5 · Decision Table (R2) · test_initial_missing_or_pending_link_denied_with_audit__AC5[detail-missing] · evidence/test-task-integration-final.log</t>
        </is>
      </c>
    </row>
    <row r="52" ht="107" customHeight="1">
      <c r="A52" s="7" t="inlineStr">
        <is>
          <t>TC-FALERT-44</t>
        </is>
      </c>
      <c r="B52" s="7" t="inlineStr">
        <is>
          <t>Từ chối khi chưa có liên kết active [detail-pending]</t>
        </is>
      </c>
      <c r="C52" s="8" t="inlineStr">
        <is>
          <t>Supabase local đã reset, API dùng api_role; dữ liệu test synthetic độc lập. Không dùng DB deploy.</t>
        </is>
      </c>
      <c r="D52" s="8" t="inlineStr">
        <is>
          <t>1. Tạo P có health_data và family_sharing nhưng F chưa có link hoặc link pending theo Test Data.
2. Tạo notification cũ cho F/P; gọi list/detail/PATCH bằng session F.
3. Kiểm access_logs theo P.</t>
        </is>
      </c>
      <c r="E52" s="8" t="inlineStr">
        <is>
          <t>detail-pending</t>
        </is>
      </c>
      <c r="F52" s="8" t="inlineStr">
        <is>
          <t>List 200 rỗng/count 0 hoặc detail/PATCH 403; một denied cho P.</t>
        </is>
      </c>
      <c r="G52" s="8" t="inlineStr">
        <is>
          <t>Đã chạy tự động: các kiểm tra response và DB nêu ở Expected Result đều pass.</t>
        </is>
      </c>
      <c r="H52" s="7" t="inlineStr">
        <is>
          <t>Pass</t>
        </is>
      </c>
      <c r="I52" s="8" t="inlineStr">
        <is>
          <t>AC5 · Decision Table (R2) · test_initial_missing_or_pending_link_denied_with_audit__AC5[detail-pending] · evidence/test-task-integration-final.log</t>
        </is>
      </c>
    </row>
    <row r="53" ht="107" customHeight="1">
      <c r="A53" s="7" t="inlineStr">
        <is>
          <t>TC-FALERT-45</t>
        </is>
      </c>
      <c r="B53" s="7" t="inlineStr">
        <is>
          <t>Từ chối khi chưa có liên kết active [patch-missing]</t>
        </is>
      </c>
      <c r="C53" s="8" t="inlineStr">
        <is>
          <t>Supabase local đã reset, API dùng api_role; dữ liệu test synthetic độc lập. Không dùng DB deploy.</t>
        </is>
      </c>
      <c r="D53" s="8" t="inlineStr">
        <is>
          <t>1. Tạo P có health_data và family_sharing nhưng F chưa có link hoặc link pending theo Test Data.
2. Tạo notification cũ cho F/P; gọi list/detail/PATCH bằng session F.
3. Kiểm access_logs theo P.</t>
        </is>
      </c>
      <c r="E53" s="8" t="inlineStr">
        <is>
          <t>patch-missing</t>
        </is>
      </c>
      <c r="F53" s="8" t="inlineStr">
        <is>
          <t>List 200 rỗng/count 0 hoặc detail/PATCH 403; một denied cho P.</t>
        </is>
      </c>
      <c r="G53" s="8" t="inlineStr">
        <is>
          <t>Đã chạy tự động: các kiểm tra response và DB nêu ở Expected Result đều pass.</t>
        </is>
      </c>
      <c r="H53" s="7" t="inlineStr">
        <is>
          <t>Pass</t>
        </is>
      </c>
      <c r="I53" s="8" t="inlineStr">
        <is>
          <t>AC5 · Decision Table (R2) · test_initial_missing_or_pending_link_denied_with_audit__AC5[patch-missing] · evidence/test-task-integration-final.log</t>
        </is>
      </c>
    </row>
    <row r="54" ht="107" customHeight="1">
      <c r="A54" s="7" t="inlineStr">
        <is>
          <t>TC-FALERT-46</t>
        </is>
      </c>
      <c r="B54" s="7" t="inlineStr">
        <is>
          <t>Từ chối khi chưa có liên kết active [patch-pending]</t>
        </is>
      </c>
      <c r="C54" s="8" t="inlineStr">
        <is>
          <t>Supabase local đã reset, API dùng api_role; dữ liệu test synthetic độc lập. Không dùng DB deploy.</t>
        </is>
      </c>
      <c r="D54" s="8" t="inlineStr">
        <is>
          <t>1. Tạo P có health_data và family_sharing nhưng F chưa có link hoặc link pending theo Test Data.
2. Tạo notification cũ cho F/P; gọi list/detail/PATCH bằng session F.
3. Kiểm access_logs theo P.</t>
        </is>
      </c>
      <c r="E54" s="8" t="inlineStr">
        <is>
          <t>patch-pending</t>
        </is>
      </c>
      <c r="F54" s="8" t="inlineStr">
        <is>
          <t>List 200 rỗng/count 0 hoặc detail/PATCH 403; một denied cho P.</t>
        </is>
      </c>
      <c r="G54" s="8" t="inlineStr">
        <is>
          <t>Đã chạy tự động: các kiểm tra response và DB nêu ở Expected Result đều pass.</t>
        </is>
      </c>
      <c r="H54" s="7" t="inlineStr">
        <is>
          <t>Pass</t>
        </is>
      </c>
      <c r="I54" s="8" t="inlineStr">
        <is>
          <t>AC5 · Decision Table (R2) · test_initial_missing_or_pending_link_denied_with_audit__AC5[patch-pending] · evidence/test-task-integration-final.log</t>
        </is>
      </c>
    </row>
    <row r="55" ht="90.5" customHeight="1">
      <c r="A55" s="7" t="inlineStr">
        <is>
          <t>TC-FALERT-47</t>
        </is>
      </c>
      <c r="B55" s="7" t="inlineStr">
        <is>
          <t>Từ chối request notification thiếu session [list]</t>
        </is>
      </c>
      <c r="C55" s="8" t="inlineStr">
        <is>
          <t>Supabase local đã reset, API dùng api_role; dữ liệu test synthetic độc lập. Không dùng DB deploy.</t>
        </is>
      </c>
      <c r="D55" s="8" t="inlineStr">
        <is>
          <t>1. Tạo notification hợp lệ.
2. Gọi list/detail/PATCH theo Test Data không có Authorization.</t>
        </is>
      </c>
      <c r="E55" s="8" t="inlineStr">
        <is>
          <t>list</t>
        </is>
      </c>
      <c r="F55" s="8" t="inlineStr">
        <is>
          <t>401 và Cache-Control:no-store, không trả dữ liệu sức khỏe.</t>
        </is>
      </c>
      <c r="G55" s="8" t="inlineStr">
        <is>
          <t>Đã chạy tự động: các kiểm tra response và DB nêu ở Expected Result đều pass.</t>
        </is>
      </c>
      <c r="H55" s="7" t="inlineStr">
        <is>
          <t>Pass</t>
        </is>
      </c>
      <c r="I55" s="8" t="inlineStr">
        <is>
          <t>AC5 · đoán lỗi, chuyển trạng thái và bảo mật · test_missing_session_returns_401_no_store__AC5[list] · evidence/test-task-integration-final.log</t>
        </is>
      </c>
    </row>
    <row r="56" ht="90.5" customHeight="1">
      <c r="A56" s="7" t="inlineStr">
        <is>
          <t>TC-FALERT-48</t>
        </is>
      </c>
      <c r="B56" s="7" t="inlineStr">
        <is>
          <t>Từ chối request notification thiếu session [detail]</t>
        </is>
      </c>
      <c r="C56" s="8" t="inlineStr">
        <is>
          <t>Supabase local đã reset, API dùng api_role; dữ liệu test synthetic độc lập. Không dùng DB deploy.</t>
        </is>
      </c>
      <c r="D56" s="8" t="inlineStr">
        <is>
          <t>1. Tạo notification hợp lệ.
2. Gọi list/detail/PATCH theo Test Data không có Authorization.</t>
        </is>
      </c>
      <c r="E56" s="8" t="inlineStr">
        <is>
          <t>detail</t>
        </is>
      </c>
      <c r="F56" s="8" t="inlineStr">
        <is>
          <t>401 và Cache-Control:no-store, không trả dữ liệu sức khỏe.</t>
        </is>
      </c>
      <c r="G56" s="8" t="inlineStr">
        <is>
          <t>Đã chạy tự động: các kiểm tra response và DB nêu ở Expected Result đều pass.</t>
        </is>
      </c>
      <c r="H56" s="7" t="inlineStr">
        <is>
          <t>Pass</t>
        </is>
      </c>
      <c r="I56" s="8" t="inlineStr">
        <is>
          <t>AC5 · đoán lỗi, chuyển trạng thái và bảo mật · test_missing_session_returns_401_no_store__AC5[detail] · evidence/test-task-integration-final.log</t>
        </is>
      </c>
    </row>
    <row r="57" ht="90.5" customHeight="1">
      <c r="A57" s="7" t="inlineStr">
        <is>
          <t>TC-FALERT-49</t>
        </is>
      </c>
      <c r="B57" s="7" t="inlineStr">
        <is>
          <t>Từ chối request notification thiếu session [patch]</t>
        </is>
      </c>
      <c r="C57" s="8" t="inlineStr">
        <is>
          <t>Supabase local đã reset, API dùng api_role; dữ liệu test synthetic độc lập. Không dùng DB deploy.</t>
        </is>
      </c>
      <c r="D57" s="8" t="inlineStr">
        <is>
          <t>1. Tạo notification hợp lệ.
2. Gọi list/detail/PATCH theo Test Data không có Authorization.</t>
        </is>
      </c>
      <c r="E57" s="8" t="inlineStr">
        <is>
          <t>patch</t>
        </is>
      </c>
      <c r="F57" s="8" t="inlineStr">
        <is>
          <t>401 và Cache-Control:no-store, không trả dữ liệu sức khỏe.</t>
        </is>
      </c>
      <c r="G57" s="8" t="inlineStr">
        <is>
          <t>Đã chạy tự động: các kiểm tra response và DB nêu ở Expected Result đều pass.</t>
        </is>
      </c>
      <c r="H57" s="7" t="inlineStr">
        <is>
          <t>Pass</t>
        </is>
      </c>
      <c r="I57" s="8" t="inlineStr">
        <is>
          <t>AC5 · đoán lỗi, chuyển trạng thái và bảo mật · test_missing_session_returns_401_no_store__AC5[patch] · evidence/test-task-integration-final.log</t>
        </is>
      </c>
    </row>
    <row r="58" ht="156.5" customHeight="1">
      <c r="A58" s="7" t="inlineStr">
        <is>
          <t>TC-FALERT-50</t>
        </is>
      </c>
      <c r="B58" s="7" t="inlineStr">
        <is>
          <t>Giữ snapshot event sau sửa thuốc/lịch và quét lại</t>
        </is>
      </c>
      <c r="C58" s="8" t="inlineStr">
        <is>
          <t>Supabase local đã reset, API dùng api_role; dữ liệu test synthetic độc lập. Không dùng DB deploy.</t>
        </is>
      </c>
      <c r="D58" s="8" t="inlineStr">
        <is>
          <t>1. Tạo lịch P lúc 2026-10-20T01:00:00Z, thuốc Integration medicine; F không có token Android.
2. Scan bằng worker_role hai lần với controlled occurrence port tại giờ liều+3h.
3. GET inbox/detail bằng session F; sửa tên catalog và giờ lịch thành 19:00; GET detail lại.
4. PATCH is_read=true hai lần rồi đếm dose/notification và unread_count.</t>
        </is>
      </c>
      <c r="E58" s="8" t="inlineStr">
        <is>
          <t>P/F là UUID synthetic mới mỗi lần; ID notification lấy từ DB fixture; giờ 2026-10-20T01:00:00Z.</t>
        </is>
      </c>
      <c r="F58" s="8" t="inlineStr">
        <is>
          <t>Một dose bo_lo và một notification; snapshot thuốc/giờ giữ nguyên, badge về 0; PATCH không đổi dose; inbox không cần FCM token.</t>
        </is>
      </c>
      <c r="G58" s="8" t="inlineStr">
        <is>
          <t>Đã chạy tự động: các kiểm tra response và DB nêu ở Expected Result đều pass.</t>
        </is>
      </c>
      <c r="H58" s="7" t="inlineStr">
        <is>
          <t>Pass</t>
        </is>
      </c>
      <c r="I58" s="8" t="inlineStr">
        <is>
          <t>AC2, AC3, AC4 · đoán lỗi, chuyển trạng thái và bảo mật · test_scan_snapshot_survives_catalog_schedule_edit_and_replay__AC2_AC3_AC4 · evidence/test-task-integration-final.log</t>
        </is>
      </c>
    </row>
    <row r="59" ht="107" customHeight="1">
      <c r="A59" s="7" t="inlineStr">
        <is>
          <t>TC-FALERT-51</t>
        </is>
      </c>
      <c r="B59" s="7" t="inlineStr">
        <is>
          <t>Phân trang theo ID khi created_at bằng nhau và giữ badge toàn tập</t>
        </is>
      </c>
      <c r="C59" s="8" t="inlineStr">
        <is>
          <t>Supabase local đã reset, API dùng api_role; dữ liệu test synthetic độc lập. Không dùng DB deploy.</t>
        </is>
      </c>
      <c r="D59" s="8" t="inlineStr">
        <is>
          <t>1. Tạo 3 notification được phép, 2 unread, tất cả cùng created_at; thêm một notification patient bị từ chối.
2. GET với limit=1, offset=1; is_read=true/false; và limit=100,offset=100.
3. So ID và total/unread_count, kiểm denied.</t>
        </is>
      </c>
      <c r="E59" s="8" t="inlineStr">
        <is>
          <t>P/F là UUID synthetic mới mỗi lần; ID notification lấy từ DB fixture; giờ 2026-10-20T01:00:00Z.</t>
        </is>
      </c>
      <c r="F59" s="8" t="inlineStr">
        <is>
          <t>created_at DESC/id DESC; total theo is_read trước offset; unread_count luôn 2; patient bị từ chối không có trong count.</t>
        </is>
      </c>
      <c r="G59" s="8" t="inlineStr">
        <is>
          <t>Đã chạy tự động: các kiểm tra response và DB nêu ở Expected Result đều pass.</t>
        </is>
      </c>
      <c r="H59" s="7" t="inlineStr">
        <is>
          <t>Pass</t>
        </is>
      </c>
      <c r="I59" s="8" t="inlineStr">
        <is>
          <t>AC3, AC4 · đoán lỗi, chuyển trạng thái và bảo mật · test_filter_offset_tied_order_and_global_badge__AC3_AC4 · evidence/test-task-integration-final.log</t>
        </is>
      </c>
    </row>
    <row r="60" ht="107" customHeight="1">
      <c r="A60" s="7" t="inlineStr">
        <is>
          <t>TC-FALERT-52</t>
        </is>
      </c>
      <c r="B60" s="7" t="inlineStr">
        <is>
          <t>Giữ một bản ghi khi worker và xác nhận liều chạy đua [False]</t>
        </is>
      </c>
      <c r="C60" s="8" t="inlineStr">
        <is>
          <t>Supabase local đã reset, API dùng api_role; dữ liệu test synthetic độc lập. Không dùng DB deploy.</t>
        </is>
      </c>
      <c r="D60" s="8" t="inlineStr">
        <is>
          <t>1. Tạo lịch lúc 2026-10-20T01:00:00Z.
2. Giữ transaction INSERT bo_lo hoặc da_uong theo Test Data; chạy thao tác còn lại ở connection khác.
3. Chờ lock waiter, commit transaction giữ; kiểm dose_logs theo occurrence.</t>
        </is>
      </c>
      <c r="E60" s="8" t="inlineStr">
        <is>
          <t>False</t>
        </is>
      </c>
      <c r="F60" s="8" t="inlineStr">
        <is>
          <t>Một dòng; xác nhận đến muộn biến bo_lo thành uong_tre; worker không ghi đè da_uong.</t>
        </is>
      </c>
      <c r="G60" s="8" t="inlineStr">
        <is>
          <t>Đã chạy tự động: các kiểm tra response và DB nêu ở Expected Result đều pass.</t>
        </is>
      </c>
      <c r="H60" s="7" t="inlineStr">
        <is>
          <t>Pass</t>
        </is>
      </c>
      <c r="I60" s="8" t="inlineStr">
        <is>
          <t>AC3 · đoán lỗi, chuyển trạng thái và bảo mật · test_worker_database_race_never_overwrites_confirmation__AC3[False] · evidence/test-task-integration-final.log</t>
        </is>
      </c>
    </row>
    <row r="61" ht="107" customHeight="1">
      <c r="A61" s="7" t="inlineStr">
        <is>
          <t>TC-FALERT-53</t>
        </is>
      </c>
      <c r="B61" s="7" t="inlineStr">
        <is>
          <t>Giữ một bản ghi khi worker và xác nhận liều chạy đua [True]</t>
        </is>
      </c>
      <c r="C61" s="8" t="inlineStr">
        <is>
          <t>Supabase local đã reset, API dùng api_role; dữ liệu test synthetic độc lập. Không dùng DB deploy.</t>
        </is>
      </c>
      <c r="D61" s="8" t="inlineStr">
        <is>
          <t>1. Tạo lịch lúc 2026-10-20T01:00:00Z.
2. Giữ transaction INSERT bo_lo hoặc da_uong theo Test Data; chạy thao tác còn lại ở connection khác.
3. Chờ lock waiter, commit transaction giữ; kiểm dose_logs theo occurrence.</t>
        </is>
      </c>
      <c r="E61" s="8" t="inlineStr">
        <is>
          <t>True</t>
        </is>
      </c>
      <c r="F61" s="8" t="inlineStr">
        <is>
          <t>Một dòng; xác nhận đến muộn biến bo_lo thành uong_tre; worker không ghi đè da_uong.</t>
        </is>
      </c>
      <c r="G61" s="8" t="inlineStr">
        <is>
          <t>Đã chạy tự động: các kiểm tra response và DB nêu ở Expected Result đều pass.</t>
        </is>
      </c>
      <c r="H61" s="7" t="inlineStr">
        <is>
          <t>Pass</t>
        </is>
      </c>
      <c r="I61" s="8" t="inlineStr">
        <is>
          <t>AC3 · đoán lỗi, chuyển trạng thái và bảo mật · test_worker_database_race_never_overwrites_confirmation__AC3[True] · evidence/test-task-integration-final.log</t>
        </is>
      </c>
    </row>
    <row r="62" ht="123.5" customHeight="1">
      <c r="A62" s="7" t="inlineStr">
        <is>
          <t>TC-FALERT-54</t>
        </is>
      </c>
      <c r="B62" s="7" t="inlineStr">
        <is>
          <t>Nâng cấp schema giữ nguyên notification legacy</t>
        </is>
      </c>
      <c r="C62" s="8" t="inlineStr">
        <is>
          <t>Supabase local đã reset, API dùng api_role; dữ liệu test synthetic độc lập. Không dùng DB deploy.</t>
        </is>
      </c>
      <c r="D62" s="8" t="inlineStr">
        <is>
          <t>1. Trong transaction rollback-only, tái lập schema trước migration snapshot và INSERT notification legacy.
2. Chạy chính SQL migration 20261021093454 bên trong transaction test.
3. So dòng trước/sau; SET ROLE api_role rồi UPDATE is_read; rollback toàn bộ test.</t>
        </is>
      </c>
      <c r="E62" s="8" t="inlineStr">
        <is>
          <t>P/F là UUID synthetic mới mỗi lần; ID notification lấy từ DB fixture; giờ 2026-10-20T01:00:00Z.</t>
        </is>
      </c>
      <c r="F62" s="8" t="inlineStr">
        <is>
          <t>ID/nội dung/ngày/trạng thái legacy giữ nguyên; snapshot NULL; api_role vẫn đổi được is_read; không sửa migration đã áp dụng.</t>
        </is>
      </c>
      <c r="G62" s="8" t="inlineStr">
        <is>
          <t>Đã chạy tự động: các kiểm tra response và DB nêu ở Expected Result đều pass.</t>
        </is>
      </c>
      <c r="H62" s="7" t="inlineStr">
        <is>
          <t>Pass</t>
        </is>
      </c>
      <c r="I62" s="8" t="inlineStr">
        <is>
          <t>AC3 · đoán lỗi, chuyển trạng thái và bảo mật · test_upgrade_preserves_legacy_and_read_update__AC3 · evidence/test-task-integration-final.log</t>
        </is>
      </c>
    </row>
    <row r="63" ht="90.5" customHeight="1">
      <c r="A63" s="7" t="inlineStr">
        <is>
          <t>TC-FALERT-55</t>
        </is>
      </c>
      <c r="B63" s="7" t="inlineStr">
        <is>
          <t>Đọc và đánh dấu cảnh báo legacy thiếu snapshot</t>
        </is>
      </c>
      <c r="C63" s="8" t="inlineStr">
        <is>
          <t>Supabase local đã reset, API dùng api_role; dữ liệu test synthetic độc lập. Không dùng DB deploy.</t>
        </is>
      </c>
      <c r="D63" s="8" t="inlineStr">
        <is>
          <t>1. Chuẩn bị notification legacy có medication_name/scheduled_at=NULL.
2. GET detail rồi PATCH is_read=true bằng người thân có quyền.</t>
        </is>
      </c>
      <c r="E63" s="8" t="inlineStr">
        <is>
          <t>P/F là UUID synthetic mới mỗi lần; ID notification lấy từ DB fixture; giờ 2026-10-20T01:00:00Z.</t>
        </is>
      </c>
      <c r="F63" s="8" t="inlineStr">
        <is>
          <t>200 đủ field nullable và is_read=true sau PATCH; không backfill bằng lịch hiện tại.</t>
        </is>
      </c>
      <c r="G63" s="8" t="inlineStr">
        <is>
          <t>Đã chạy tự động: các kiểm tra response và DB nêu ở Expected Result đều pass.</t>
        </is>
      </c>
      <c r="H63" s="7" t="inlineStr">
        <is>
          <t>Pass</t>
        </is>
      </c>
      <c r="I63" s="8" t="inlineStr">
        <is>
          <t>AC3, AC4 · đoán lỗi, chuyển trạng thái và bảo mật · test_legacy_null_snapshot_can_be_read_and_marked__AC3_AC4 · evidence/test-task-integration-final.log</t>
        </is>
      </c>
    </row>
    <row r="64" ht="90.5" customHeight="1">
      <c r="A64" s="7" t="inlineStr">
        <is>
          <t>TC-FALERT-56</t>
        </is>
      </c>
      <c r="B64" s="7" t="inlineStr">
        <is>
          <t>Chặn notification mới thiếu snapshot [None-at0]</t>
        </is>
      </c>
      <c r="C64" s="8" t="inlineStr">
        <is>
          <t>Supabase local đã reset, API dùng api_role; dữ liệu test synthetic độc lập. Không dùng DB deploy.</t>
        </is>
      </c>
      <c r="D64" s="8" t="inlineStr">
        <is>
          <t>1. Tạo patient/recipient synthetic.
2. INSERT notifications với name/time theo Test Data bằng connection quản trị.</t>
        </is>
      </c>
      <c r="E64" s="8" t="inlineStr">
        <is>
          <t>medication_name=NULL; scheduled_at=2026-10-20T01:00:00Z</t>
        </is>
      </c>
      <c r="F64" s="8" t="inlineStr">
        <is>
          <t>DB từ chối với SQLSTATE 23514; không tạo dòng thiếu snapshot.</t>
        </is>
      </c>
      <c r="G64" s="8" t="inlineStr">
        <is>
          <t>Đã chạy tự động: các kiểm tra response và DB nêu ở Expected Result đều pass.</t>
        </is>
      </c>
      <c r="H64" s="7" t="inlineStr">
        <is>
          <t>Pass</t>
        </is>
      </c>
      <c r="I64" s="8" t="inlineStr">
        <is>
          <t>AC3 · đoán lỗi, chuyển trạng thái và bảo mật · test_new_insert_requires_snapshot__AC3[None-at0] · evidence/test-task-integration-final.log</t>
        </is>
      </c>
    </row>
    <row r="65" ht="90.5" customHeight="1">
      <c r="A65" s="7" t="inlineStr">
        <is>
          <t>TC-FALERT-57</t>
        </is>
      </c>
      <c r="B65" s="7" t="inlineStr">
        <is>
          <t>Chặn notification mới thiếu snapshot [-at1]</t>
        </is>
      </c>
      <c r="C65" s="8" t="inlineStr">
        <is>
          <t>Supabase local đã reset, API dùng api_role; dữ liệu test synthetic độc lập. Không dùng DB deploy.</t>
        </is>
      </c>
      <c r="D65" s="8" t="inlineStr">
        <is>
          <t>1. Tạo patient/recipient synthetic.
2. INSERT notifications với name/time theo Test Data bằng connection quản trị.</t>
        </is>
      </c>
      <c r="E65" s="8" t="inlineStr">
        <is>
          <t>medication_name=(blank); scheduled_at=2026-10-20T01:00:00Z</t>
        </is>
      </c>
      <c r="F65" s="8" t="inlineStr">
        <is>
          <t>DB từ chối với SQLSTATE 23514; không tạo dòng thiếu snapshot.</t>
        </is>
      </c>
      <c r="G65" s="8" t="inlineStr">
        <is>
          <t>Đã chạy tự động: các kiểm tra response và DB nêu ở Expected Result đều pass.</t>
        </is>
      </c>
      <c r="H65" s="7" t="inlineStr">
        <is>
          <t>Pass</t>
        </is>
      </c>
      <c r="I65" s="8" t="inlineStr">
        <is>
          <t>AC3 · đoán lỗi, chuyển trạng thái và bảo mật · test_new_insert_requires_snapshot__AC3[-at1] · evidence/test-task-integration-final.log</t>
        </is>
      </c>
    </row>
    <row r="66" ht="90.5" customHeight="1">
      <c r="A66" s="7" t="inlineStr">
        <is>
          <t>TC-FALERT-58</t>
        </is>
      </c>
      <c r="B66" s="7" t="inlineStr">
        <is>
          <t>Chặn notification mới thiếu snapshot [   -at2]</t>
        </is>
      </c>
      <c r="C66" s="8" t="inlineStr">
        <is>
          <t>Supabase local đã reset, API dùng api_role; dữ liệu test synthetic độc lập. Không dùng DB deploy.</t>
        </is>
      </c>
      <c r="D66" s="8" t="inlineStr">
        <is>
          <t>1. Tạo patient/recipient synthetic.
2. INSERT notifications với name/time theo Test Data bằng connection quản trị.</t>
        </is>
      </c>
      <c r="E66" s="8" t="inlineStr">
        <is>
          <t>medication_name="   "; scheduled_at=2026-10-20T01:00:00Z</t>
        </is>
      </c>
      <c r="F66" s="8" t="inlineStr">
        <is>
          <t>DB từ chối với SQLSTATE 23514; không tạo dòng thiếu snapshot.</t>
        </is>
      </c>
      <c r="G66" s="8" t="inlineStr">
        <is>
          <t>Đã chạy tự động: các kiểm tra response và DB nêu ở Expected Result đều pass.</t>
        </is>
      </c>
      <c r="H66" s="7" t="inlineStr">
        <is>
          <t>Pass</t>
        </is>
      </c>
      <c r="I66" s="8" t="inlineStr">
        <is>
          <t>AC3 · đoán lỗi, chuyển trạng thái và bảo mật · test_new_insert_requires_snapshot__AC3[   -at2] · evidence/test-task-integration-final.log</t>
        </is>
      </c>
    </row>
    <row r="67" ht="90.5" customHeight="1">
      <c r="A67" s="7" t="inlineStr">
        <is>
          <t>TC-FALERT-59</t>
        </is>
      </c>
      <c r="B67" s="7" t="inlineStr">
        <is>
          <t>Chặn notification mới thiếu snapshot [Valid-None]</t>
        </is>
      </c>
      <c r="C67" s="8" t="inlineStr">
        <is>
          <t>Supabase local đã reset, API dùng api_role; dữ liệu test synthetic độc lập. Không dùng DB deploy.</t>
        </is>
      </c>
      <c r="D67" s="8" t="inlineStr">
        <is>
          <t>1. Tạo patient/recipient synthetic.
2. INSERT notifications với name/time theo Test Data bằng connection quản trị.</t>
        </is>
      </c>
      <c r="E67" s="8" t="inlineStr">
        <is>
          <t>medication_name="Valid"; scheduled_at=NULL</t>
        </is>
      </c>
      <c r="F67" s="8" t="inlineStr">
        <is>
          <t>DB từ chối với SQLSTATE 23514; không tạo dòng thiếu snapshot.</t>
        </is>
      </c>
      <c r="G67" s="8" t="inlineStr">
        <is>
          <t>Đã chạy tự động: các kiểm tra response và DB nêu ở Expected Result đều pass.</t>
        </is>
      </c>
      <c r="H67" s="7" t="inlineStr">
        <is>
          <t>Pass</t>
        </is>
      </c>
      <c r="I67" s="8" t="inlineStr">
        <is>
          <t>AC3 · đoán lỗi, chuyển trạng thái và bảo mật · test_new_insert_requires_snapshot__AC3[Valid-None] · evidence/test-task-integration-final.log</t>
        </is>
      </c>
    </row>
    <row r="68" ht="140" customHeight="1">
      <c r="A68" s="7" t="inlineStr">
        <is>
          <t>TC-FALERT-60</t>
        </is>
      </c>
      <c r="B68" s="7" t="inlineStr">
        <is>
          <t>Giữ RLS, quyền tối thiểu và index cho inbox [anon]</t>
        </is>
      </c>
      <c r="C68" s="8" t="inlineStr">
        <is>
          <t>Supabase local đã reset, API dùng api_role; dữ liệu test synthetic độc lập. Không dùng DB deploy.</t>
        </is>
      </c>
      <c r="D68"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8" s="8" t="inlineStr">
        <is>
          <t>anon</t>
        </is>
      </c>
      <c r="F68" s="8" t="inlineStr">
        <is>
          <t>Client roles không đọc; API chỉ đổi is_read; worker INSERT được và UPDATE bị chặn; RLS bật, không policy client; index inbox được dùng.</t>
        </is>
      </c>
      <c r="G68" s="8" t="inlineStr">
        <is>
          <t>Đã chạy tự động: các kiểm tra response và DB nêu ở Expected Result đều pass.</t>
        </is>
      </c>
      <c r="H68" s="7" t="inlineStr">
        <is>
          <t>Pass</t>
        </is>
      </c>
      <c r="I68" s="8" t="inlineStr">
        <is>
          <t>AC3, AC5 · đoán lỗi, chuyển trạng thái và bảo mật · test_snapshot_roles_rls_and_indexes__AC3_AC5[anon] · evidence/test-task-integration-final.log</t>
        </is>
      </c>
    </row>
    <row r="69" ht="140" customHeight="1">
      <c r="A69" s="7" t="inlineStr">
        <is>
          <t>TC-FALERT-61</t>
        </is>
      </c>
      <c r="B69" s="7" t="inlineStr">
        <is>
          <t>Giữ RLS, quyền tối thiểu và index cho inbox [authenticated]</t>
        </is>
      </c>
      <c r="C69" s="8" t="inlineStr">
        <is>
          <t>Supabase local đã reset, API dùng api_role; dữ liệu test synthetic độc lập. Không dùng DB deploy.</t>
        </is>
      </c>
      <c r="D69"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9" s="8" t="inlineStr">
        <is>
          <t>authenticated</t>
        </is>
      </c>
      <c r="F69" s="8" t="inlineStr">
        <is>
          <t>Client roles không đọc; API chỉ đổi is_read; worker INSERT được và UPDATE bị chặn; RLS bật, không policy client; index inbox được dùng.</t>
        </is>
      </c>
      <c r="G69" s="8" t="inlineStr">
        <is>
          <t>Đã chạy tự động: các kiểm tra response và DB nêu ở Expected Result đều pass.</t>
        </is>
      </c>
      <c r="H69" s="7" t="inlineStr">
        <is>
          <t>Pass</t>
        </is>
      </c>
      <c r="I69" s="8" t="inlineStr">
        <is>
          <t>AC3, AC5 · đoán lỗi, chuyển trạng thái và bảo mật · test_snapshot_roles_rls_and_indexes__AC3_AC5[authenticated] · evidence/test-task-integration-final.log</t>
        </is>
      </c>
    </row>
    <row r="70" ht="140" customHeight="1">
      <c r="A70" s="7" t="inlineStr">
        <is>
          <t>TC-FALERT-62</t>
        </is>
      </c>
      <c r="B70" s="7" t="inlineStr">
        <is>
          <t>Giữ RLS, quyền tối thiểu và index cho inbox [api_role]</t>
        </is>
      </c>
      <c r="C70" s="8" t="inlineStr">
        <is>
          <t>Supabase local đã reset, API dùng api_role; dữ liệu test synthetic độc lập. Không dùng DB deploy.</t>
        </is>
      </c>
      <c r="D70"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0" s="8" t="inlineStr">
        <is>
          <t>api_role</t>
        </is>
      </c>
      <c r="F70" s="8" t="inlineStr">
        <is>
          <t>Client roles không đọc; API chỉ đổi is_read; worker INSERT được và UPDATE bị chặn; RLS bật, không policy client; index inbox được dùng.</t>
        </is>
      </c>
      <c r="G70" s="8" t="inlineStr">
        <is>
          <t>Đã chạy tự động: các kiểm tra response và DB nêu ở Expected Result đều pass.</t>
        </is>
      </c>
      <c r="H70" s="7" t="inlineStr">
        <is>
          <t>Pass</t>
        </is>
      </c>
      <c r="I70" s="8" t="inlineStr">
        <is>
          <t>AC3, AC5 · đoán lỗi, chuyển trạng thái và bảo mật · test_snapshot_roles_rls_and_indexes__AC3_AC5[api_role] · evidence/test-task-integration-final.log</t>
        </is>
      </c>
    </row>
    <row r="71" ht="140" customHeight="1">
      <c r="A71" s="7" t="inlineStr">
        <is>
          <t>TC-FALERT-63</t>
        </is>
      </c>
      <c r="B71" s="7" t="inlineStr">
        <is>
          <t>Giữ RLS, quyền tối thiểu và index cho inbox [worker_role]</t>
        </is>
      </c>
      <c r="C71" s="8" t="inlineStr">
        <is>
          <t>Supabase local đã reset, API dùng api_role; dữ liệu test synthetic độc lập. Không dùng DB deploy.</t>
        </is>
      </c>
      <c r="D71"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1" s="8" t="inlineStr">
        <is>
          <t>worker_role</t>
        </is>
      </c>
      <c r="F71" s="8" t="inlineStr">
        <is>
          <t>Client roles không đọc; API chỉ đổi is_read; worker INSERT được và UPDATE bị chặn; RLS bật, không policy client; index inbox được dùng.</t>
        </is>
      </c>
      <c r="G71" s="8" t="inlineStr">
        <is>
          <t>Đã chạy tự động: các kiểm tra response và DB nêu ở Expected Result đều pass.</t>
        </is>
      </c>
      <c r="H71" s="7" t="inlineStr">
        <is>
          <t>Pass</t>
        </is>
      </c>
      <c r="I71" s="8" t="inlineStr">
        <is>
          <t>AC3, AC5 · đoán lỗi, chuyển trạng thái và bảo mật · test_snapshot_roles_rls_and_indexes__AC3_AC5[worker_role] · evidence/test-task-integration-final.log</t>
        </is>
      </c>
    </row>
    <row r="72" ht="107" customHeight="1">
      <c r="A72" s="7" t="inlineStr">
        <is>
          <t>TC-FALERT-64</t>
        </is>
      </c>
      <c r="B72" s="7" t="inlineStr">
        <is>
          <t>Nhận và mở FCM ở foreground</t>
        </is>
      </c>
      <c r="C72" s="8" t="inlineStr">
        <is>
          <t>Cần APK/thiết bị Android hoặc môi trường iOS và dispatcher FCM thật; chưa có bằng chứng thao tác thiết bị trong phiên Windows này.</t>
        </is>
      </c>
      <c r="D72" s="8" t="inlineStr">
        <is>
          <t>1. Đăng nhập F trên Android có Google Play services và bật quyền notification.
2. Gây missed-dose thật cho P liên kết; giữ app foreground; nhận push và chạm mở.
3. So patient/notification_id với API và kiểm không mở nhầm patient.</t>
        </is>
      </c>
      <c r="E72" s="8" t="inlineStr">
        <is>
          <t>Foreground; payload notification_id hợp lệ.</t>
        </is>
      </c>
      <c r="F72" s="8" t="inlineStr">
        <is>
          <t>Token được đăng ký; local notification mở đúng cảnh báo sau GET detail.</t>
        </is>
      </c>
      <c r="G72" s="8" t="inlineStr"/>
      <c r="H72" s="7" t="inlineStr">
        <is>
          <t>Pending</t>
        </is>
      </c>
      <c r="I72" s="8" t="inlineStr">
        <is>
          <t>AC1, AC2 · manual · M1–M4 · chưa chạy thiết bị</t>
        </is>
      </c>
    </row>
    <row r="73" ht="90.5" customHeight="1">
      <c r="A73" s="7" t="inlineStr">
        <is>
          <t>TC-FALERT-65</t>
        </is>
      </c>
      <c r="B73" s="7" t="inlineStr">
        <is>
          <t>Nhận và mở FCM ở background</t>
        </is>
      </c>
      <c r="C73" s="8" t="inlineStr">
        <is>
          <t>Cần APK/thiết bị Android hoặc môi trường iOS và dispatcher FCM thật; chưa có bằng chứng thao tác thiết bị trong phiên Windows này.</t>
        </is>
      </c>
      <c r="D73" s="8" t="inlineStr">
        <is>
          <t>1. Đưa app xuống nền bình thường.
2. Gây cảnh báo thật cho P và chạm notification hệ điều hành.
3. So patient/detail với API.</t>
        </is>
      </c>
      <c r="E73" s="8" t="inlineStr">
        <is>
          <t>Background; thiết bị Android thật.</t>
        </is>
      </c>
      <c r="F73" s="8" t="inlineStr">
        <is>
          <t>Mở đúng cảnh báo và patient; quyền được kiểm lại.</t>
        </is>
      </c>
      <c r="G73" s="8" t="inlineStr"/>
      <c r="H73" s="7" t="inlineStr">
        <is>
          <t>Pending</t>
        </is>
      </c>
      <c r="I73" s="8" t="inlineStr">
        <is>
          <t>AC2 · manual · M1–M4 · chưa chạy thiết bị</t>
        </is>
      </c>
    </row>
    <row r="74" ht="107" customHeight="1">
      <c r="A74" s="7" t="inlineStr">
        <is>
          <t>TC-FALERT-66</t>
        </is>
      </c>
      <c r="B74" s="7" t="inlineStr">
        <is>
          <t>Mở FCM từ terminated thông thường</t>
        </is>
      </c>
      <c r="C74" s="8" t="inlineStr">
        <is>
          <t>Cần APK/thiết bị Android hoặc môi trường iOS và dispatcher FCM thật; chưa có bằng chứng thao tác thiết bị trong phiên Windows này.</t>
        </is>
      </c>
      <c r="D74" s="8" t="inlineStr">
        <is>
          <t>1. Đóng app theo cách thông thường, không force-stop.
2. Gửi cảnh báo thật; chạm notification khởi động app.
3. Kiểm initial message chỉ điều hướng một lần tới đúng detail.</t>
        </is>
      </c>
      <c r="E74" s="8" t="inlineStr">
        <is>
          <t>Terminated; không force-stop.</t>
        </is>
      </c>
      <c r="F74" s="8" t="inlineStr">
        <is>
          <t>Cold start lấy đúng notification bằng session hiện hành.</t>
        </is>
      </c>
      <c r="G74" s="8" t="inlineStr"/>
      <c r="H74" s="7" t="inlineStr">
        <is>
          <t>Pending</t>
        </is>
      </c>
      <c r="I74" s="8" t="inlineStr">
        <is>
          <t>AC2 · manual · M1–M4 · chưa chạy thiết bị</t>
        </is>
      </c>
    </row>
    <row r="75" ht="90.5" customHeight="1">
      <c r="A75" s="7" t="inlineStr">
        <is>
          <t>TC-FALERT-67</t>
        </is>
      </c>
      <c r="B75" s="7" t="inlineStr">
        <is>
          <t>Từ chối payload sai và vẫn dùng inbox khi tắt quyền notification</t>
        </is>
      </c>
      <c r="C75" s="8" t="inlineStr">
        <is>
          <t>Cần APK/thiết bị Android hoặc môi trường iOS và dispatcher FCM thật; chưa có bằng chứng thao tác thiết bị trong phiên Windows này.</t>
        </is>
      </c>
      <c r="D75" s="8" t="inlineStr">
        <is>
          <t>1. Gửi payload thiếu ID, ID=0, không phải số và ID vượt int64.
2. Tắt quyền notification Android rồi mở hộp thư và đánh dấu đã đọc.</t>
        </is>
      </c>
      <c r="E75" s="8" t="inlineStr">
        <is>
          <t>ID=(blank),0,abc,9223372036854775808; permission denied.</t>
        </is>
      </c>
      <c r="F75" s="8" t="inlineStr">
        <is>
          <t>Payload sai không điều hướng; inbox vẫn GET/PATCH và badge theo server.</t>
        </is>
      </c>
      <c r="G75" s="8" t="inlineStr"/>
      <c r="H75" s="7" t="inlineStr">
        <is>
          <t>Pending</t>
        </is>
      </c>
      <c r="I75" s="8" t="inlineStr">
        <is>
          <t>AC2, AC3 · manual · M1–M4 · chưa chạy thiết bị</t>
        </is>
      </c>
    </row>
    <row r="76" ht="107" customHeight="1">
      <c r="A76" s="7" t="inlineStr">
        <is>
          <t>TC-FALERT-68</t>
        </is>
      </c>
      <c r="B76" s="7" t="inlineStr">
        <is>
          <t>Kiểm preview remote background và màn hình khóa</t>
        </is>
      </c>
      <c r="C76" s="8" t="inlineStr">
        <is>
          <t>Cần APK/thiết bị Android hoặc môi trường iOS và dispatcher FCM thật; chưa có bằng chứng thao tác thiết bị trong phiên Windows này.</t>
        </is>
      </c>
      <c r="D76" s="8" t="inlineStr">
        <is>
          <t>1. Bật preview trên thiết bị Android rồi nhận remote push khi app ở nền.
2. Đổi cài đặt ẩn nội dung trên màn hình khóa và lặp lại.
3. Ghi phiên bản OS, cài đặt và nội dung nhìn thấy.</t>
        </is>
      </c>
      <c r="E76" s="8" t="inlineStr">
        <is>
          <t>Preview show/hide; remote background.</t>
        </is>
      </c>
      <c r="F76" s="8" t="inlineStr">
        <is>
          <t>Nội dung theo cài đặt OS; không có tên thuốc/giờ/chi tiết liều.</t>
        </is>
      </c>
      <c r="G76" s="8" t="inlineStr"/>
      <c r="H76" s="7" t="inlineStr">
        <is>
          <t>Pending</t>
        </is>
      </c>
      <c r="I76" s="8" t="inlineStr">
        <is>
          <t>AC6 · manual · M1–M4 · chưa chạy thiết bị</t>
        </is>
      </c>
    </row>
    <row r="77" ht="90.5" customHeight="1">
      <c r="A77" s="7" t="inlineStr">
        <is>
          <t>TC-FALERT-69</t>
        </is>
      </c>
      <c r="B77" s="7" t="inlineStr">
        <is>
          <t>Kiểm preview local foreground và quiet hours</t>
        </is>
      </c>
      <c r="C77" s="8" t="inlineStr">
        <is>
          <t>Cần APK/thiết bị Android hoặc môi trường iOS và dispatcher FCM thật; chưa có bằng chứng thao tác thiết bị trong phiên Windows này.</t>
        </is>
      </c>
      <c r="D77" s="8" t="inlineStr">
        <is>
          <t>1. Lặp thao tác preview bật/ẩn với push ở foreground tạo local notification.
2. Kiểm family channel không full-screen và không phá quiet hours/reminder.</t>
        </is>
      </c>
      <c r="E77" s="8" t="inlineStr">
        <is>
          <t>Local foreground; preview show/hide; quiet hours bật.</t>
        </is>
      </c>
      <c r="F77" s="8" t="inlineStr">
        <is>
          <t>Nội dung khóa chung khi ẩn; không thuốc/giờ, không full-screen, giữ reminder.</t>
        </is>
      </c>
      <c r="G77" s="8" t="inlineStr"/>
      <c r="H77" s="7" t="inlineStr">
        <is>
          <t>Pending</t>
        </is>
      </c>
      <c r="I77" s="8" t="inlineStr">
        <is>
          <t>AC6 · manual · M1–M4 · chưa chạy thiết bị</t>
        </is>
      </c>
    </row>
    <row r="78" ht="107" customHeight="1">
      <c r="A78" s="7" t="inlineStr">
        <is>
          <t>TC-FALERT-70</t>
        </is>
      </c>
      <c r="B78" s="7" t="inlineStr">
        <is>
          <t>Đăng xuất và đổi tài khoản khi PUT đang bay</t>
        </is>
      </c>
      <c r="C78" s="8" t="inlineStr">
        <is>
          <t>Cần APK/thiết bị Android hoặc môi trường iOS và dispatcher FCM thật; chưa có bằng chứng thao tác thiết bị trong phiên Windows này.</t>
        </is>
      </c>
      <c r="D78" s="8" t="inlineStr">
        <is>
          <t>1. A đăng nhập trên Android thật; trì hoãn PUT/refresh ở proxy local.
2. Bấm logout/đổi sang B rồi thả request theo cả thứ tự.
3. Kiểm server chọn token và gửi missed-dose mới cho A.</t>
        </is>
      </c>
      <c r="E78" s="8" t="inlineStr">
        <is>
          <t>A→B; delayed PUT/refresh/DELETE; dispatcher thật.</t>
        </is>
      </c>
      <c r="F78" s="8" t="inlineStr">
        <is>
          <t>Cleanup hoàn tất hoặc token cũ vô hiệu trước khi kết thúc session; không nhận cảnh báo mới của A; không hiện health A khi dùng B.</t>
        </is>
      </c>
      <c r="G78" s="8" t="inlineStr"/>
      <c r="H78" s="7" t="inlineStr">
        <is>
          <t>Pending</t>
        </is>
      </c>
      <c r="I78" s="8" t="inlineStr">
        <is>
          <t>AC8 · manual · M1–M4 · chưa chạy thiết bị</t>
        </is>
      </c>
    </row>
    <row r="79" ht="90.5" customHeight="1">
      <c r="A79" s="7" t="inlineStr">
        <is>
          <t>TC-FALERT-71</t>
        </is>
      </c>
      <c r="B79" s="7" t="inlineStr">
        <is>
          <t>Khôi phục cleanup sau offline, hết hạn và kill</t>
        </is>
      </c>
      <c r="C79" s="8" t="inlineStr">
        <is>
          <t>Cần APK/thiết bị Android hoặc môi trường iOS và dispatcher FCM thật; chưa có bằng chứng thao tác thiết bị trong phiên Windows này.</t>
        </is>
      </c>
      <c r="D79" s="8" t="inlineStr">
        <is>
          <t>1. A đăng nhập; tắt mạng khi cleanup hoặc để session hết hạn.
2. Kill app giữa cleanup, khởi động lại rồi bật mạng và đăng nhập B.
3. Gửi cảnh báo cho A và thử stale push tap.</t>
        </is>
      </c>
      <c r="E79" s="8" t="inlineStr">
        <is>
          <t>Offline; expired bearer; kill/restart; upstream dispatch recheck.</t>
        </is>
      </c>
      <c r="F79" s="8" t="inlineStr">
        <is>
          <t>Retry/rotation không chuyển token cho sai user; stale tap/response không hiện A. Push đã giao FCM ghi riêng.</t>
        </is>
      </c>
      <c r="G79" s="8" t="inlineStr"/>
      <c r="H79" s="7" t="inlineStr">
        <is>
          <t>Pending</t>
        </is>
      </c>
      <c r="I79" s="8" t="inlineStr">
        <is>
          <t>AC8 · manual · M1–M4 · chưa chạy thiết bị</t>
        </is>
      </c>
    </row>
    <row r="80" ht="90.5" customHeight="1">
      <c r="A80" s="7" t="inlineStr">
        <is>
          <t>TC-FALERT-72</t>
        </is>
      </c>
      <c r="B80" s="7" t="inlineStr">
        <is>
          <t>Kiểm hộp thư iOS trên thiết bị hoặc simulator</t>
        </is>
      </c>
      <c r="C80" s="8" t="inlineStr">
        <is>
          <t>Cần APK/thiết bị Android hoặc môi trường iOS và dispatcher FCM thật; chưa có bằng chứng thao tác thiết bị trong phiên Windows này.</t>
        </is>
      </c>
      <c r="D80" s="8" t="inlineStr">
        <is>
          <t>1. Mở app iOS và đăng nhập F có notification.
2. Kiểm dòng “Thông báo đẩy chưa được hỗ trợ”, patient, thuốc và giờ VN.
3. Đánh dấu đọc, kiểm badge; background/resume rồi tải lại.</t>
        </is>
      </c>
      <c r="E80" s="8" t="inlineStr">
        <is>
          <t>iOS simulator/device; giờ UTC+7; không APNs.</t>
        </is>
      </c>
      <c r="F80" s="8" t="inlineStr">
        <is>
          <t>Inbox GET/PATCH hoạt động; note đúng câu; badge đúng; không gọi đăng ký token Android.</t>
        </is>
      </c>
      <c r="G80" s="8" t="inlineStr"/>
      <c r="H80" s="7" t="inlineStr">
        <is>
          <t>Pending</t>
        </is>
      </c>
      <c r="I80" s="8" t="inlineStr">
        <is>
          <t>AC3, AC4, AC7 · manual · M1–M4 · chưa chạy thiết bị</t>
        </is>
      </c>
    </row>
    <row r="81" ht="74" customHeight="1">
      <c r="A81" s="7" t="inlineStr">
        <is>
          <t>TC-FALERT-73</t>
        </is>
      </c>
      <c r="B81" s="7" t="inlineStr">
        <is>
          <t>Hiển thị note iOS, thuốc và ngày VN trong widget</t>
        </is>
      </c>
      <c r="C81" s="8" t="inlineStr">
        <is>
          <t>Môi trường Flutter test với fake repository có dữ liệu đã định nghĩa.</t>
        </is>
      </c>
      <c r="D81" s="8" t="inlineStr">
        <is>
          <t>1. Chạy flutter test test/features/family/family_alert_screens_test.dart.
2. Quan sát assertion iOS inbox has support note, patient, medicine, VN day and read status.</t>
        </is>
      </c>
      <c r="E81" s="8" t="inlineStr">
        <is>
          <t>TargetPlatform.iOS; timestamp fixture của widget.</t>
        </is>
      </c>
      <c r="F81" s="8" t="inlineStr">
        <is>
          <t>Có note iOS, patient, medicine, ngày VN và read status trong widget.</t>
        </is>
      </c>
      <c r="G81" s="8" t="inlineStr">
        <is>
          <t>Widget được chạy trong full Flutter: 563 tests pass, gồm assertion nêu trên.</t>
        </is>
      </c>
      <c r="H81" s="7" t="inlineStr">
        <is>
          <t>Pass</t>
        </is>
      </c>
      <c r="I81" s="8" t="inlineStr">
        <is>
          <t>AC3, AC7 · widget · evidence/test-mobile.log; không phải iOS runtime</t>
        </is>
      </c>
    </row>
    <row r="82"/>
    <row r="83"/>
    <row r="84">
      <c r="G84" s="12" t="inlineStr">
        <is>
          <t>Pass</t>
        </is>
      </c>
      <c r="H84" s="13">
        <f>COUNTIF(H9:H81,"Pass")</f>
        <v/>
      </c>
    </row>
    <row r="85">
      <c r="G85" s="12" t="inlineStr">
        <is>
          <t>Fail</t>
        </is>
      </c>
      <c r="H85" s="13">
        <f>COUNTIF(H9:H81,"Fail")</f>
        <v/>
      </c>
    </row>
    <row r="86">
      <c r="G86" s="12" t="inlineStr">
        <is>
          <t>Pending</t>
        </is>
      </c>
      <c r="H86" s="13">
        <f>COUNTIF(H9:H81,"Pending")</f>
        <v/>
      </c>
    </row>
    <row r="87">
      <c r="G87" s="12" t="inlineStr">
        <is>
          <t>Total</t>
        </is>
      </c>
      <c r="H87" s="13">
        <f>SUM(H84:H86)</f>
        <v/>
      </c>
    </row>
  </sheetData>
  <autoFilter ref="A8:I81"/>
  <conditionalFormatting sqref="H9:H81">
    <cfRule type="cellIs" priority="1" operator="equal" dxfId="0">
      <formula>"Fail"</formula>
    </cfRule>
  </conditionalFormatting>
  <dataValidations count="1">
    <dataValidation sqref="H9:H81" showDropDown="0" showInputMessage="0" showErrorMessage="0" allowBlank="0" type="list">
      <formula1>"Pass,Fail,Pending"</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FCM token Android (FCMTOKEN)</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Chủ sở hữu token</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TC-FCMTOKEN-01</t>
        </is>
      </c>
      <c r="B9" s="7" t="inlineStr">
        <is>
          <t>Đăng ký lặp, refresh và gỡ token trước logout</t>
        </is>
      </c>
      <c r="C9" s="8" t="inlineStr">
        <is>
          <t>Supabase local đã reset, API dùng api_role; dữ liệu test synthetic độc lập. Không dùng DB deploy.</t>
        </is>
      </c>
      <c r="D9" s="8" t="inlineStr">
        <is>
          <t>1. PUT /me/device-tokens token T cho A hai lần; B PUT T.
2. A PUT token N với previous_fcm_token=T; kiểm android_tokens(A).
3. B DELETE N, rồi A DELETE N hai lần; kiểm DB và android_tokens(A).</t>
        </is>
      </c>
      <c r="E9" s="8" t="inlineStr">
        <is>
          <t>P/F là UUID synthetic mới mỗi lần; ID notification lấy từ DB fixture; giờ 2026-10-20T01:00:00Z.</t>
        </is>
      </c>
      <c r="F9" s="8" t="inlineStr">
        <is>
          <t>PUT lặp 204/một dòng; B 409; refresh chỉ còn N; DELETE khác chủ không xóa; DELETE của A 204 không body; dispatch mới không chọn token đã gỡ.</t>
        </is>
      </c>
      <c r="G9" s="8" t="inlineStr">
        <is>
          <t>Đã chạy tự động: các kiểm tra response và DB nêu ở Expected Result đều pass.</t>
        </is>
      </c>
      <c r="H9" s="7" t="inlineStr">
        <is>
          <t>Pass</t>
        </is>
      </c>
      <c r="I9" s="8" t="inlineStr">
        <is>
          <t>AC1, AC8 · EP (1) · chuyển trạng thái/ownership · test_replay_refresh_logout_and_dispatch_selection__AC1_AC8 · evidence/test-task-integration-final.log</t>
        </is>
      </c>
      <c r="K9" s="9" t="inlineStr">
        <is>
          <t>fcm_token</t>
        </is>
      </c>
      <c r="L9" s="10" t="inlineStr">
        <is>
          <t>Chuỗi không rỗng, không khoảng trắng</t>
        </is>
      </c>
      <c r="M9" s="10" t="inlineStr">
        <is>
          <t>1</t>
        </is>
      </c>
      <c r="N9" s="10" t="inlineStr">
        <is>
          <t>(blank)
a b</t>
        </is>
      </c>
      <c r="O9" s="10" t="inlineStr">
        <is>
          <t>4
5</t>
        </is>
      </c>
      <c r="Q9" s="10" t="inlineStr">
        <is>
          <t>Token đã tồn tại?</t>
        </is>
      </c>
      <c r="R9" s="11" t="inlineStr">
        <is>
          <t>No</t>
        </is>
      </c>
      <c r="S9" s="11" t="inlineStr">
        <is>
          <t>Yes</t>
        </is>
      </c>
      <c r="T9" s="11" t="inlineStr">
        <is>
          <t>Yes</t>
        </is>
      </c>
    </row>
    <row r="10" ht="107" customHeight="1">
      <c r="A10" s="7" t="inlineStr">
        <is>
          <t>TC-FCMTOKEN-02</t>
        </is>
      </c>
      <c r="B10" s="7" t="inlineStr">
        <is>
          <t>Giữ token cũ khi refresh xung đột và bảo vệ token người khác</t>
        </is>
      </c>
      <c r="C10" s="8" t="inlineStr">
        <is>
          <t>Supabase local đã reset, API dùng api_role; dữ liệu test synthetic độc lập. Không dùng DB deploy.</t>
        </is>
      </c>
      <c r="D10" s="8" t="inlineStr">
        <is>
          <t>1. A đăng ký O; B đăng ký T.
2. A PUT T với previous=O: kiểm 409.
3. A PUT N với previous=T; kiểm các dòng device_tokens.</t>
        </is>
      </c>
      <c r="E10" s="8" t="inlineStr">
        <is>
          <t>P/F là UUID synthetic mới mỗi lần; ID notification lấy từ DB fixture; giờ 2026-10-20T01:00:00Z.</t>
        </is>
      </c>
      <c r="F10" s="8" t="inlineStr">
        <is>
          <t>Không chuyển chủ T, O còn sau lỗi; request mới không xóa T của B; cuối cùng O/N thuộc A và T thuộc B.</t>
        </is>
      </c>
      <c r="G10" s="8" t="inlineStr">
        <is>
          <t>Đã chạy tự động: các kiểm tra response và DB nêu ở Expected Result đều pass.</t>
        </is>
      </c>
      <c r="H10" s="7" t="inlineStr">
        <is>
          <t>Pass</t>
        </is>
      </c>
      <c r="I10" s="8" t="inlineStr">
        <is>
          <t>AC1 · EP (1) · chuyển trạng thái/ownership · test_conflicting_refresh_rolls_back_and_foreign_previous_is_preserved__AC1 · evidence/test-task-integration-final.log</t>
        </is>
      </c>
      <c r="K10" s="9" t="inlineStr">
        <is>
          <t>platform</t>
        </is>
      </c>
      <c r="L10" s="10" t="inlineStr">
        <is>
          <t>android</t>
        </is>
      </c>
      <c r="M10" s="10" t="inlineStr">
        <is>
          <t>2</t>
        </is>
      </c>
      <c r="N10" s="10" t="inlineStr">
        <is>
          <t>ios</t>
        </is>
      </c>
      <c r="O10" s="10" t="inlineStr">
        <is>
          <t>6</t>
        </is>
      </c>
      <c r="Q10" s="10" t="inlineStr">
        <is>
          <t>Cùng user?</t>
        </is>
      </c>
      <c r="R10" s="11" t="inlineStr">
        <is>
          <t>-</t>
        </is>
      </c>
      <c r="S10" s="11" t="inlineStr">
        <is>
          <t>Yes</t>
        </is>
      </c>
      <c r="T10" s="11" t="inlineStr">
        <is>
          <t>No</t>
        </is>
      </c>
    </row>
    <row r="11" ht="90.5" customHeight="1">
      <c r="A11" s="7" t="inlineStr">
        <is>
          <t>TC-FCMTOKEN-03</t>
        </is>
      </c>
      <c r="B11" s="7" t="inlineStr">
        <is>
          <t>Từ chối JSON đăng ký token sai contract [body0]</t>
        </is>
      </c>
      <c r="C11" s="8" t="inlineStr">
        <is>
          <t>Supabase local đã reset, API dùng api_role; dữ liệu test synthetic độc lập. Không dùng DB deploy.</t>
        </is>
      </c>
      <c r="D11" s="8" t="inlineStr">
        <is>
          <t>1. Đăng nhập user thường bằng app session.
2. PUT /me/device-tokens với JSON theo Test Data.
3. Kiểm status 422.</t>
        </is>
      </c>
      <c r="E11" s="8" t="inlineStr">
        <is>
          <t>fcm_token=(blank), platform=android</t>
        </is>
      </c>
      <c r="F11" s="8" t="inlineStr">
        <is>
          <t>422 validation; không thêm token hoặc đổi chủ.</t>
        </is>
      </c>
      <c r="G11" s="8" t="inlineStr">
        <is>
          <t>Đã chạy tự động: các kiểm tra response và DB nêu ở Expected Result đều pass.</t>
        </is>
      </c>
      <c r="H11" s="7" t="inlineStr">
        <is>
          <t>Pass</t>
        </is>
      </c>
      <c r="I11" s="8" t="inlineStr">
        <is>
          <t>AC1 · EP (1) · chuyển trạng thái/ownership · test_invalid_registration_is_rejected__AC1[body0] · evidence/test-task-integration-final.log</t>
        </is>
      </c>
      <c r="K11" s="9" t="inlineStr">
        <is>
          <t>previous_fcm_token</t>
        </is>
      </c>
      <c r="L11" s="10" t="inlineStr">
        <is>
          <t>Bỏ qua hoặc chuỗi không rỗng</t>
        </is>
      </c>
      <c r="M11" s="10" t="inlineStr">
        <is>
          <t>3</t>
        </is>
      </c>
      <c r="N11" s="10" t="inlineStr">
        <is>
          <t>Một dấu cách</t>
        </is>
      </c>
      <c r="O11" s="10" t="inlineStr">
        <is>
          <t>7</t>
        </is>
      </c>
      <c r="Q11" s="6" t="inlineStr">
        <is>
          <t>Action</t>
        </is>
      </c>
      <c r="R11" s="5" t="inlineStr">
        <is>
          <t>R1</t>
        </is>
      </c>
      <c r="S11" s="5" t="inlineStr">
        <is>
          <t>R2</t>
        </is>
      </c>
      <c r="T11" s="5" t="inlineStr">
        <is>
          <t>R3</t>
        </is>
      </c>
    </row>
    <row r="12" ht="90.5" customHeight="1">
      <c r="A12" s="7" t="inlineStr">
        <is>
          <t>TC-FCMTOKEN-04</t>
        </is>
      </c>
      <c r="B12" s="7" t="inlineStr">
        <is>
          <t>Từ chối JSON đăng ký token sai contract [body1]</t>
        </is>
      </c>
      <c r="C12" s="8" t="inlineStr">
        <is>
          <t>Supabase local đã reset, API dùng api_role; dữ liệu test synthetic độc lập. Không dùng DB deploy.</t>
        </is>
      </c>
      <c r="D12" s="8" t="inlineStr">
        <is>
          <t>1. Đăng nhập user thường bằng app session.
2. PUT /me/device-tokens với JSON theo Test Data.
3. Kiểm status 422.</t>
        </is>
      </c>
      <c r="E12" s="8" t="inlineStr">
        <is>
          <t>fcm_token="a b", platform=android</t>
        </is>
      </c>
      <c r="F12" s="8" t="inlineStr">
        <is>
          <t>422 validation; không thêm token hoặc đổi chủ.</t>
        </is>
      </c>
      <c r="G12" s="8" t="inlineStr">
        <is>
          <t>Đã chạy tự động: các kiểm tra response và DB nêu ở Expected Result đều pass.</t>
        </is>
      </c>
      <c r="H12" s="7" t="inlineStr">
        <is>
          <t>Pass</t>
        </is>
      </c>
      <c r="I12" s="8" t="inlineStr">
        <is>
          <t>AC1 · EP (1) · chuyển trạng thái/ownership · test_invalid_registration_is_rejected__AC1[body1] · evidence/test-task-integration-final.log</t>
        </is>
      </c>
      <c r="Q12" s="10" t="inlineStr">
        <is>
          <t>PUT 204 một dòng</t>
        </is>
      </c>
      <c r="R12" s="11" t="inlineStr">
        <is>
          <t>X</t>
        </is>
      </c>
      <c r="S12" s="11" t="inlineStr">
        <is>
          <t>X</t>
        </is>
      </c>
      <c r="T12" s="11" t="inlineStr"/>
    </row>
    <row r="13" ht="90.5" customHeight="1">
      <c r="A13" s="7" t="inlineStr">
        <is>
          <t>TC-FCMTOKEN-05</t>
        </is>
      </c>
      <c r="B13" s="7" t="inlineStr">
        <is>
          <t>Từ chối JSON đăng ký token sai contract [body2]</t>
        </is>
      </c>
      <c r="C13" s="8" t="inlineStr">
        <is>
          <t>Supabase local đã reset, API dùng api_role; dữ liệu test synthetic độc lập. Không dùng DB deploy.</t>
        </is>
      </c>
      <c r="D13" s="8" t="inlineStr">
        <is>
          <t>1. Đăng nhập user thường bằng app session.
2. PUT /me/device-tokens với JSON theo Test Data.
3. Kiểm status 422.</t>
        </is>
      </c>
      <c r="E13" s="8" t="inlineStr">
        <is>
          <t>fcm_token="a", platform=ios</t>
        </is>
      </c>
      <c r="F13" s="8" t="inlineStr">
        <is>
          <t>422 validation; không thêm token hoặc đổi chủ.</t>
        </is>
      </c>
      <c r="G13" s="8" t="inlineStr">
        <is>
          <t>Đã chạy tự động: các kiểm tra response và DB nêu ở Expected Result đều pass.</t>
        </is>
      </c>
      <c r="H13" s="7" t="inlineStr">
        <is>
          <t>Pass</t>
        </is>
      </c>
      <c r="I13" s="8" t="inlineStr">
        <is>
          <t>AC1 · EP (1) · chuyển trạng thái/ownership · test_invalid_registration_is_rejected__AC1[body2] · evidence/test-task-integration-final.log</t>
        </is>
      </c>
      <c r="Q13" s="10" t="inlineStr">
        <is>
          <t>PUT 409 không chuyển chủ</t>
        </is>
      </c>
      <c r="R13" s="11" t="inlineStr"/>
      <c r="S13" s="11" t="inlineStr"/>
      <c r="T13" s="11" t="inlineStr">
        <is>
          <t>X</t>
        </is>
      </c>
    </row>
    <row r="14" ht="90.5" customHeight="1">
      <c r="A14" s="7" t="inlineStr">
        <is>
          <t>TC-FCMTOKEN-06</t>
        </is>
      </c>
      <c r="B14" s="7" t="inlineStr">
        <is>
          <t>Từ chối JSON đăng ký token sai contract [body3]</t>
        </is>
      </c>
      <c r="C14" s="8" t="inlineStr">
        <is>
          <t>Supabase local đã reset, API dùng api_role; dữ liệu test synthetic độc lập. Không dùng DB deploy.</t>
        </is>
      </c>
      <c r="D14" s="8" t="inlineStr">
        <is>
          <t>1. Đăng nhập user thường bằng app session.
2. PUT /me/device-tokens với JSON theo Test Data.
3. Kiểm status 422.</t>
        </is>
      </c>
      <c r="E14" s="8" t="inlineStr">
        <is>
          <t>fcm_token="a", platform=android, previous_fcm_token=" "</t>
        </is>
      </c>
      <c r="F14" s="8" t="inlineStr">
        <is>
          <t>422 validation; không thêm token hoặc đổi chủ.</t>
        </is>
      </c>
      <c r="G14" s="8" t="inlineStr">
        <is>
          <t>Đã chạy tự động: các kiểm tra response và DB nêu ở Expected Result đều pass.</t>
        </is>
      </c>
      <c r="H14" s="7" t="inlineStr">
        <is>
          <t>Pass</t>
        </is>
      </c>
      <c r="I14" s="8" t="inlineStr">
        <is>
          <t>AC1 · EP (1) · chuyển trạng thái/ownership · test_invalid_registration_is_rejected__AC1[body3] · evidence/test-task-integration-final.log</t>
        </is>
      </c>
    </row>
    <row r="15" ht="90.5" customHeight="1">
      <c r="A15" s="7" t="inlineStr">
        <is>
          <t>TC-FCMTOKEN-07</t>
        </is>
      </c>
      <c r="B15" s="7" t="inlineStr">
        <is>
          <t>Từ chối JSON đăng ký token sai contract [body4]</t>
        </is>
      </c>
      <c r="C15" s="8" t="inlineStr">
        <is>
          <t>Supabase local đã reset, API dùng api_role; dữ liệu test synthetic độc lập. Không dùng DB deploy.</t>
        </is>
      </c>
      <c r="D15" s="8" t="inlineStr">
        <is>
          <t>1. Đăng nhập user thường bằng app session.
2. PUT /me/device-tokens với JSON theo Test Data.
3. Kiểm status 422.</t>
        </is>
      </c>
      <c r="E15" s="8" t="inlineStr">
        <is>
          <t>fcm_token="a", platform=android, user_id="injected"</t>
        </is>
      </c>
      <c r="F15" s="8" t="inlineStr">
        <is>
          <t>422 validation; không thêm token hoặc đổi chủ.</t>
        </is>
      </c>
      <c r="G15" s="8" t="inlineStr">
        <is>
          <t>Đã chạy tự động: các kiểm tra response và DB nêu ở Expected Result đều pass.</t>
        </is>
      </c>
      <c r="H15" s="7" t="inlineStr">
        <is>
          <t>Pass</t>
        </is>
      </c>
      <c r="I15" s="8" t="inlineStr">
        <is>
          <t>AC1 · EP (1) · chuyển trạng thái/ownership · test_invalid_registration_is_rejected__AC1[body4] · evidence/test-task-integration-final.log</t>
        </is>
      </c>
    </row>
    <row r="16" ht="90.5" customHeight="1">
      <c r="A16" s="7" t="inlineStr">
        <is>
          <t>TC-FCMTOKEN-08</t>
        </is>
      </c>
      <c r="B16" s="7" t="inlineStr">
        <is>
          <t>Đăng ký token tại minLength=1</t>
        </is>
      </c>
      <c r="C16" s="8" t="inlineStr">
        <is>
          <t>Supabase local đã reset, API dùng api_role; dữ liệu test synthetic độc lập. Không dùng DB deploy.</t>
        </is>
      </c>
      <c r="D16" s="8" t="inlineStr">
        <is>
          <t>1. Đăng nhập user mới; PUT /me/device-tokens {fcm_token:"~",platform:"android"}.
2. DELETE /me/device-tokens {fcm_token:"~"} bằng cùng session.</t>
        </is>
      </c>
      <c r="E16" s="8" t="inlineStr">
        <is>
          <t>P/F là UUID synthetic mới mỗi lần; ID notification lấy từ DB fixture; giờ 2026-10-20T01:00:00Z.</t>
        </is>
      </c>
      <c r="F16" s="8" t="inlineStr">
        <is>
          <t>PUT/DELETE 204; body rỗng; fixture token được gỡ sau test.</t>
        </is>
      </c>
      <c r="G16" s="8" t="inlineStr">
        <is>
          <t>Đã chạy tự động: các kiểm tra response và DB nêu ở Expected Result đều pass.</t>
        </is>
      </c>
      <c r="H16" s="7" t="inlineStr">
        <is>
          <t>Pass</t>
        </is>
      </c>
      <c r="I16" s="8" t="inlineStr">
        <is>
          <t>AC1 · EP (1) · chuyển trạng thái/ownership · test_one_character_token_boundary__AC1 · evidence/test-task-integration-final.log</t>
        </is>
      </c>
    </row>
    <row r="17" ht="90.5" customHeight="1">
      <c r="A17" s="7" t="inlineStr">
        <is>
          <t>TC-FCMTOKEN-09</t>
        </is>
      </c>
      <c r="B17" s="7" t="inlineStr">
        <is>
          <t>Từ chối đăng ký/gỡ với session thiếu, hết hạn hoặc admin [PUT]</t>
        </is>
      </c>
      <c r="C17" s="8" t="inlineStr">
        <is>
          <t>Supabase local đã reset, API dùng api_role; dữ liệu test synthetic độc lập. Không dùng DB deploy.</t>
        </is>
      </c>
      <c r="D17" s="8" t="inlineStr">
        <is>
          <t>1. Chuẩn bị JSON token synthetic hợp lệ theo method trong Test Data.
2. Gọi không bearer; gọi bearer mobile phát hành lùi 365 ngày; gọi bearer admin_web.</t>
        </is>
      </c>
      <c r="E17" s="8" t="inlineStr">
        <is>
          <t>PUT</t>
        </is>
      </c>
      <c r="F17" s="8" t="inlineStr">
        <is>
          <t>Lần lượt 401, 401, 403; không thay token người dùng.</t>
        </is>
      </c>
      <c r="G17" s="8" t="inlineStr">
        <is>
          <t>Đã chạy tự động: các kiểm tra response và DB nêu ở Expected Result đều pass.</t>
        </is>
      </c>
      <c r="H17" s="7" t="inlineStr">
        <is>
          <t>Pass</t>
        </is>
      </c>
      <c r="I17" s="8" t="inlineStr">
        <is>
          <t>AC1, AC8 · EP (1) · chuyển trạng thái/ownership · test_missing_expired_and_admin_sessions_rejected__AC1_AC8[PUT] · evidence/test-task-integration-final.log</t>
        </is>
      </c>
    </row>
    <row r="18" ht="107" customHeight="1">
      <c r="A18" s="7" t="inlineStr">
        <is>
          <t>TC-FCMTOKEN-10</t>
        </is>
      </c>
      <c r="B18" s="7" t="inlineStr">
        <is>
          <t>Từ chối đăng ký/gỡ với session thiếu, hết hạn hoặc admin [DELETE]</t>
        </is>
      </c>
      <c r="C18" s="8" t="inlineStr">
        <is>
          <t>Supabase local đã reset, API dùng api_role; dữ liệu test synthetic độc lập. Không dùng DB deploy.</t>
        </is>
      </c>
      <c r="D18" s="8" t="inlineStr">
        <is>
          <t>1. Chuẩn bị JSON token synthetic hợp lệ theo method trong Test Data.
2. Gọi không bearer; gọi bearer mobile phát hành lùi 365 ngày; gọi bearer admin_web.</t>
        </is>
      </c>
      <c r="E18" s="8" t="inlineStr">
        <is>
          <t>DELETE</t>
        </is>
      </c>
      <c r="F18" s="8" t="inlineStr">
        <is>
          <t>Lần lượt 401, 401, 403; không thay token người dùng.</t>
        </is>
      </c>
      <c r="G18" s="8" t="inlineStr">
        <is>
          <t>Đã chạy tự động: các kiểm tra response và DB nêu ở Expected Result đều pass.</t>
        </is>
      </c>
      <c r="H18" s="7" t="inlineStr">
        <is>
          <t>Pass</t>
        </is>
      </c>
      <c r="I18" s="8" t="inlineStr">
        <is>
          <t>AC1, AC8 · EP (1) · chuyển trạng thái/ownership · test_missing_expired_and_admin_sessions_rejected__AC1_AC8[DELETE] · evidence/test-task-integration-final.log</t>
        </is>
      </c>
    </row>
    <row r="19" ht="123.5" customHeight="1">
      <c r="A19" s="7" t="inlineStr">
        <is>
          <t>TC-FCMTOKEN-11</t>
        </is>
      </c>
      <c r="B19" s="7" t="inlineStr">
        <is>
          <t>Tranh chấp đăng ký cùng token giữa hai transaction [False]</t>
        </is>
      </c>
      <c r="C19" s="8" t="inlineStr">
        <is>
          <t>Supabase local đã reset, API dùng api_role; dữ liệu test synthetic độc lập. Không dùng DB deploy.</t>
        </is>
      </c>
      <c r="D19" s="8" t="inlineStr">
        <is>
          <t>1. Giữ transaction A đã INSERT token T nhưng chưa commit.
2. Thread B PUT T bằng session cùng/khác user theo Test Data; chờ pg_stat_activity xác nhận chờ Lock.
3. Commit A, lấy response B và SELECT chủ token T.</t>
        </is>
      </c>
      <c r="E19" s="8" t="inlineStr">
        <is>
          <t>False</t>
        </is>
      </c>
      <c r="F19" s="8" t="inlineStr">
        <is>
          <t>Chỉ một dòng thuộc A; B cùng user 204, khác user 409; không deadlock.</t>
        </is>
      </c>
      <c r="G19" s="8" t="inlineStr">
        <is>
          <t>Đã chạy tự động: các kiểm tra response và DB nêu ở Expected Result đều pass.</t>
        </is>
      </c>
      <c r="H19" s="7" t="inlineStr">
        <is>
          <t>Pass</t>
        </is>
      </c>
      <c r="I19" s="8" t="inlineStr">
        <is>
          <t>AC1 · EP (1) · chuyển trạng thái/ownership · test_concurrent_registration_serializes_absent_token__AC1[False] · evidence/test-task-integration-final.log</t>
        </is>
      </c>
    </row>
    <row r="20" ht="123.5" customHeight="1">
      <c r="A20" s="7" t="inlineStr">
        <is>
          <t>TC-FCMTOKEN-12</t>
        </is>
      </c>
      <c r="B20" s="7" t="inlineStr">
        <is>
          <t>Tranh chấp đăng ký cùng token giữa hai transaction [True]</t>
        </is>
      </c>
      <c r="C20" s="8" t="inlineStr">
        <is>
          <t>Supabase local đã reset, API dùng api_role; dữ liệu test synthetic độc lập. Không dùng DB deploy.</t>
        </is>
      </c>
      <c r="D20" s="8" t="inlineStr">
        <is>
          <t>1. Giữ transaction A đã INSERT token T nhưng chưa commit.
2. Thread B PUT T bằng session cùng/khác user theo Test Data; chờ pg_stat_activity xác nhận chờ Lock.
3. Commit A, lấy response B và SELECT chủ token T.</t>
        </is>
      </c>
      <c r="E20" s="8" t="inlineStr">
        <is>
          <t>True</t>
        </is>
      </c>
      <c r="F20" s="8" t="inlineStr">
        <is>
          <t>Chỉ một dòng thuộc A; B cùng user 204, khác user 409; không deadlock.</t>
        </is>
      </c>
      <c r="G20" s="8" t="inlineStr">
        <is>
          <t>Đã chạy tự động: các kiểm tra response và DB nêu ở Expected Result đều pass.</t>
        </is>
      </c>
      <c r="H20" s="7" t="inlineStr">
        <is>
          <t>Pass</t>
        </is>
      </c>
      <c r="I20" s="8" t="inlineStr">
        <is>
          <t>AC1 · EP (1) · chuyển trạng thái/ownership · test_concurrent_registration_serializes_absent_token__AC1[True] · evidence/test-task-integration-final.log</t>
        </is>
      </c>
    </row>
    <row r="21" ht="107" customHeight="1">
      <c r="A21" s="7" t="inlineStr">
        <is>
          <t>TC-FCMTOKEN-13</t>
        </is>
      </c>
      <c r="B21" s="7" t="inlineStr">
        <is>
          <t>Hoàn tất cleanup đang chờ refresh commit</t>
        </is>
      </c>
      <c r="C21" s="8" t="inlineStr">
        <is>
          <t>Supabase local đã reset, API dùng api_role; dữ liệu test synthetic độc lập. Không dùng DB deploy.</t>
        </is>
      </c>
      <c r="D21" s="8" t="inlineStr">
        <is>
          <t>1. Transaction giữ O rồi thay bằng N, chưa commit.
2. Thread HTTP DELETE N của cùng owner; chờ DB xác nhận lock wait.
3. Commit refresh rồi chờ DELETE; SELECT device_tokens theo user.</t>
        </is>
      </c>
      <c r="E21" s="8" t="inlineStr">
        <is>
          <t>P/F là UUID synthetic mới mỗi lần; ID notification lấy từ DB fixture; giờ 2026-10-20T01:00:00Z.</t>
        </is>
      </c>
      <c r="F21" s="8" t="inlineStr">
        <is>
          <t>DELETE 204, không còn O/N sau cleanup; đây chỉ chứng minh thứ tự server, chưa chứng minh FCM thiết bị.</t>
        </is>
      </c>
      <c r="G21" s="8" t="inlineStr">
        <is>
          <t>Đã chạy tự động: các kiểm tra response và DB nêu ở Expected Result đều pass.</t>
        </is>
      </c>
      <c r="H21" s="7" t="inlineStr">
        <is>
          <t>Pass</t>
        </is>
      </c>
      <c r="I21" s="8" t="inlineStr">
        <is>
          <t>AC1, AC8 · EP (1) · chuyển trạng thái/ownership · test_concurrent_refresh_then_cleanup_has_no_token_left__AC1_AC8 · evidence/test-task-integration-final.log</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U3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Kiểm thử xuyên hệ thống gửi yêu cầu liên kết (REDEEMFLOW)</t>
        </is>
      </c>
    </row>
    <row r="3">
      <c r="A3" s="1" t="inlineStr">
        <is>
          <t>Created By</t>
        </is>
      </c>
      <c r="B3" s="2" t="inlineStr">
        <is>
          <t>phucnguyenngoc</t>
        </is>
      </c>
    </row>
    <row r="4">
      <c r="A4" s="1" t="inlineStr">
        <is>
          <t>Creation Date</t>
        </is>
      </c>
      <c r="B4" s="21" t="n">
        <v>46318</v>
      </c>
    </row>
    <row r="5">
      <c r="A5" s="1" t="inlineStr">
        <is>
          <t>Reviewed By</t>
        </is>
      </c>
      <c r="B5" s="2" t="inlineStr"/>
    </row>
    <row r="6">
      <c r="A6" s="1" t="inlineStr">
        <is>
          <t>Reviewed Date</t>
        </is>
      </c>
      <c r="B6" s="2" t="n"/>
    </row>
    <row r="7">
      <c r="K7" s="4" t="inlineStr">
        <is>
          <t>Equivalence Partitioning</t>
        </is>
      </c>
      <c r="Q7" s="4" t="inlineStr">
        <is>
          <t>Quyền đọc schedules sau redeem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74" customHeight="1">
      <c r="A9" s="7" t="inlineStr">
        <is>
          <t>TC-REDEEMFLOW-01</t>
        </is>
      </c>
      <c r="B9" s="7" t="inlineStr">
        <is>
          <t>Nhập mã qua Mobile để tạo yêu cầu pending</t>
        </is>
      </c>
      <c r="C9" s="8" t="inlineStr">
        <is>
          <t>Supabase local và Android LM_G710 qua ADB; patient có family_sharing; family đăng nhập trong gói test riêng.</t>
        </is>
      </c>
      <c r="D9" s="8" t="inlineStr">
        <is>
          <t>1. Chạy run_e2e.py --phase direct_pending.
2. Mở tab Người thân, chọn nhập mã và bấm gửi.
3. Đối chiếu response POST với caregiver_links và schedules.</t>
        </is>
      </c>
      <c r="E9" s="8" t="inlineStr">
        <is>
          <t>code=body.code của GET /family/link-code; client_uuid=UUID v4 do Mobile tạo</t>
        </is>
      </c>
      <c r="F9" s="8" t="inlineStr">
        <is>
          <t>POST 201 {id,status=pending,requested_at}; một link pending, sharing_enabled=false; UI chờ; schedules 403 và denied log.</t>
        </is>
      </c>
      <c r="G9" s="8" t="inlineStr">
        <is>
          <t>PASS direct_pending: UI/API/DB, schedules 403 và denied log; evidence/test-android-direct-id-fix.log.</t>
        </is>
      </c>
      <c r="H9" s="7" t="inlineStr">
        <is>
          <t>Pass</t>
        </is>
      </c>
      <c r="I9" s="8" t="inlineStr">
        <is>
          <t>AC1, AC3 · EP (1) · direct_pending</t>
        </is>
      </c>
      <c r="K9" s="9" t="inlineStr">
        <is>
          <t>code</t>
        </is>
      </c>
      <c r="L9" s="10" t="inlineStr">
        <is>
          <t>Mã 10 ký tự lấy từ GET /family/link-code</t>
        </is>
      </c>
      <c r="M9" s="10" t="inlineStr">
        <is>
          <t>1</t>
        </is>
      </c>
      <c r="N9" s="10" t="inlineStr">
        <is>
          <t>Mã 10 ký tự không tồn tại
Mã dài 9 hoặc 11 ký tự
Mã của chính người gửi</t>
        </is>
      </c>
      <c r="O9" s="10" t="inlineStr">
        <is>
          <t>5
6
7</t>
        </is>
      </c>
      <c r="Q9" s="10" t="inlineStr">
        <is>
          <t>Link active?</t>
        </is>
      </c>
      <c r="R9" s="11" t="inlineStr">
        <is>
          <t>No</t>
        </is>
      </c>
      <c r="S9" s="11" t="inlineStr">
        <is>
          <t>Yes</t>
        </is>
      </c>
      <c r="T9" s="11" t="inlineStr">
        <is>
          <t>Yes</t>
        </is>
      </c>
      <c r="U9" s="11" t="inlineStr">
        <is>
          <t>Yes</t>
        </is>
      </c>
    </row>
    <row r="10" ht="74" customHeight="1">
      <c r="A10" s="7" t="inlineStr">
        <is>
          <t>TC-REDEEMFLOW-02</t>
        </is>
      </c>
      <c r="B10" s="7" t="inlineStr">
        <is>
          <t>Quét QR hợp lệ và chờ xác nhận trước khi gửi</t>
        </is>
      </c>
      <c r="C10" s="8" t="inlineStr">
        <is>
          <t>Patient đã lấy qr_payload từ API; family ở màn quét QR.</t>
        </is>
      </c>
      <c r="D10" s="8" t="inlineStr">
        <is>
          <t>1. Cấp qr_payload cho scanner callback.
2. Kiểm số POST trước khi bấm xác nhận.
3. Bấm xác nhận và kiểm pending.</t>
        </is>
      </c>
      <c r="E10" s="8" t="inlineStr">
        <is>
          <t>qr_payload=body.qr_payload của GET /family/link-code</t>
        </is>
      </c>
      <c r="F10" s="8" t="inlineStr">
        <is>
          <t>Mã được điền; 0 POST trước xác nhận; sau xác nhận một POST 201 và một pending.</t>
        </is>
      </c>
      <c r="G10" s="8" t="inlineStr">
        <is>
          <t>Widget và Android LM_G710: 1 POST trước xác nhận (Expected 0, Actual 1); evidence/test-widget-redeem.log và evidence/test-android-remaining-phases.log.</t>
        </is>
      </c>
      <c r="H10" s="7" t="inlineStr">
        <is>
          <t>Fail</t>
        </is>
      </c>
      <c r="I10" s="8" t="inlineStr">
        <is>
          <t>AC2, AC11 · EP (1) · QR valid · F1</t>
        </is>
      </c>
      <c r="K10" s="9" t="inlineStr">
        <is>
          <t>client_uuid</t>
        </is>
      </c>
      <c r="L10" s="10" t="inlineStr">
        <is>
          <t>UUID v4 mới
UUID v4 đã gửi thành công</t>
        </is>
      </c>
      <c r="M10" s="10" t="inlineStr">
        <is>
          <t>2
3</t>
        </is>
      </c>
      <c r="N10" s="10" t="inlineStr">
        <is>
          <t>Thiếu client_uuid
Chuỗi không phải UUID</t>
        </is>
      </c>
      <c r="O10" s="10" t="inlineStr">
        <is>
          <t>8
9</t>
        </is>
      </c>
      <c r="Q10" s="10" t="inlineStr">
        <is>
          <t>Consent family_sharing còn?</t>
        </is>
      </c>
      <c r="R10" s="11" t="inlineStr">
        <is>
          <t>-</t>
        </is>
      </c>
      <c r="S10" s="11" t="inlineStr">
        <is>
          <t>No</t>
        </is>
      </c>
      <c r="T10" s="11" t="inlineStr">
        <is>
          <t>Yes</t>
        </is>
      </c>
      <c r="U10" s="11" t="inlineStr">
        <is>
          <t>Yes</t>
        </is>
      </c>
    </row>
    <row r="11" ht="74" customHeight="1">
      <c r="A11" s="7" t="inlineStr">
        <is>
          <t>TC-REDEEMFLOW-03</t>
        </is>
      </c>
      <c r="B11" s="7" t="inlineStr">
        <is>
          <t>Từ chối QR payload sai mà không gửi redeem</t>
        </is>
      </c>
      <c r="C11" s="8" t="inlineStr">
        <is>
          <t>Family ở màn quét QR.</t>
        </is>
      </c>
      <c r="D11" s="8" t="inlineStr">
        <is>
          <t>1. Cấp chuỗi invalid cho scanner callback.
2. Kiểm thông báo và số POST.</t>
        </is>
      </c>
      <c r="E11" s="8" t="inlineStr">
        <is>
          <t>qr_payload=invalid</t>
        </is>
      </c>
      <c r="F11" s="8" t="inlineStr">
        <is>
          <t>Hiện lỗi QR, còn ở màn quét, 0 POST.</t>
        </is>
      </c>
      <c r="G11" s="8" t="inlineStr">
        <is>
          <t>Widget và Android LM_G710 QR sai pass, 0 POST; evidence/test-widget-redeem.log và evidence/test-android-remaining-phases.log.</t>
        </is>
      </c>
      <c r="H11" s="7" t="inlineStr">
        <is>
          <t>Pass</t>
        </is>
      </c>
      <c r="I11" s="8" t="inlineStr">
        <is>
          <t>AC2, AC5 · EP (2) · qr_invalid</t>
        </is>
      </c>
      <c r="K11" s="9" t="inlineStr">
        <is>
          <t>phiên</t>
        </is>
      </c>
      <c r="L11" s="10" t="inlineStr">
        <is>
          <t>Phiên mobile của người thân</t>
        </is>
      </c>
      <c r="M11" s="10" t="inlineStr">
        <is>
          <t>4</t>
        </is>
      </c>
      <c r="N11" s="10" t="inlineStr">
        <is>
          <t>Không có bearer
Phiên của admin</t>
        </is>
      </c>
      <c r="O11" s="10" t="inlineStr">
        <is>
          <t>10
11</t>
        </is>
      </c>
      <c r="Q11" s="10" t="inlineStr">
        <is>
          <t>sharing_enabled?</t>
        </is>
      </c>
      <c r="R11" s="11" t="inlineStr">
        <is>
          <t>-</t>
        </is>
      </c>
      <c r="S11" s="11" t="inlineStr">
        <is>
          <t>-</t>
        </is>
      </c>
      <c r="T11" s="11" t="inlineStr">
        <is>
          <t>No</t>
        </is>
      </c>
      <c r="U11" s="11" t="inlineStr">
        <is>
          <t>Yes</t>
        </is>
      </c>
    </row>
    <row r="12" ht="57.5" customHeight="1">
      <c r="A12" s="7" t="inlineStr">
        <is>
          <t>TC-REDEEMFLOW-04</t>
        </is>
      </c>
      <c r="B12" s="7" t="inlineStr">
        <is>
          <t>Từ chối đọc lịch thuốc khi liên kết còn pending</t>
        </is>
      </c>
      <c r="C12" s="8" t="inlineStr">
        <is>
          <t>Family vừa POST redeem thành công, link đang pending.</t>
        </is>
      </c>
      <c r="D12" s="8" t="inlineStr">
        <is>
          <t>1. Gọi GET /patients/{patient_id}/schedules với bearer của family.
2. Đọc access_logs cho cặp actor/patient.</t>
        </is>
      </c>
      <c r="E12" s="8" t="inlineStr">
        <is>
          <t>patient_id=UUID patient của mã vừa redeem</t>
        </is>
      </c>
      <c r="F12" s="8" t="inlineStr">
        <is>
          <t>403 {detail:khong_co_quyen}, không có lịch thuốc; denied log tồn tại.</t>
        </is>
      </c>
      <c r="G12" s="8" t="inlineStr">
        <is>
          <t>test_pending_link_grants_no_access__AC2 pass trong evidence/test-redeem-pep-targeted.log.</t>
        </is>
      </c>
      <c r="H12" s="7" t="inlineStr">
        <is>
          <t>Pass</t>
        </is>
      </c>
      <c r="I12" s="8" t="inlineStr">
        <is>
          <t>AC3, AC9 · Decision Table (R1)</t>
        </is>
      </c>
      <c r="Q12" s="6" t="inlineStr">
        <is>
          <t>Action</t>
        </is>
      </c>
      <c r="R12" s="5" t="inlineStr">
        <is>
          <t>R1</t>
        </is>
      </c>
      <c r="S12" s="5" t="inlineStr">
        <is>
          <t>R2</t>
        </is>
      </c>
      <c r="T12" s="5" t="inlineStr">
        <is>
          <t>R3</t>
        </is>
      </c>
      <c r="U12" s="5" t="inlineStr">
        <is>
          <t>R4</t>
        </is>
      </c>
    </row>
    <row r="13" ht="74" customHeight="1">
      <c r="A13" s="7" t="inlineStr">
        <is>
          <t>TC-REDEEMFLOW-05</t>
        </is>
      </c>
      <c r="B13" s="7" t="inlineStr">
        <is>
          <t>Gửi lại cùng client_uuid sau khi server đã lưu</t>
        </is>
      </c>
      <c r="C13" s="8" t="inlineStr">
        <is>
          <t>POST đầu đã tạo pending; family giữ UUID cũ.</t>
        </is>
      </c>
      <c r="D13" s="8" t="inlineStr">
        <is>
          <t>1. Gửi lại POST /family/link-requests cùng code và client_uuid.
2. Đếm caregiver_links.</t>
        </is>
      </c>
      <c r="E13" s="8" t="inlineStr">
        <is>
          <t>client_uuid=11111111-1111-4111-8111-111111111111, dùng lại ở lần hai</t>
        </is>
      </c>
      <c r="F13" s="8" t="inlineStr">
        <is>
          <t>Lần đầu 201, lần sau 200 cùng id/created_at; DB chỉ một link.</t>
        </is>
      </c>
      <c r="G13" s="8" t="inlineStr">
        <is>
          <t>test_replay_200_current_status__AC29 và test_concurrent_same_client_uuid_201_and_200__AC31 pass trong evidence/test-redeem-pep-targeted.log.</t>
        </is>
      </c>
      <c r="H13" s="7" t="inlineStr">
        <is>
          <t>Pass</t>
        </is>
      </c>
      <c r="I13" s="8" t="inlineStr">
        <is>
          <t>AC4 · EP (2) · state pending→pending</t>
        </is>
      </c>
      <c r="Q13" s="10" t="inlineStr">
        <is>
          <t>403 + access_logs denied</t>
        </is>
      </c>
      <c r="R13" s="11" t="inlineStr">
        <is>
          <t>X</t>
        </is>
      </c>
      <c r="S13" s="11" t="inlineStr">
        <is>
          <t>X</t>
        </is>
      </c>
      <c r="T13" s="11" t="inlineStr">
        <is>
          <t>X</t>
        </is>
      </c>
      <c r="U13" s="11" t="inlineStr"/>
    </row>
    <row r="14" ht="74" customHeight="1">
      <c r="A14" s="7" t="inlineStr">
        <is>
          <t>TC-REDEEMFLOW-06</t>
        </is>
      </c>
      <c r="B14" s="7" t="inlineStr">
        <is>
          <t>Chặn request redeem không có phiên và phiên admin</t>
        </is>
      </c>
      <c r="C14" s="8" t="inlineStr">
        <is>
          <t>Patient có mã; chưa có link với family.</t>
        </is>
      </c>
      <c r="D14" s="8" t="inlineStr">
        <is>
          <t>1. POST /family/link-requests không có Authorization.
2. POST cùng body bằng phiên admin.
3. Đếm caregiver_links.</t>
        </is>
      </c>
      <c r="E14" s="8" t="inlineStr">
        <is>
          <t>code=body.code; client_uuid=22222222-2222-4222-8222-222222222222</t>
        </is>
      </c>
      <c r="F14" s="8" t="inlineStr">
        <is>
          <t>Không phiên 401, admin 403; không tạo link.</t>
        </is>
      </c>
      <c r="G14" s="8" t="inlineStr">
        <is>
          <t>test_unauthenticated_401__AC3 và test_admin_403__AC16 pass trong evidence/test-redeem-pep-targeted.log.</t>
        </is>
      </c>
      <c r="H14" s="7" t="inlineStr">
        <is>
          <t>Pass</t>
        </is>
      </c>
      <c r="I14" s="8" t="inlineStr">
        <is>
          <t>AC5 · EP (2,3)</t>
        </is>
      </c>
      <c r="Q14" s="10" t="inlineStr">
        <is>
          <t>200 + access_logs allowed</t>
        </is>
      </c>
      <c r="R14" s="11" t="inlineStr"/>
      <c r="S14" s="11" t="inlineStr"/>
      <c r="T14" s="11" t="inlineStr"/>
      <c r="U14" s="11" t="inlineStr">
        <is>
          <t>X</t>
        </is>
      </c>
    </row>
    <row r="15" ht="74" customHeight="1">
      <c r="A15" s="7" t="inlineStr">
        <is>
          <t>TC-REDEEMFLOW-07</t>
        </is>
      </c>
      <c r="B15" s="7" t="inlineStr">
        <is>
          <t>Báo mã không tồn tại và mã của chính mình</t>
        </is>
      </c>
      <c r="C15" s="8" t="inlineStr">
        <is>
          <t>Patient có mã của mình và bearer mobile.</t>
        </is>
      </c>
      <c r="D15" s="8" t="inlineStr">
        <is>
          <t>1. Gửi mã 10 ký tự không tồn tại bằng family khác.
2. Gửi mã thật bằng chính patient.
3. Kiểm DB.</t>
        </is>
      </c>
      <c r="E15" s="8" t="inlineStr">
        <is>
          <t>code_sai=AAAAAAAAAA; code_self=body.code; UUID v4 mới mỗi request</t>
        </is>
      </c>
      <c r="F15" s="8" t="inlineStr">
        <is>
          <t>Mã không tồn tại 404 link_code_not_found; tự liên kết 422 self_link_not_allowed; không link.</t>
        </is>
      </c>
      <c r="G15" s="8" t="inlineStr">
        <is>
          <t>test_unknown_code_404_counted__AC4 và test_self_code_422__AC5 pass trong evidence/test-redeem-pep-targeted.log.</t>
        </is>
      </c>
      <c r="H15" s="7" t="inlineStr">
        <is>
          <t>Pass</t>
        </is>
      </c>
      <c r="I15" s="8" t="inlineStr">
        <is>
          <t>AC5 · EP (2,4)</t>
        </is>
      </c>
    </row>
    <row r="16" ht="90.5" customHeight="1">
      <c r="A16" s="7" t="inlineStr">
        <is>
          <t>TC-REDEEMFLOW-08</t>
        </is>
      </c>
      <c r="B16" s="7" t="inlineStr">
        <is>
          <t>Từ chối body mã sai độ dài và UUID không hợp lệ</t>
        </is>
      </c>
      <c r="C16" s="8" t="inlineStr">
        <is>
          <t>Family có bearer mobile; chưa có link.</t>
        </is>
      </c>
      <c r="D16" s="8" t="inlineStr">
        <is>
          <t>1. POST code dài 9 ký tự.
2. POST code dài 11 ký tự.
3. POST thiếu client_uuid hoặc không phải UUID.
4. Kiểm DB.</t>
        </is>
      </c>
      <c r="E16" s="8" t="inlineStr">
        <is>
          <t>code=K7M2Q9XAR (9), K7M2Q9XAR44 (11); client_uuid=(blank), not-a-uuid</t>
        </is>
      </c>
      <c r="F16" s="8" t="inlineStr">
        <is>
          <t>Mỗi body 422 ValidationError; không tạo link hoặc tính lượt sai mã.</t>
        </is>
      </c>
      <c r="G16" s="8" t="inlineStr">
        <is>
          <t>test_validation_422_not_counted__AC20 parametrized pass trong evidence/test-redeem-pep-targeted.log.</t>
        </is>
      </c>
      <c r="H16" s="7" t="inlineStr">
        <is>
          <t>Pass</t>
        </is>
      </c>
      <c r="I16" s="8" t="inlineStr">
        <is>
          <t>AC5 · EP (3,4) · BVA (9,10,11)</t>
        </is>
      </c>
    </row>
    <row r="17" ht="57.5" customHeight="1">
      <c r="A17" s="7" t="inlineStr">
        <is>
          <t>TC-REDEEMFLOW-09</t>
        </is>
      </c>
      <c r="B17" s="7" t="inlineStr">
        <is>
          <t>Chặn UUID mới khi cặp đang pending hoặc active</t>
        </is>
      </c>
      <c r="C17" s="8" t="inlineStr">
        <is>
          <t>Family/patient có link pending hoặc active.</t>
        </is>
      </c>
      <c r="D17" s="8" t="inlineStr">
        <is>
          <t>1. POST cùng code bằng client_uuid mới.
2. Kiểm status/body và số row.</t>
        </is>
      </c>
      <c r="E17" s="8" t="inlineStr">
        <is>
          <t>code=body.code; client_uuid mới=33333333-3333-4333-8333-333333333333</t>
        </is>
      </c>
      <c r="F17" s="8" t="inlineStr">
        <is>
          <t>409 link_request_pending hoặc already_linked; không thêm row.</t>
        </is>
      </c>
      <c r="G17" s="8" t="inlineStr">
        <is>
          <t>test_open_pair_409__AC6 parametrized pass trong evidence/test-redeem-pep-targeted.log.</t>
        </is>
      </c>
      <c r="H17" s="7" t="inlineStr">
        <is>
          <t>Pass</t>
        </is>
      </c>
      <c r="I17" s="8" t="inlineStr">
        <is>
          <t>AC6 · state pending/active→không thêm</t>
        </is>
      </c>
    </row>
    <row r="18" ht="90.5" customHeight="1">
      <c r="A18" s="7" t="inlineStr">
        <is>
          <t>TC-REDEEMFLOW-10</t>
        </is>
      </c>
      <c r="B18" s="7" t="inlineStr">
        <is>
          <t>Rút rồi cấp lại family_sharing và dùng mã cũ</t>
        </is>
      </c>
      <c r="C18" s="8" t="inlineStr">
        <is>
          <t>Patient và family riêng, patient từng lấy mã qua API.</t>
        </is>
      </c>
      <c r="D18" s="8" t="inlineStr">
        <is>
          <t>1. POST /consents/family_sharing/withdraw.
2. Family POST redeem bằng mã cũ.
3. POST /consents cấp lại.
4. GET /family/link-code và POST redeem bằng mã cũ.</t>
        </is>
      </c>
      <c r="E18" s="8" t="inlineStr">
        <is>
          <t>purpose=family_sharing; document_version=2026-10-v1; code=body.code ban đầu</t>
        </is>
      </c>
      <c r="F18" s="8" t="inlineStr">
        <is>
          <t>Sau rút: 404 như mã sai, 0 link. Sau cấp lại: mã không đổi, POST 201 pending.</t>
        </is>
      </c>
      <c r="G18" s="8" t="inlineStr">
        <is>
          <t>test_owner_regrant_via_api_reuses_code_and_redeems__AC7 pass trong evidence/test-redeem-acceptance.log.</t>
        </is>
      </c>
      <c r="H18" s="7" t="inlineStr">
        <is>
          <t>Pass</t>
        </is>
      </c>
      <c r="I18" s="8" t="inlineStr">
        <is>
          <t>AC7 · state consent granted→withdrawn→granted</t>
        </is>
      </c>
    </row>
    <row r="19" ht="74" customHeight="1">
      <c r="A19" s="7" t="inlineStr">
        <is>
          <t>TC-REDEEMFLOW-11</t>
        </is>
      </c>
      <c r="B19" s="7" t="inlineStr">
        <is>
          <t>Khóa sau năm mã sai và mở đúng hạn 15 phút</t>
        </is>
      </c>
      <c r="C19" s="8" t="inlineStr">
        <is>
          <t>Family chưa có liên kết; đồng hồ test cố định.</t>
        </is>
      </c>
      <c r="D19" s="8" t="inlineStr">
        <is>
          <t>1. Gửi 5 mã sai trong 15 phút.
2. Gửi mã đúng ngay trước hết hạn.
3. Gửi lại đúng mốc hết hạn.</t>
        </is>
      </c>
      <c r="E19" s="8" t="inlineStr">
        <is>
          <t>5 mã sai 10 ký tự; mốc thứ năm T; thử tại T+14:59.5 và T+15:00</t>
        </is>
      </c>
      <c r="F19" s="8" t="inlineStr">
        <is>
          <t>Trước hạn 429 link_request_locked + Retry-After; đúng hạn 201; không khóa patient.</t>
        </is>
      </c>
      <c r="G19" s="8" t="inlineStr">
        <is>
          <t>test_fifth_failure_locks_then_unlocks__AC10 và test_locked_family_does_not_block_patient_code__AC15 pass trong evidence/test-redeem-pep-targeted.log.</t>
        </is>
      </c>
      <c r="H19" s="7" t="inlineStr">
        <is>
          <t>Pass</t>
        </is>
      </c>
      <c r="I19" s="8" t="inlineStr">
        <is>
          <t>AC8 · BVA (4,5,6; T+14:59.5,T+15:00)</t>
        </is>
      </c>
    </row>
    <row r="20" ht="57.5" customHeight="1">
      <c r="A20" s="7" t="inlineStr">
        <is>
          <t>TC-REDEEMFLOW-12</t>
        </is>
      </c>
      <c r="B20" s="7" t="inlineStr">
        <is>
          <t>Áp quota mười request theo ngày VN và mở ở 00:00</t>
        </is>
      </c>
      <c r="C20" s="8" t="inlineStr">
        <is>
          <t>Family có 10 request thành công trong ngày VN hiện tại.</t>
        </is>
      </c>
      <c r="D20" s="8" t="inlineStr">
        <is>
          <t>1. Thử request thứ 11 tại 23:59:59 VN.
2. Kiểm DB không thêm.
3. Thử lại 00:00:00 VN.</t>
        </is>
      </c>
      <c r="E20" s="8" t="inlineStr">
        <is>
          <t>10 link linked_at trong cùng ngày VN; T=23:59:59 và 00:00:00 VN</t>
        </is>
      </c>
      <c r="F20" s="8" t="inlineStr">
        <is>
          <t>Trước 00:00 trả 429 link_request_daily_limit, Retry-After=1; tại 00:00 trả 201.</t>
        </is>
      </c>
      <c r="G20" s="8" t="inlineStr">
        <is>
          <t>test_daily_quota_last_second_and_midnight_vn__AC8 pass trong evidence/test-redeem-acceptance.log.</t>
        </is>
      </c>
      <c r="H20" s="7" t="inlineStr">
        <is>
          <t>Pass</t>
        </is>
      </c>
      <c r="I20" s="8" t="inlineStr">
        <is>
          <t>AC8 · BVA (9,10,11; 23:59:59,00:00:00)</t>
        </is>
      </c>
    </row>
    <row r="21" ht="74" customHeight="1">
      <c r="A21" s="7" t="inlineStr">
        <is>
          <t>TC-REDEEMFLOW-13</t>
        </is>
      </c>
      <c r="B21" s="7" t="inlineStr">
        <is>
          <t>Chặn cặp sau năm lần từ chối và mở đúng 24 giờ</t>
        </is>
      </c>
      <c r="C21" s="8" t="inlineStr">
        <is>
          <t>Patient từ chối request qua endpoint thật năm lần liên tiếp.</t>
        </is>
      </c>
      <c r="D21" s="8" t="inlineStr">
        <is>
          <t>1. POST /family/links/{id}/reject qua tài khoản patient mỗi lần.
2. Thử redeem trước mốc 24 giờ.
3. Thử lại đúng mốc 24 giờ.</t>
        </is>
      </c>
      <c r="E21" s="8" t="inlineStr">
        <is>
          <t>rejected_at của lần thứ năm; thử T+23:59 và T+24:00</t>
        </is>
      </c>
      <c r="F21" s="8" t="inlineStr">
        <is>
          <t>Trước hạn 429 link_request_cooldown; tại T+24:00 trả 201; người thân khác không bị khóa.</t>
        </is>
      </c>
      <c r="G21" s="8" t="inlineStr">
        <is>
          <t>test_five_rejections_via_endpoint_block_24h_others_unaffected__AC9 pass trong evidence/test-redeem-pep-targeted.log.</t>
        </is>
      </c>
      <c r="H21" s="7" t="inlineStr">
        <is>
          <t>Pass</t>
        </is>
      </c>
      <c r="I21" s="8" t="inlineStr">
        <is>
          <t>AC8 · BVA (4,5,6; 23:59,24:00)</t>
        </is>
      </c>
    </row>
    <row r="22" ht="57.5" customHeight="1">
      <c r="A22" s="7" t="inlineStr">
        <is>
          <t>TC-REDEEMFLOW-14</t>
        </is>
      </c>
      <c r="B22" s="7" t="inlineStr">
        <is>
          <t>Cho family active đủ consent và sharing đọc schedules</t>
        </is>
      </c>
      <c r="C22" s="8" t="inlineStr">
        <is>
          <t>Link active, family_sharing và sharing_enabled=true.</t>
        </is>
      </c>
      <c r="D22" s="8" t="inlineStr">
        <is>
          <t>1. GET /patients/{patient_id}/schedules bằng family.
2. Kiểm access_logs.</t>
        </is>
      </c>
      <c r="E22" s="8" t="inlineStr">
        <is>
          <t>patient_id=UUID patient của link active</t>
        </is>
      </c>
      <c r="F22" s="8" t="inlineStr">
        <is>
          <t>200 với dữ liệu tối thiểu; có allowed log.</t>
        </is>
      </c>
      <c r="G22" s="8" t="inlineStr">
        <is>
          <t>test_family_allowed_logged_each_page__AC13 pass trong evidence/test-redeem-pep-targeted.log.</t>
        </is>
      </c>
      <c r="H22" s="7" t="inlineStr">
        <is>
          <t>Pass</t>
        </is>
      </c>
      <c r="I22" s="8" t="inlineStr">
        <is>
          <t>AC9 · Decision Table (R4)</t>
        </is>
      </c>
    </row>
    <row r="23" ht="57.5" customHeight="1">
      <c r="A23" s="7" t="inlineStr">
        <is>
          <t>TC-REDEEMFLOW-15</t>
        </is>
      </c>
      <c r="B23" s="7" t="inlineStr">
        <is>
          <t>Từ chối family active khi thiếu consent</t>
        </is>
      </c>
      <c r="C23" s="8" t="inlineStr">
        <is>
          <t>Link active, sharing_enabled=true, patient rút family_sharing.</t>
        </is>
      </c>
      <c r="D23" s="8" t="inlineStr">
        <is>
          <t>1. GET /patients/{patient_id}/schedules bằng family.
2. Kiểm access_logs.</t>
        </is>
      </c>
      <c r="E23" s="8" t="inlineStr">
        <is>
          <t>patient_id=UUID patient, consent_type=family_sharing</t>
        </is>
      </c>
      <c r="F23" s="8" t="inlineStr">
        <is>
          <t>403 khong_co_quyen, không có lịch thuốc; denied log.</t>
        </is>
      </c>
      <c r="G23" s="8" t="inlineStr">
        <is>
          <t>test_family_missing_consent_or_sharing_off_denied pass trong evidence/test-redeem-pep-targeted.log.</t>
        </is>
      </c>
      <c r="H23" s="7" t="inlineStr">
        <is>
          <t>Pass</t>
        </is>
      </c>
      <c r="I23" s="8" t="inlineStr">
        <is>
          <t>AC9 · Decision Table (R2)</t>
        </is>
      </c>
    </row>
    <row r="24" ht="57.5" customHeight="1">
      <c r="A24" s="7" t="inlineStr">
        <is>
          <t>TC-REDEEMFLOW-16</t>
        </is>
      </c>
      <c r="B24" s="7" t="inlineStr">
        <is>
          <t>Từ chối family active khi patient tắt chia sẻ</t>
        </is>
      </c>
      <c r="C24" s="8" t="inlineStr">
        <is>
          <t>Link active, consent còn, sharing_enabled=false.</t>
        </is>
      </c>
      <c r="D24" s="8" t="inlineStr">
        <is>
          <t>1. GET /patients/{patient_id}/schedules bằng family.
2. Kiểm access_logs.</t>
        </is>
      </c>
      <c r="E24" s="8" t="inlineStr">
        <is>
          <t>patient_id=UUID patient, sharing_enabled=false</t>
        </is>
      </c>
      <c r="F24" s="8" t="inlineStr">
        <is>
          <t>403 khong_co_quyen, không có lịch thuốc; denied log.</t>
        </is>
      </c>
      <c r="G24" s="8" t="inlineStr">
        <is>
          <t>test_family_missing_consent_or_sharing_off_denied pass trong evidence/test-redeem-pep-targeted.log.</t>
        </is>
      </c>
      <c r="H24" s="7" t="inlineStr">
        <is>
          <t>Pass</t>
        </is>
      </c>
      <c r="I24" s="8" t="inlineStr">
        <is>
          <t>AC9 · Decision Table (R3)</t>
        </is>
      </c>
    </row>
    <row r="25" ht="74" customHeight="1">
      <c r="A25" s="7" t="inlineStr">
        <is>
          <t>TC-REDEEMFLOW-17</t>
        </is>
      </c>
      <c r="B25" s="7" t="inlineStr">
        <is>
          <t>Rút quyền và chặn request kế tiếp cùng JWT</t>
        </is>
      </c>
      <c r="C25" s="8" t="inlineStr">
        <is>
          <t>Family từng đọc schedules được, link active.</t>
        </is>
      </c>
      <c r="D25" s="8" t="inlineStr">
        <is>
          <t>1. Gọi schedules lần đầu.
2. Rút consent hoặc revoke link.
3. Gọi schedules ngay bằng cùng bearer.</t>
        </is>
      </c>
      <c r="E25" s="8" t="inlineStr">
        <is>
          <t>patient_id=UUID patient; bearer family giữ nguyên</t>
        </is>
      </c>
      <c r="F25" s="8" t="inlineStr">
        <is>
          <t>Lần đầu 200+allowed; request sau 403+denied.</t>
        </is>
      </c>
      <c r="G25" s="8" t="inlineStr">
        <is>
          <t>test_revocation_takes_effect_immediately_same_jwt__AC7 và test_revoke_between_pages_403__AC14 pass trong evidence/test-redeem-pep-targeted.log.</t>
        </is>
      </c>
      <c r="H25" s="7" t="inlineStr">
        <is>
          <t>Pass</t>
        </is>
      </c>
      <c r="I25" s="8" t="inlineStr">
        <is>
          <t>AC7, AC9 · state active→revoked</t>
        </is>
      </c>
    </row>
    <row r="26" ht="57.5" customHeight="1">
      <c r="A26" s="7" t="inlineStr">
        <is>
          <t>TC-REDEEMFLOW-18</t>
        </is>
      </c>
      <c r="B26" s="7" t="inlineStr">
        <is>
          <t>Từ chối patient_id tráo sang bệnh nhân khác</t>
        </is>
      </c>
      <c r="C26" s="8" t="inlineStr">
        <is>
          <t>Family có link active với P nhưng không có link với Q.</t>
        </is>
      </c>
      <c r="D26" s="8" t="inlineStr">
        <is>
          <t>1. GET /patients/{Q}/schedules bằng bearer của family.
2. Kiểm access_logs cho Q.</t>
        </is>
      </c>
      <c r="E26" s="8" t="inlineStr">
        <is>
          <t>patient_id=UUID Q khác P</t>
        </is>
      </c>
      <c r="F26" s="8" t="inlineStr">
        <is>
          <t>403 khong_co_quyen, không lộ lịch Q; denied log cho Q.</t>
        </is>
      </c>
      <c r="G26" s="8" t="inlineStr">
        <is>
          <t>test_family_swaps_patient_id_denied pass trong evidence/test-redeem-pep-targeted.log.</t>
        </is>
      </c>
      <c r="H26" s="7" t="inlineStr">
        <is>
          <t>Pass</t>
        </is>
      </c>
      <c r="I26" s="8" t="inlineStr">
        <is>
          <t>AC9 · Decision Table (R1) · security</t>
        </is>
      </c>
    </row>
    <row r="27" ht="90.5" customHeight="1">
      <c r="A27" s="7" t="inlineStr">
        <is>
          <t>TC-REDEEMFLOW-19</t>
        </is>
      </c>
      <c r="B27" s="7" t="inlineStr">
        <is>
          <t>Chặn dữ liệu sức khỏe khi ghi audit lỗi và giữ denied sau rollback</t>
        </is>
      </c>
      <c r="C27" s="8" t="inlineStr">
        <is>
          <t>Endpoint /adherence có dữ liệu; tiêm lỗi ghi audit hoặc transaction rollback.</t>
        </is>
      </c>
      <c r="D27" s="8" t="inlineStr">
        <is>
          <t>1. Gọi GET /adherence khi Access Log Writer lỗi.
2. Gọi khi bị denied rồi rollback transaction ngoài.
3. Kiểm response và access_logs.</t>
        </is>
      </c>
      <c r="E27" s="8" t="inlineStr">
        <is>
          <t>failure=allowed_insert,commit,denied_insert,permission_read</t>
        </is>
      </c>
      <c r="F27" s="8" t="inlineStr">
        <is>
          <t>Lỗi audit/permission: 500 không trả sức khỏe; denied vẫn ghi sau rollback ngoài.</t>
        </is>
      </c>
      <c r="G27" s="8" t="inlineStr">
        <is>
          <t>5 ca test audit pass trong evidence/test-audit-fail-closed.log.</t>
        </is>
      </c>
      <c r="H27" s="7" t="inlineStr">
        <is>
          <t>Pass</t>
        </is>
      </c>
      <c r="I27" s="8" t="inlineStr">
        <is>
          <t>AC10, AC9 · security · rollback</t>
        </is>
      </c>
    </row>
    <row r="28" ht="74" customHeight="1">
      <c r="A28" s="7" t="inlineStr">
        <is>
          <t>TC-REDEEMFLOW-20</t>
        </is>
      </c>
      <c r="B28" s="7" t="inlineStr">
        <is>
          <t>Báo thiếu emulator trước khi tạo fixture</t>
        </is>
      </c>
      <c r="C28" s="8" t="inlineStr">
        <is>
          <t>Supabase local chạy; adb devices không có emulator online.</t>
        </is>
      </c>
      <c r="D28" s="8" t="inlineStr">
        <is>
          <t>1. Chạy run_e2e.py --preflight.
2. Kiểm exit và DB không có fixture mới.</t>
        </is>
      </c>
      <c r="E28" s="8" t="inlineStr">
        <is>
          <t>adb devices chỉ có dòng tiêu đề</t>
        </is>
      </c>
      <c r="F28" s="8" t="inlineStr">
        <is>
          <t>Báo thiếu Android emulator, exit 2, chưa tạo dữ liệu.</t>
        </is>
      </c>
      <c r="G28" s="8" t="inlineStr">
        <is>
          <t>Preflight báo Không có Android emulator online; unit runner 11 pass; evidence/test-runner-preflight.log và evidence/test-runner-unit.log.</t>
        </is>
      </c>
      <c r="H28" s="7" t="inlineStr">
        <is>
          <t>Pass</t>
        </is>
      </c>
      <c r="I28" s="8" t="inlineStr">
        <is>
          <t>AC12, AC10 · EP (thiếu emulator)</t>
        </is>
      </c>
    </row>
    <row r="29" ht="57.5" customHeight="1">
      <c r="A29" s="7" t="inlineStr">
        <is>
          <t>TC-REDEEMFLOW-21</t>
        </is>
      </c>
      <c r="B29" s="7" t="inlineStr">
        <is>
          <t>Thử lại sau khi server lưu nhưng client mất response</t>
        </is>
      </c>
      <c r="C29" s="8" t="inlineStr">
        <is>
          <t>Android LM_G710 qua ADB, backend/DB local chạy.</t>
        </is>
      </c>
      <c r="D29" s="8" t="inlineStr">
        <is>
          <t>1. Chạy run_e2e.py --phase response_lost.
2. Relay bỏ response đầu sau upstream commit.
3. Bấm Thử lại và kiểm DB.</t>
        </is>
      </c>
      <c r="E29" s="8" t="inlineStr">
        <is>
          <t>code=body.code; client_uuid do Mobile sinh và giữ lại</t>
        </is>
      </c>
      <c r="F29" s="8" t="inlineStr">
        <is>
          <t>POST 201 rồi 200 cùng UUID/id; UI pending; một row DB.</t>
        </is>
      </c>
      <c r="G29" s="8" t="inlineStr">
        <is>
          <t>PASS response_lost: UI/API/DB, 201 rồi 200 cùng UUID và một DB row; evidence/test-android-remaining-phases.log.</t>
        </is>
      </c>
      <c r="H29" s="7" t="inlineStr">
        <is>
          <t>Pass</t>
        </is>
      </c>
      <c r="I29" s="8" t="inlineStr">
        <is>
          <t>AC4, AC6 · state request→timeout→retry</t>
        </is>
      </c>
    </row>
    <row r="30" ht="57.5" customHeight="1">
      <c r="A30" s="7" t="inlineStr">
        <is>
          <t>TC-REDEEMFLOW-22</t>
        </is>
      </c>
      <c r="B30" s="7" t="inlineStr">
        <is>
          <t>Bấm gửi hai lần khi request đầu đang chờ</t>
        </is>
      </c>
      <c r="C30" s="8" t="inlineStr">
        <is>
          <t>Android LM_G710 qua ADB, backend/DB local chạy.</t>
        </is>
      </c>
      <c r="D30" s="8" t="inlineStr">
        <is>
          <t>1. Chạy run_e2e.py --phase double_tap.
2. Bấm gửi hai lần nhanh.
3. Kiểm số POST và DB.</t>
        </is>
      </c>
      <c r="E30" s="8" t="inlineStr">
        <is>
          <t>code=body.code; relay trì hoãn response 400ms</t>
        </is>
      </c>
      <c r="F30" s="8" t="inlineStr">
        <is>
          <t>Chỉ một POST, một pending, UI chờ.</t>
        </is>
      </c>
      <c r="G30" s="8" t="inlineStr">
        <is>
          <t>PASS double_tap: UI/API/DB, một POST và một pending; evidence/test-android-remaining-phases.log.</t>
        </is>
      </c>
      <c r="H30" s="7" t="inlineStr">
        <is>
          <t>Pass</t>
        </is>
      </c>
      <c r="I30" s="8" t="inlineStr">
        <is>
          <t>AC4 · error guessing (double tap)</t>
        </is>
      </c>
    </row>
    <row r="31" ht="107" customHeight="1">
      <c r="A31" s="7" t="inlineStr">
        <is>
          <t>TC-REDEEMFLOW-23</t>
        </is>
      </c>
      <c r="B31" s="7" t="inlineStr">
        <is>
          <t>Quét QR bằng camera thật và thử từ chối quyền</t>
        </is>
      </c>
      <c r="C31" s="8" t="inlineStr">
        <is>
          <t>Android có camera, hai tài khoản/thiết bị; Supabase local có thể truy cập từ emulator.</t>
        </is>
      </c>
      <c r="D31" s="8" t="inlineStr">
        <is>
          <t>1. Hiển thị QR bệnh nhân trên thiết bị thứ nhất.
2. Quét bằng camera thiết bị thứ hai và xác nhận.
3. Rút quyền camera rồi quét lại; thử QR sai.
4. Đối chiếu pending DB.</t>
        </is>
      </c>
      <c r="E31" s="8" t="inlineStr">
        <is>
          <t>QR thực từ GET /family/link-code; camera permission=granted/denied</t>
        </is>
      </c>
      <c r="F31" s="8" t="inlineStr">
        <is>
          <t>Chỉ gửi sau xác nhận; một pending; khi từ chối quyền hoặc QR sai có lối nhập mã và không POST.</t>
        </is>
      </c>
      <c r="G31" s="8" t="inlineStr"/>
      <c r="H31" s="7" t="inlineStr">
        <is>
          <t>Pending</t>
        </is>
      </c>
      <c r="I31" s="8" t="inlineStr">
        <is>
          <t>AC11 · manual · EP (camera granted/denied)</t>
        </is>
      </c>
    </row>
    <row r="32"/>
    <row r="33"/>
    <row r="34">
      <c r="G34" s="12" t="inlineStr">
        <is>
          <t>Pass</t>
        </is>
      </c>
      <c r="H34" s="13">
        <f>COUNTIF(H9:H31,"Pass")</f>
        <v/>
      </c>
    </row>
    <row r="35">
      <c r="G35" s="12" t="inlineStr">
        <is>
          <t>Fail</t>
        </is>
      </c>
      <c r="H35" s="13">
        <f>COUNTIF(H9:H31,"Fail")</f>
        <v/>
      </c>
    </row>
    <row r="36">
      <c r="G36" s="12" t="inlineStr">
        <is>
          <t>Pending</t>
        </is>
      </c>
      <c r="H36" s="13">
        <f>COUNTIF(H9:H31,"Pending")</f>
        <v/>
      </c>
    </row>
    <row r="37">
      <c r="G37" s="12" t="inlineStr">
        <is>
          <t>Total</t>
        </is>
      </c>
      <c r="H37" s="13">
        <f>SUM(H34:H36)</f>
        <v/>
      </c>
    </row>
  </sheetData>
  <autoFilter ref="A8:I31"/>
  <conditionalFormatting sqref="H9:H31">
    <cfRule type="cellIs" priority="1" operator="equal" dxfId="0">
      <formula>"Fail"</formula>
    </cfRule>
  </conditionalFormatting>
  <dataValidations count="1">
    <dataValidation sqref="H9:H31" showDropDown="0" showInputMessage="0" showErrorMessage="0" allowBlank="0" type="list">
      <formula1>"Pass,Fail,Pending"</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6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Lịch sử tuân thủ cho người thân (FADH)</t>
        </is>
      </c>
    </row>
    <row r="3">
      <c r="A3" s="1" t="inlineStr">
        <is>
          <t>Created By</t>
        </is>
      </c>
      <c r="B3" s="2" t="inlineStr">
        <is>
          <t>phucnguyenngoc</t>
        </is>
      </c>
    </row>
    <row r="4">
      <c r="A4" s="1" t="inlineStr">
        <is>
          <t>Creation Date</t>
        </is>
      </c>
      <c r="B4" s="21" t="n">
        <v>46319</v>
      </c>
    </row>
    <row r="5">
      <c r="A5" s="1" t="inlineStr">
        <is>
          <t>Reviewed By</t>
        </is>
      </c>
      <c r="B5" s="2" t="inlineStr"/>
    </row>
    <row r="6">
      <c r="A6" s="1" t="inlineStr">
        <is>
          <t>Reviewed Date</t>
        </is>
      </c>
      <c r="B6" s="2" t="n"/>
    </row>
    <row r="7">
      <c r="K7" s="4" t="inlineStr">
        <is>
          <t>Equivalence Partitioning</t>
        </is>
      </c>
      <c r="Q7" s="4" t="inlineStr">
        <is>
          <t>Quyền xem lịch sử PB21</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56.5" customHeight="1">
      <c r="A9" s="7" t="inlineStr">
        <is>
          <t>TC-FADH-01</t>
        </is>
      </c>
      <c r="B9" s="7" t="inlineStr">
        <is>
          <t>Xem cùng lịch sử bằng patient và người thân</t>
        </is>
      </c>
      <c r="C9" s="8" t="inlineStr">
        <is>
          <t>DB Supabase local reset sạch; dùng fixture history_data; patient P có health_data; family F liên kết active, sharing=true và family_sharing của P còn hiệu lực.</t>
        </is>
      </c>
      <c r="D9" s="8" t="inlineStr">
        <is>
          <t>1. Tạo patient/family và lịch 08:00 qua fixture history_data.
2. Gọi GET /adherence?patient_id=P&amp;from=2026-10-19&amp;to=2026-10-19 bằng app session của F.
3. Đối chiếu response, dose_logs và access_logs bằng assertion của test nêu ở Comments.</t>
        </is>
      </c>
      <c r="E9" s="8" t="inlineStr">
        <is>
          <t>2026-10-19 08:00 +07; status=da_uong</t>
        </is>
      </c>
      <c r="F9" s="8" t="inlineStr">
        <is>
          <t>200; payload đúng contract, hai response giống nhau; mỗi caller có allowed; audit không chứa nội dung thuốc/liều.</t>
        </is>
      </c>
      <c r="G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9" s="7" t="inlineStr">
        <is>
          <t>Pass</t>
        </is>
      </c>
      <c r="I9" s="8" t="inlineStr">
        <is>
          <t>PB21 · AC1,AC9 · Decision Table (R1) · EP (1) · test_self_and_family_success_are_audited · evidence/test-contract-history-final.log/xml · Retest evidence/test-p7-integration.log/xml</t>
        </is>
      </c>
      <c r="K9" s="9" t="inlineStr">
        <is>
          <t>Quyền người thân</t>
        </is>
      </c>
      <c r="L9" s="10" t="inlineStr">
        <is>
          <t>Link active + sharing + hai consent</t>
        </is>
      </c>
      <c r="M9" s="10" t="inlineStr">
        <is>
          <t>1</t>
        </is>
      </c>
      <c r="N9" s="10" t="inlineStr">
        <is>
          <t>Không liên kết hoặc patient khác
Thiếu health_data
Thiếu family_sharing
Sharing tắt</t>
        </is>
      </c>
      <c r="O9" s="10" t="inlineStr">
        <is>
          <t>4
5
6
7</t>
        </is>
      </c>
      <c r="Q9" s="10" t="inlineStr">
        <is>
          <t>Link active</t>
        </is>
      </c>
      <c r="R9" s="11" t="inlineStr">
        <is>
          <t>Yes</t>
        </is>
      </c>
      <c r="S9" s="11" t="inlineStr">
        <is>
          <t>No</t>
        </is>
      </c>
      <c r="T9" s="11" t="inlineStr">
        <is>
          <t>Yes</t>
        </is>
      </c>
      <c r="U9" s="11" t="inlineStr">
        <is>
          <t>Yes</t>
        </is>
      </c>
      <c r="V9" s="11" t="inlineStr">
        <is>
          <t>Yes</t>
        </is>
      </c>
    </row>
    <row r="10" ht="156.5" customHeight="1">
      <c r="A10" s="7" t="inlineStr">
        <is>
          <t>TC-FADH-02</t>
        </is>
      </c>
      <c r="B10" s="7" t="inlineStr">
        <is>
          <t>Chặn người thân chưa liên kết</t>
        </is>
      </c>
      <c r="C10" s="8" t="inlineStr">
        <is>
          <t>Supabase local; patient P tồn tại, có health_data và liều; family F là user khác, không có caregiver_link tới P. Không dựng liên kết active trong ca này.</t>
        </is>
      </c>
      <c r="D10" s="8" t="inlineStr">
        <is>
          <t>1. Dựng P và liều bằng history_data; tạo F bằng make.user(), không gọi family_of/link.
2. GET /adherence?patient_id=P bằng bearer mobile của F.
3. Kiểm 403 {detail: khong_co_quyen}, Cache-Control: no-store; không có lịch sử trong body.
4. Đọc access_logs của P: actor F, result denied; so dose_logs trước/sau không đổi.</t>
        </is>
      </c>
      <c r="E10" s="8" t="inlineStr">
        <is>
          <t>case=unlinked; patient_id=P</t>
        </is>
      </c>
      <c r="F10" s="8" t="inlineStr">
        <is>
          <t>403 {detail: khong_co_quyen}; Cache-Control: no-store; có denied và dose_logs không đổi.</t>
        </is>
      </c>
      <c r="G10"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0" s="7" t="inlineStr">
        <is>
          <t>Pass</t>
        </is>
      </c>
      <c r="I10" s="8" t="inlineStr">
        <is>
          <t>PB21 · AC4 · Decision Table (R2) · EP (4) · test_unlinked_missing_consents_sharing_off_admin_denied_and_audited__AC11[unlinked] · evidence/test-contract-history-final.log/xml · Retest evidence/test-p7-integration.log/xml</t>
        </is>
      </c>
      <c r="K10" s="9" t="inlineStr">
        <is>
          <t>Mẫu số tỷ lệ</t>
        </is>
      </c>
      <c r="L10" s="10" t="inlineStr">
        <is>
          <t>Liều xác nhận hợp lệ hoặc chưa xác nhận đã quá +120
Không có liều đủ điều kiện</t>
        </is>
      </c>
      <c r="M10" s="10" t="inlineStr">
        <is>
          <t>2
3</t>
        </is>
      </c>
      <c r="N10" s="10" t="inlineStr"/>
      <c r="O10" s="10" t="inlineStr"/>
      <c r="Q10" s="10" t="inlineStr">
        <is>
          <t>health_data</t>
        </is>
      </c>
      <c r="R10" s="11" t="inlineStr">
        <is>
          <t>Yes</t>
        </is>
      </c>
      <c r="S10" s="11" t="inlineStr">
        <is>
          <t>Yes</t>
        </is>
      </c>
      <c r="T10" s="11" t="inlineStr">
        <is>
          <t>No</t>
        </is>
      </c>
      <c r="U10" s="11" t="inlineStr">
        <is>
          <t>Yes</t>
        </is>
      </c>
      <c r="V10" s="11" t="inlineStr">
        <is>
          <t>Yes</t>
        </is>
      </c>
    </row>
    <row r="11" ht="156.5" customHeight="1">
      <c r="A11" s="7" t="inlineStr">
        <is>
          <t>TC-FADH-03</t>
        </is>
      </c>
      <c r="B11" s="7" t="inlineStr">
        <is>
          <t>Chặn khi thiếu consent sức khỏe</t>
        </is>
      </c>
      <c r="C11" s="8" t="inlineStr">
        <is>
          <t>DB Supabase local reset sạch; dùng fixture history_data; patient P có health_data; family F liên kết active, sharing=true và family_sharing của P còn hiệu lực. Thu hồi health_data của P</t>
        </is>
      </c>
      <c r="D11" s="8" t="inlineStr">
        <is>
          <t>1. Tạo patient/family và lịch 08:00 qua fixture history_data.
2. Gọi GET /adherence?patient_id=P&amp;from=2026-10-19&amp;to=2026-10-19 bằng app session của F.
3. Đối chiếu response, dose_logs và access_logs bằng assertion của test nêu ở Comments.</t>
        </is>
      </c>
      <c r="E11" s="8" t="inlineStr">
        <is>
          <t>case=health_consent; patient_id=P</t>
        </is>
      </c>
      <c r="F11" s="8" t="inlineStr">
        <is>
          <t>403 {detail: khong_co_quyen}; Cache-Control: no-store; có denied và dose_logs không đổi.</t>
        </is>
      </c>
      <c r="G1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1" s="7" t="inlineStr">
        <is>
          <t>Pass</t>
        </is>
      </c>
      <c r="I11" s="8" t="inlineStr">
        <is>
          <t>PB21 · AC4 · Decision Table (R3) · EP (5) · test_unlinked_missing_consents_sharing_off_admin_denied_and_audited__AC11[health_consent] · evidence/test-contract-history-final.log/xml · Retest evidence/test-p7-integration.log/xml</t>
        </is>
      </c>
      <c r="Q11" s="10" t="inlineStr">
        <is>
          <t>family_sharing</t>
        </is>
      </c>
      <c r="R11" s="11" t="inlineStr">
        <is>
          <t>Yes</t>
        </is>
      </c>
      <c r="S11" s="11" t="inlineStr">
        <is>
          <t>Yes</t>
        </is>
      </c>
      <c r="T11" s="11" t="inlineStr">
        <is>
          <t>Yes</t>
        </is>
      </c>
      <c r="U11" s="11" t="inlineStr">
        <is>
          <t>No</t>
        </is>
      </c>
      <c r="V11" s="11" t="inlineStr">
        <is>
          <t>Yes</t>
        </is>
      </c>
    </row>
    <row r="12" ht="156.5" customHeight="1">
      <c r="A12" s="7" t="inlineStr">
        <is>
          <t>TC-FADH-04</t>
        </is>
      </c>
      <c r="B12" s="7" t="inlineStr">
        <is>
          <t>Chặn khi thiếu consent chia sẻ</t>
        </is>
      </c>
      <c r="C12" s="8" t="inlineStr">
        <is>
          <t>DB Supabase local reset sạch; dùng fixture history_data; patient P có health_data; family F liên kết active, sharing=true và family_sharing của P còn hiệu lực. Thu hồi family_sharing của P</t>
        </is>
      </c>
      <c r="D12" s="8" t="inlineStr">
        <is>
          <t>1. Tạo patient/family và lịch 08:00 qua fixture history_data.
2. Gọi GET /adherence?patient_id=P&amp;from=2026-10-19&amp;to=2026-10-19 bằng app session của F.
3. Đối chiếu response, dose_logs và access_logs bằng assertion của test nêu ở Comments.</t>
        </is>
      </c>
      <c r="E12" s="8" t="inlineStr">
        <is>
          <t>case=family_consent; patient_id=P</t>
        </is>
      </c>
      <c r="F12" s="8" t="inlineStr">
        <is>
          <t>403 {detail: khong_co_quyen}; Cache-Control: no-store; có denied và dose_logs không đổi.</t>
        </is>
      </c>
      <c r="G12"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2" s="7" t="inlineStr">
        <is>
          <t>Pass</t>
        </is>
      </c>
      <c r="I12" s="8" t="inlineStr">
        <is>
          <t>PB21 · AC4 · Decision Table (R4) · EP (6) · test_unlinked_missing_consents_sharing_off_admin_denied_and_audited__AC11[family_consent] · evidence/test-contract-history-final.log/xml · Retest evidence/test-p7-integration.log/xml</t>
        </is>
      </c>
      <c r="Q12" s="10" t="inlineStr">
        <is>
          <t>sharing_enabled</t>
        </is>
      </c>
      <c r="R12" s="11" t="inlineStr">
        <is>
          <t>Yes</t>
        </is>
      </c>
      <c r="S12" s="11" t="inlineStr">
        <is>
          <t>Yes</t>
        </is>
      </c>
      <c r="T12" s="11" t="inlineStr">
        <is>
          <t>Yes</t>
        </is>
      </c>
      <c r="U12" s="11" t="inlineStr">
        <is>
          <t>Yes</t>
        </is>
      </c>
      <c r="V12" s="11" t="inlineStr">
        <is>
          <t>No</t>
        </is>
      </c>
    </row>
    <row r="13" ht="156.5" customHeight="1">
      <c r="A13" s="7" t="inlineStr">
        <is>
          <t>TC-FADH-05</t>
        </is>
      </c>
      <c r="B13" s="7" t="inlineStr">
        <is>
          <t>Chặn khi bệnh nhân tắt chia sẻ</t>
        </is>
      </c>
      <c r="C13" s="8" t="inlineStr">
        <is>
          <t>DB Supabase local reset sạch; dùng fixture history_data; patient P có health_data; family F liên kết active, sharing=true và family_sharing của P còn hiệu lực. Đặt sharing_enabled=false</t>
        </is>
      </c>
      <c r="D13" s="8" t="inlineStr">
        <is>
          <t>1. Tạo patient/family và lịch 08:00 qua fixture history_data.
2. Gọi GET /adherence?patient_id=P&amp;from=2026-10-19&amp;to=2026-10-19 bằng app session của F.
3. Đối chiếu response, dose_logs và access_logs bằng assertion của test nêu ở Comments.</t>
        </is>
      </c>
      <c r="E13" s="8" t="inlineStr">
        <is>
          <t>case=sharing_off; patient_id=P</t>
        </is>
      </c>
      <c r="F13" s="8" t="inlineStr">
        <is>
          <t>403 {detail: khong_co_quyen}; Cache-Control: no-store; có denied và dose_logs không đổi.</t>
        </is>
      </c>
      <c r="G13"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3" s="7" t="inlineStr">
        <is>
          <t>Pass</t>
        </is>
      </c>
      <c r="I13" s="8" t="inlineStr">
        <is>
          <t>PB21 · AC4 · Decision Table (R5) · EP (7) · test_unlinked_missing_consents_sharing_off_admin_denied_and_audited__AC11[sharing_off] · evidence/test-contract-history-final.log/xml · Retest evidence/test-p7-integration.log/xml</t>
        </is>
      </c>
      <c r="Q13" s="6" t="inlineStr">
        <is>
          <t>Action</t>
        </is>
      </c>
      <c r="R13" s="5" t="inlineStr">
        <is>
          <t>R1</t>
        </is>
      </c>
      <c r="S13" s="5" t="inlineStr">
        <is>
          <t>R2</t>
        </is>
      </c>
      <c r="T13" s="5" t="inlineStr">
        <is>
          <t>R3</t>
        </is>
      </c>
      <c r="U13" s="5" t="inlineStr">
        <is>
          <t>R4</t>
        </is>
      </c>
      <c r="V13" s="5" t="inlineStr">
        <is>
          <t>R5</t>
        </is>
      </c>
    </row>
    <row r="14" ht="189.5" customHeight="1">
      <c r="A14" s="7" t="inlineStr">
        <is>
          <t>TC-FADH-06</t>
        </is>
      </c>
      <c r="B14" s="7" t="inlineStr">
        <is>
          <t>Chặn sửa patient_id sang bệnh nhân khác</t>
        </is>
      </c>
      <c r="C14" s="8" t="inlineStr">
        <is>
          <t>DB Supabase local reset sạch; dùng fixture history_data; patient P có health_data; family F liên kết active, sharing=true và family_sharing của P còn hiệu lực. Thêm patient Q không liên kết với F.</t>
        </is>
      </c>
      <c r="D14" s="8" t="inlineStr">
        <is>
          <t>1. Dựng P có liều; family F liên kết active, sharing bật và hai consent của P còn hiệu lực; tạo patient Q không liên kết với F.
2. GET /adherence?patient_id=P bằng token F, kiểm 200 và allowed của P theo contract chuẩn.
3. Giữ nguyên token F, sửa query thành patient_id=Q rồi GET /adherence.
4. Kiểm request Q trả 403 {detail: khong_co_quyen}, không có dữ liệu P/Q; access_logs Q có denied actor F; P chỉ có allowed từ request đầu.</t>
        </is>
      </c>
      <c r="E14" s="8" t="inlineStr">
        <is>
          <t>patient_id=Q</t>
        </is>
      </c>
      <c r="F14" s="8" t="inlineStr">
        <is>
          <t>403; denied cho Q; không trả dữ liệu Q; request P trước đó có allowed.</t>
        </is>
      </c>
      <c r="G14"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4" s="7" t="inlineStr">
        <is>
          <t>Pass</t>
        </is>
      </c>
      <c r="I14" s="8" t="inlineStr">
        <is>
          <t>PB21 · AC4 · EP (4) · kiểm truy cập chéo · test_family_patient_selector_tamper · evidence/test-contract-history-final.log/xml · Retest evidence/test-p7-integration.log/xml</t>
        </is>
      </c>
      <c r="Q14" s="10" t="inlineStr">
        <is>
          <t>200 + allowed</t>
        </is>
      </c>
      <c r="R14" s="11" t="inlineStr">
        <is>
          <t>X</t>
        </is>
      </c>
      <c r="S14" s="11" t="inlineStr"/>
      <c r="T14" s="11" t="inlineStr"/>
      <c r="U14" s="11" t="inlineStr"/>
      <c r="V14" s="11" t="inlineStr"/>
    </row>
    <row r="15" ht="156.5" customHeight="1">
      <c r="A15" s="7" t="inlineStr">
        <is>
          <t>TC-FADH-07</t>
        </is>
      </c>
      <c r="B15" s="7" t="inlineStr">
        <is>
          <t>Mất quyền ngay sau thay đổi health_consent</t>
        </is>
      </c>
      <c r="C15" s="8" t="inlineStr">
        <is>
          <t>DB Supabase local reset sạch; dùng fixture history_data; patient P có health_data; family F liên kết active, sharing=true và family_sharing của P còn hiệu lực.</t>
        </is>
      </c>
      <c r="D15" s="8" t="inlineStr">
        <is>
          <t>1. Tạo patient/family và lịch 08:00 qua fixture history_data.
2. Gọi GET /adherence?patient_id=P&amp;from=2026-10-19&amp;to=2026-10-19 bằng app session của F.
3. Giữ nguyên token; thực hiện health_consent.
4. Gửi GET /adherence ngay bằng cùng token và kiểm denied.</t>
        </is>
      </c>
      <c r="E15" s="8" t="inlineStr">
        <is>
          <t>change=health_consent; cùng bearer session</t>
        </is>
      </c>
      <c r="F15" s="8" t="inlineStr">
        <is>
          <t>Request đầu 200, request kế tiếp 403 {detail: khong_co_quyen}; audit lần lượt allowed, denied.</t>
        </is>
      </c>
      <c r="G15"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5" s="7" t="inlineStr">
        <is>
          <t>Pass</t>
        </is>
      </c>
      <c r="I15" s="8" t="inlineStr">
        <is>
          <t>PB21 · AC5 · Chuyển trạng thái (allowed → denied) · test_revoke_sharing_off_unlink_denies_immediate_next_request_same_token__AC12[health_consent] · evidence/test-contract-history-final.log/xml · Retest evidence/test-p7-integration.log/xml</t>
        </is>
      </c>
      <c r="Q15" s="10" t="inlineStr">
        <is>
          <t>403 + denied</t>
        </is>
      </c>
      <c r="R15" s="11" t="inlineStr"/>
      <c r="S15" s="11" t="inlineStr">
        <is>
          <t>X</t>
        </is>
      </c>
      <c r="T15" s="11" t="inlineStr">
        <is>
          <t>X</t>
        </is>
      </c>
      <c r="U15" s="11" t="inlineStr">
        <is>
          <t>X</t>
        </is>
      </c>
      <c r="V15" s="11" t="inlineStr">
        <is>
          <t>X</t>
        </is>
      </c>
    </row>
    <row r="16" ht="156.5" customHeight="1">
      <c r="A16" s="7" t="inlineStr">
        <is>
          <t>TC-FADH-08</t>
        </is>
      </c>
      <c r="B16" s="7" t="inlineStr">
        <is>
          <t>Mất quyền ngay sau thay đổi family_consent</t>
        </is>
      </c>
      <c r="C16" s="8" t="inlineStr">
        <is>
          <t>DB Supabase local reset sạch; dùng fixture history_data; patient P có health_data; family F liên kết active, sharing=true và family_sharing của P còn hiệu lực.</t>
        </is>
      </c>
      <c r="D16" s="8" t="inlineStr">
        <is>
          <t>1. Tạo patient/family và lịch 08:00 qua fixture history_data.
2. Gọi GET /adherence?patient_id=P&amp;from=2026-10-19&amp;to=2026-10-19 bằng app session của F.
3. Giữ nguyên token; thực hiện family_consent.
4. Gửi GET /adherence ngay bằng cùng token và kiểm denied.</t>
        </is>
      </c>
      <c r="E16" s="8" t="inlineStr">
        <is>
          <t>change=family_consent; cùng bearer session</t>
        </is>
      </c>
      <c r="F16" s="8" t="inlineStr">
        <is>
          <t>Request đầu 200, request kế tiếp 403 {detail: khong_co_quyen}; audit lần lượt allowed, denied.</t>
        </is>
      </c>
      <c r="G16"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6" s="7" t="inlineStr">
        <is>
          <t>Pass</t>
        </is>
      </c>
      <c r="I16" s="8" t="inlineStr">
        <is>
          <t>PB21 · AC5 · Chuyển trạng thái (allowed → denied) · test_revoke_sharing_off_unlink_denies_immediate_next_request_same_token__AC12[family_consent] · evidence/test-contract-history-final.log/xml · Retest evidence/test-p7-integration.log/xml</t>
        </is>
      </c>
    </row>
    <row r="17" ht="156.5" customHeight="1">
      <c r="A17" s="7" t="inlineStr">
        <is>
          <t>TC-FADH-09</t>
        </is>
      </c>
      <c r="B17" s="7" t="inlineStr">
        <is>
          <t>Mất quyền ngay sau thay đổi sharing_off</t>
        </is>
      </c>
      <c r="C17" s="8" t="inlineStr">
        <is>
          <t>DB Supabase local reset sạch; dùng fixture history_data; patient P có health_data; family F liên kết active, sharing=true và family_sharing của P còn hiệu lực.</t>
        </is>
      </c>
      <c r="D17" s="8" t="inlineStr">
        <is>
          <t>1. Tạo patient/family và lịch 08:00 qua fixture history_data.
2. Gọi GET /adherence?patient_id=P&amp;from=2026-10-19&amp;to=2026-10-19 bằng app session của F.
3. Giữ nguyên token; thực hiện sharing_off.
4. Gửi GET /adherence ngay bằng cùng token và kiểm denied.</t>
        </is>
      </c>
      <c r="E17" s="8" t="inlineStr">
        <is>
          <t>change=sharing_off; cùng bearer session</t>
        </is>
      </c>
      <c r="F17" s="8" t="inlineStr">
        <is>
          <t>Request đầu 200, request kế tiếp 403 {detail: khong_co_quyen}; audit lần lượt allowed, denied.</t>
        </is>
      </c>
      <c r="G17"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7" s="7" t="inlineStr">
        <is>
          <t>Pass</t>
        </is>
      </c>
      <c r="I17" s="8" t="inlineStr">
        <is>
          <t>PB21 · AC5 · Chuyển trạng thái (allowed → denied) · test_revoke_sharing_off_unlink_denies_immediate_next_request_same_token__AC12[sharing_off] · evidence/test-contract-history-final.log/xml · Retest evidence/test-p7-integration.log/xml</t>
        </is>
      </c>
    </row>
    <row r="18" ht="156.5" customHeight="1">
      <c r="A18" s="7" t="inlineStr">
        <is>
          <t>TC-FADH-10</t>
        </is>
      </c>
      <c r="B18" s="7" t="inlineStr">
        <is>
          <t>Mất quyền ngay sau thay đổi unlink</t>
        </is>
      </c>
      <c r="C18" s="8" t="inlineStr">
        <is>
          <t>DB Supabase local reset sạch; dùng fixture history_data; patient P có health_data; family F liên kết active, sharing=true và family_sharing của P còn hiệu lực.</t>
        </is>
      </c>
      <c r="D18" s="8" t="inlineStr">
        <is>
          <t>1. Tạo patient/family và lịch 08:00 qua fixture history_data.
2. Gọi GET /adherence?patient_id=P&amp;from=2026-10-19&amp;to=2026-10-19 bằng app session của F.
3. Giữ nguyên token; thực hiện unlink.
4. Gửi GET /adherence ngay bằng cùng token và kiểm denied.</t>
        </is>
      </c>
      <c r="E18" s="8" t="inlineStr">
        <is>
          <t>change=unlink; cùng bearer session</t>
        </is>
      </c>
      <c r="F18" s="8" t="inlineStr">
        <is>
          <t>Request đầu 200, request kế tiếp 403 {detail: khong_co_quyen}; audit lần lượt allowed, denied.</t>
        </is>
      </c>
      <c r="G18"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8" s="7" t="inlineStr">
        <is>
          <t>Pass</t>
        </is>
      </c>
      <c r="I18" s="8" t="inlineStr">
        <is>
          <t>PB21 · AC5 · Chuyển trạng thái (allowed → denied) · test_revoke_sharing_off_unlink_denies_immediate_next_request_same_token__AC12[unlink] · evidence/test-contract-history-final.log/xml · Retest evidence/test-p7-integration.log/xml</t>
        </is>
      </c>
    </row>
    <row r="19" ht="156.5" customHeight="1">
      <c r="A19" s="7" t="inlineStr">
        <is>
          <t>TC-FADH-11</t>
        </is>
      </c>
      <c r="B19" s="7" t="inlineStr">
        <is>
          <t>Chặn lịch sử khi lỗi allowed_insert</t>
        </is>
      </c>
      <c r="C19" s="8" t="inlineStr">
        <is>
          <t>DB Supabase local reset sạch; dùng fixture history_data; patient P có health_data; family F liên kết active, sharing=true và family_sharing của P còn hiệu lực.</t>
        </is>
      </c>
      <c r="D19" s="8" t="inlineStr">
        <is>
          <t>1. Tạo patient/family và lịch 08:00 qua fixture history_data.
2. Gắn fault injection allowed_insert theo test access.
3. GET /adherence, kiểm status/body, log, SQL history read và snapshot DB.</t>
        </is>
      </c>
      <c r="E19" s="8" t="inlineStr">
        <is>
          <t>failure=allowed_insert</t>
        </is>
      </c>
      <c r="F19" s="8" t="inlineStr">
        <is>
          <t>500 {detail: Internal server error}; no-store; không trả dữ liệu sức khỏe; không thay dose_logs; lỗi quyền/audit trước đọc thì không SELECT lịch sử.</t>
        </is>
      </c>
      <c r="G1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9" s="7" t="inlineStr">
        <is>
          <t>Pass</t>
        </is>
      </c>
      <c r="I19" s="8" t="inlineStr">
        <is>
          <t>PB21 · AC7 · Đoán lỗi (fail-closed) · test_audit_permission_and_commit_failure_fail_closed_without_health__AC13[allowed_insert] · evidence/test-contract-history-final.log/xml · Retest evidence/test-p7-integration.log/xml</t>
        </is>
      </c>
    </row>
    <row r="20" ht="156.5" customHeight="1">
      <c r="A20" s="7" t="inlineStr">
        <is>
          <t>TC-FADH-12</t>
        </is>
      </c>
      <c r="B20" s="7" t="inlineStr">
        <is>
          <t>Chặn lịch sử khi lỗi commit</t>
        </is>
      </c>
      <c r="C20" s="8" t="inlineStr">
        <is>
          <t>DB Supabase local reset sạch; dùng fixture history_data; patient P có health_data; family F liên kết active, sharing=true và family_sharing của P còn hiệu lực.</t>
        </is>
      </c>
      <c r="D20" s="8" t="inlineStr">
        <is>
          <t>1. Tạo patient/family và lịch 08:00 qua fixture history_data.
2. Gắn fault injection commit theo test access.
3. GET /adherence, kiểm status/body, log, SQL history read và snapshot DB.</t>
        </is>
      </c>
      <c r="E20" s="8" t="inlineStr">
        <is>
          <t>failure=commit</t>
        </is>
      </c>
      <c r="F20" s="8" t="inlineStr">
        <is>
          <t>500 {detail: Internal server error}; no-store; không trả dữ liệu sức khỏe; không thay dose_logs; lỗi quyền/audit trước đọc thì không SELECT lịch sử.</t>
        </is>
      </c>
      <c r="G20"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0" s="7" t="inlineStr">
        <is>
          <t>Pass</t>
        </is>
      </c>
      <c r="I20" s="8" t="inlineStr">
        <is>
          <t>PB21 · AC7 · Đoán lỗi (fail-closed) · test_audit_permission_and_commit_failure_fail_closed_without_health__AC13[commit] · evidence/test-contract-history-final.log/xml · Retest evidence/test-p7-integration.log/xml</t>
        </is>
      </c>
    </row>
    <row r="21" ht="156.5" customHeight="1">
      <c r="A21" s="7" t="inlineStr">
        <is>
          <t>TC-FADH-13</t>
        </is>
      </c>
      <c r="B21" s="7" t="inlineStr">
        <is>
          <t>Chặn lịch sử khi lỗi denied_insert</t>
        </is>
      </c>
      <c r="C21" s="8" t="inlineStr">
        <is>
          <t>DB Supabase local reset sạch; dùng fixture history_data; patient P có health_data; family F liên kết active, sharing=true và family_sharing của P còn hiệu lực.</t>
        </is>
      </c>
      <c r="D21" s="8" t="inlineStr">
        <is>
          <t>1. Tạo patient/family và lịch 08:00 qua fixture history_data.
2. Gắn fault injection denied_insert theo test access.
3. GET /adherence, kiểm status/body, log, SQL history read và snapshot DB.</t>
        </is>
      </c>
      <c r="E21" s="8" t="inlineStr">
        <is>
          <t>failure=denied_insert</t>
        </is>
      </c>
      <c r="F21" s="8" t="inlineStr">
        <is>
          <t>500 {detail: Internal server error}; no-store; không trả dữ liệu sức khỏe; không thay dose_logs; lỗi quyền/audit trước đọc thì không SELECT lịch sử.</t>
        </is>
      </c>
      <c r="G2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1" s="7" t="inlineStr">
        <is>
          <t>Pass</t>
        </is>
      </c>
      <c r="I21" s="8" t="inlineStr">
        <is>
          <t>PB21 · AC7 · Đoán lỗi (fail-closed) · test_audit_permission_and_commit_failure_fail_closed_without_health__AC13[denied_insert] · evidence/test-contract-history-final.log/xml · Retest evidence/test-p7-integration.log/xml</t>
        </is>
      </c>
    </row>
    <row r="22" ht="156.5" customHeight="1">
      <c r="A22" s="7" t="inlineStr">
        <is>
          <t>TC-FADH-14</t>
        </is>
      </c>
      <c r="B22" s="7" t="inlineStr">
        <is>
          <t>Chặn lịch sử khi lỗi permission_read</t>
        </is>
      </c>
      <c r="C22" s="8" t="inlineStr">
        <is>
          <t>DB Supabase local reset sạch; dùng fixture history_data; patient P có health_data; family F liên kết active, sharing=true và family_sharing của P còn hiệu lực.</t>
        </is>
      </c>
      <c r="D22" s="8" t="inlineStr">
        <is>
          <t>1. Tạo patient/family và lịch 08:00 qua fixture history_data.
2. Gắn fault injection permission_read theo test access.
3. GET /adherence, kiểm status/body, log, SQL history read và snapshot DB.</t>
        </is>
      </c>
      <c r="E22" s="8" t="inlineStr">
        <is>
          <t>failure=permission_read</t>
        </is>
      </c>
      <c r="F22" s="8" t="inlineStr">
        <is>
          <t>500 {detail: Internal server error}; no-store; không trả dữ liệu sức khỏe; không thay dose_logs; lỗi quyền/audit trước đọc thì không SELECT lịch sử.</t>
        </is>
      </c>
      <c r="G22"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2" s="7" t="inlineStr">
        <is>
          <t>Pass</t>
        </is>
      </c>
      <c r="I22" s="8" t="inlineStr">
        <is>
          <t>PB21 · AC7 · Đoán lỗi (fail-closed) · test_audit_permission_and_commit_failure_fail_closed_without_health__AC13[permission_read] · evidence/test-contract-history-final.log/xml · Retest evidence/test-p7-integration.log/xml</t>
        </is>
      </c>
    </row>
    <row r="23" ht="156.5" customHeight="1">
      <c r="A23" s="7" t="inlineStr">
        <is>
          <t>TC-FADH-15</t>
        </is>
      </c>
      <c r="B23" s="7" t="inlineStr">
        <is>
          <t>Giữ denied audit sau rollback nghiệp vụ</t>
        </is>
      </c>
      <c r="C23" s="8" t="inlineStr">
        <is>
          <t>DB Supabase local reset sạch; dùng fixture history_data; patient P có health_data; family F liên kết active, sharing=true và family_sharing của P còn hiệu lực. Thu hồi health_data.</t>
        </is>
      </c>
      <c r="D23" s="8" t="inlineStr">
        <is>
          <t>1. Gắn context theo dõi rollback như test.
2. GET /adherence bằng patient P.
3. Sau rollback đọc access_logs bằng kết nối DB riêng.</t>
        </is>
      </c>
      <c r="E23" s="8" t="inlineStr">
        <is>
          <t>health_data=thu_hoi</t>
        </is>
      </c>
      <c r="F23" s="8" t="inlineStr">
        <is>
          <t>403; outer transaction đã rollback; denied consent_revoked còn bền.</t>
        </is>
      </c>
      <c r="G23"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3" s="7" t="inlineStr">
        <is>
          <t>Pass</t>
        </is>
      </c>
      <c r="I23" s="8" t="inlineStr">
        <is>
          <t>PB21 · AC7 · Đoán lỗi (rollback) · test_denied_audit_survives_outer_transaction_rollback · evidence/test-contract-history-final.log/xml · Retest evidence/test-p7-integration.log/xml</t>
        </is>
      </c>
    </row>
    <row r="24" ht="156.5" customHeight="1">
      <c r="A24" s="7" t="inlineStr">
        <is>
          <t>TC-FADH-16</t>
        </is>
      </c>
      <c r="B24" s="7" t="inlineStr">
        <is>
          <t>Từ chối phiên missing</t>
        </is>
      </c>
      <c r="C24" s="8" t="inlineStr">
        <is>
          <t>DB Supabase local reset sạch; dùng fixture history_data; patient P có health_data; family F liên kết active, sharing=true và family_sharing của P còn hiệu lực.</t>
        </is>
      </c>
      <c r="D24" s="8" t="inlineStr">
        <is>
          <t>1. Chuẩn bị auth theo kind của test (không in token).
2. GET /adherence.
3. Kiểm 401, no-store, body chỉ có detail và không ghi allowed.</t>
        </is>
      </c>
      <c r="E24" s="8" t="inlineStr">
        <is>
          <t>kind=missing</t>
        </is>
      </c>
      <c r="F24" s="8" t="inlineStr">
        <is>
          <t>401; no-store; không trả dữ liệu sức khỏe; không có access_logs.</t>
        </is>
      </c>
      <c r="G24"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4" s="7" t="inlineStr">
        <is>
          <t>Pass</t>
        </is>
      </c>
      <c r="I24" s="8" t="inlineStr">
        <is>
          <t>PB21 · AC4 · Đoán lỗi (xác thực) · test_authentication_401_and_no_store_without_health_payload__AC14[missing] · evidence/test-contract-history-final.log/xml · Retest evidence/test-p7-integration.log/xml</t>
        </is>
      </c>
    </row>
    <row r="25" ht="156.5" customHeight="1">
      <c r="A25" s="7" t="inlineStr">
        <is>
          <t>TC-FADH-17</t>
        </is>
      </c>
      <c r="B25" s="7" t="inlineStr">
        <is>
          <t>Từ chối phiên invalid</t>
        </is>
      </c>
      <c r="C25" s="8" t="inlineStr">
        <is>
          <t>DB Supabase local reset sạch; dùng fixture history_data; patient P có health_data; family F liên kết active, sharing=true và family_sharing của P còn hiệu lực.</t>
        </is>
      </c>
      <c r="D25" s="8" t="inlineStr">
        <is>
          <t>1. Chuẩn bị auth theo kind của test (không in token).
2. GET /adherence.
3. Kiểm 401, no-store, body chỉ có detail và không ghi allowed.</t>
        </is>
      </c>
      <c r="E25" s="8" t="inlineStr">
        <is>
          <t>kind=invalid</t>
        </is>
      </c>
      <c r="F25" s="8" t="inlineStr">
        <is>
          <t>401; no-store; không trả dữ liệu sức khỏe; không có access_logs.</t>
        </is>
      </c>
      <c r="G25"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5" s="7" t="inlineStr">
        <is>
          <t>Pass</t>
        </is>
      </c>
      <c r="I25" s="8" t="inlineStr">
        <is>
          <t>PB21 · AC4 · Đoán lỗi (xác thực) · test_authentication_401_and_no_store_without_health_payload__AC14[invalid] · evidence/test-contract-history-final.log/xml · Retest evidence/test-p7-integration.log/xml</t>
        </is>
      </c>
    </row>
    <row r="26" ht="156.5" customHeight="1">
      <c r="A26" s="7" t="inlineStr">
        <is>
          <t>TC-FADH-18</t>
        </is>
      </c>
      <c r="B26" s="7" t="inlineStr">
        <is>
          <t>Từ chối phiên expired</t>
        </is>
      </c>
      <c r="C26" s="8" t="inlineStr">
        <is>
          <t>DB Supabase local reset sạch; dùng fixture history_data; patient P có health_data; family F liên kết active, sharing=true và family_sharing của P còn hiệu lực.</t>
        </is>
      </c>
      <c r="D26" s="8" t="inlineStr">
        <is>
          <t>1. Chuẩn bị auth theo kind của test (không in token).
2. GET /adherence.
3. Kiểm 401, no-store, body chỉ có detail và không ghi allowed.</t>
        </is>
      </c>
      <c r="E26" s="8" t="inlineStr">
        <is>
          <t>kind=expired</t>
        </is>
      </c>
      <c r="F26" s="8" t="inlineStr">
        <is>
          <t>401; no-store; không trả dữ liệu sức khỏe; không có access_logs.</t>
        </is>
      </c>
      <c r="G26"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6" s="7" t="inlineStr">
        <is>
          <t>Pass</t>
        </is>
      </c>
      <c r="I26" s="8" t="inlineStr">
        <is>
          <t>PB21 · AC4 · Đoán lỗi (xác thực) · test_authentication_401_and_no_store_without_health_payload__AC14[expired] · evidence/test-contract-history-final.log/xml · Retest evidence/test-p7-integration.log/xml</t>
        </is>
      </c>
    </row>
    <row r="27" ht="156.5" customHeight="1">
      <c r="A27" s="7" t="inlineStr">
        <is>
          <t>TC-FADH-19</t>
        </is>
      </c>
      <c r="B27" s="7" t="inlineStr">
        <is>
          <t>Từ chối phiên erased</t>
        </is>
      </c>
      <c r="C27" s="8" t="inlineStr">
        <is>
          <t>DB Supabase local reset sạch; dùng fixture history_data; patient P có health_data; family F liên kết active, sharing=true và family_sharing của P còn hiệu lực.</t>
        </is>
      </c>
      <c r="D27" s="8" t="inlineStr">
        <is>
          <t>1. Chuẩn bị auth theo kind của test (không in token).
2. GET /adherence.
3. Kiểm 401, no-store, body chỉ có detail và không ghi allowed.</t>
        </is>
      </c>
      <c r="E27" s="8" t="inlineStr">
        <is>
          <t>kind=erased</t>
        </is>
      </c>
      <c r="F27" s="8" t="inlineStr">
        <is>
          <t>401; no-store; không trả dữ liệu sức khỏe; không có access_logs.</t>
        </is>
      </c>
      <c r="G27"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7" s="7" t="inlineStr">
        <is>
          <t>Pass</t>
        </is>
      </c>
      <c r="I27" s="8" t="inlineStr">
        <is>
          <t>PB21 · AC4 · Đoán lỗi (xác thực) · test_authentication_401_and_no_store_without_health_payload__AC14[erased] · evidence/test-contract-history-final.log/xml · Retest evidence/test-p7-integration.log/xml</t>
        </is>
      </c>
    </row>
    <row r="28" ht="173" customHeight="1">
      <c r="A28" s="7" t="inlineStr">
        <is>
          <t>TC-FADH-20</t>
        </is>
      </c>
      <c r="B28" s="7" t="inlineStr">
        <is>
          <t>Tính ngay xác nhận tại -30 phút</t>
        </is>
      </c>
      <c r="C28" s="8" t="inlineStr">
        <is>
          <t>Unit application: access Mock cho phép, reader trả một HistoryRow; chưa chứng minh PEP/DB.</t>
        </is>
      </c>
      <c r="D28" s="8" t="inlineStr">
        <is>
          <t>1. Chạy test tại backend/tests/unit/test_get_adherence_history.py với delay0, cả group_by=date và medication.
2. Quan sát ở đúng taken_at; kiểm summary, nhóm và một dose.</t>
        </is>
      </c>
      <c r="E28" s="8" t="inlineStr">
        <is>
          <t>scheduled_at=08:00 +07; delay=-30 phút; status=da_uong</t>
        </is>
      </c>
      <c r="F28" s="8" t="inlineStr">
        <is>
          <t>total=1, counted=1, rate=100.00; taken/late đúng trạng thái; đúng một liều ngay khi xác nhận.</t>
        </is>
      </c>
      <c r="G28" s="8" t="inlineStr">
        <is>
          <t>Hai ca unit và hai ca family API/DB (date/medication) Fail: xác nhận -30 được nhận, dose_log tồn tại và audit allowed nhưng lịch sử total/taken/counted=0, rate=null thay vì 1/100. Lượt P7 chạy lại toàn backend integration: nhóm history API/PEP 66 Pass/2 Fail, TC20 vẫn Fail ở hai grouping; các ca khác trong nhóm này giữ kết quả. evidence/test-p7-integration.log/xml.</t>
        </is>
      </c>
      <c r="H28" s="7" t="inlineStr">
        <is>
          <t>Fail</t>
        </is>
      </c>
      <c r="I28" s="8" t="inlineStr">
        <is>
          <t>PB21 · AC2,AC3 · BVA (-30 phút) · EP (2) · test_confirmed_before_deadline_counts_immediately__AC3[delay0- · evidence/test-contract-unit.log/xml · test_family_early_confirmation_counts_immediately__AC3 · evidence/test-contract-history-final.log/xml · Retest evidence/test-p7-integration.log/xml</t>
        </is>
      </c>
    </row>
    <row r="29" ht="90.5" customHeight="1">
      <c r="A29" s="7" t="inlineStr">
        <is>
          <t>TC-FADH-21</t>
        </is>
      </c>
      <c r="B29" s="7" t="inlineStr">
        <is>
          <t>Tính ngay xác nhận tại 0 phút</t>
        </is>
      </c>
      <c r="C29" s="8" t="inlineStr">
        <is>
          <t>Unit application: access Mock cho phép, reader trả một HistoryRow; chưa chứng minh PEP/DB.</t>
        </is>
      </c>
      <c r="D29" s="8" t="inlineStr">
        <is>
          <t>1. Chạy test tại backend/tests/unit/test_get_adherence_history.py với delay1, cả group_by=date và medication.
2. Quan sát ở đúng taken_at; kiểm summary, nhóm và một dose.</t>
        </is>
      </c>
      <c r="E29" s="8" t="inlineStr">
        <is>
          <t>scheduled_at=08:00 +07; delay=0 phút; status=da_uong</t>
        </is>
      </c>
      <c r="F29" s="8" t="inlineStr">
        <is>
          <t>total=1, counted=1, rate=100.00; taken/late đúng trạng thái; đúng một liều ngay khi xác nhận.</t>
        </is>
      </c>
      <c r="G29" s="8" t="inlineStr">
        <is>
          <t>2 ca Pass trong lần chạy sau khôi phục contract, 25/10/2026. Unit; chưa thay bằng chứng API/DB.</t>
        </is>
      </c>
      <c r="H29" s="7" t="inlineStr">
        <is>
          <t>Pass</t>
        </is>
      </c>
      <c r="I29" s="8" t="inlineStr">
        <is>
          <t>PB21 · AC2,AC3 · BVA (0 phút) · EP (2) · test_confirmed_before_deadline_counts_immediately__AC3[delay1- · evidence/test-contract-unit.log/xml</t>
        </is>
      </c>
    </row>
    <row r="30" ht="90.5" customHeight="1">
      <c r="A30" s="7" t="inlineStr">
        <is>
          <t>TC-FADH-22</t>
        </is>
      </c>
      <c r="B30" s="7" t="inlineStr">
        <is>
          <t>Tính ngay xác nhận tại +30 phút</t>
        </is>
      </c>
      <c r="C30" s="8" t="inlineStr">
        <is>
          <t>Unit application: access Mock cho phép, reader trả một HistoryRow; chưa chứng minh PEP/DB.</t>
        </is>
      </c>
      <c r="D30" s="8" t="inlineStr">
        <is>
          <t>1. Chạy test tại backend/tests/unit/test_get_adherence_history.py với delay2, cả group_by=date và medication.
2. Quan sát ở đúng taken_at; kiểm summary, nhóm và một dose.</t>
        </is>
      </c>
      <c r="E30" s="8" t="inlineStr">
        <is>
          <t>scheduled_at=08:00 +07; delay=+30 phút; status=da_uong</t>
        </is>
      </c>
      <c r="F30" s="8" t="inlineStr">
        <is>
          <t>total=1, counted=1, rate=100.00; taken/late đúng trạng thái; đúng một liều ngay khi xác nhận.</t>
        </is>
      </c>
      <c r="G30" s="8" t="inlineStr">
        <is>
          <t>2 ca Pass trong lần chạy sau khôi phục contract, 25/10/2026. Unit; chưa thay bằng chứng API/DB.</t>
        </is>
      </c>
      <c r="H30" s="7" t="inlineStr">
        <is>
          <t>Pass</t>
        </is>
      </c>
      <c r="I30" s="8" t="inlineStr">
        <is>
          <t>PB21 · AC2,AC3 · BVA (+30 phút) · EP (2) · test_confirmed_before_deadline_counts_immediately__AC3[delay2- · evidence/test-contract-unit.log/xml</t>
        </is>
      </c>
    </row>
    <row r="31" ht="90.5" customHeight="1">
      <c r="A31" s="7" t="inlineStr">
        <is>
          <t>TC-FADH-23</t>
        </is>
      </c>
      <c r="B31" s="7" t="inlineStr">
        <is>
          <t>Tính ngay xác nhận tại +30 phút +1µs</t>
        </is>
      </c>
      <c r="C31" s="8" t="inlineStr">
        <is>
          <t>Unit application: access Mock cho phép, reader trả một HistoryRow; chưa chứng minh PEP/DB.</t>
        </is>
      </c>
      <c r="D31" s="8" t="inlineStr">
        <is>
          <t>1. Chạy test tại backend/tests/unit/test_get_adherence_history.py với delay3, cả group_by=date và medication.
2. Quan sát ở đúng taken_at; kiểm summary, nhóm và một dose.</t>
        </is>
      </c>
      <c r="E31" s="8" t="inlineStr">
        <is>
          <t>scheduled_at=08:00 +07; delay=+30 phút +1µs; status=uong_tre</t>
        </is>
      </c>
      <c r="F31" s="8" t="inlineStr">
        <is>
          <t>total=1, counted=1, rate=100.00; taken/late đúng trạng thái; đúng một liều ngay khi xác nhận.</t>
        </is>
      </c>
      <c r="G31" s="8" t="inlineStr">
        <is>
          <t>2 ca Pass trong lần chạy sau khôi phục contract, 25/10/2026. Unit; chưa thay bằng chứng API/DB.</t>
        </is>
      </c>
      <c r="H31" s="7" t="inlineStr">
        <is>
          <t>Pass</t>
        </is>
      </c>
      <c r="I31" s="8" t="inlineStr">
        <is>
          <t>PB21 · AC2,AC3 · BVA (+30 phút +1µs) · EP (2) · test_confirmed_before_deadline_counts_immediately__AC3[delay3- · evidence/test-contract-unit.log/xml</t>
        </is>
      </c>
    </row>
    <row r="32" ht="90.5" customHeight="1">
      <c r="A32" s="7" t="inlineStr">
        <is>
          <t>TC-FADH-24</t>
        </is>
      </c>
      <c r="B32" s="7" t="inlineStr">
        <is>
          <t>Tính ngay xác nhận tại +119 phút 59 giây</t>
        </is>
      </c>
      <c r="C32" s="8" t="inlineStr">
        <is>
          <t>Unit application: access Mock cho phép, reader trả một HistoryRow; chưa chứng minh PEP/DB.</t>
        </is>
      </c>
      <c r="D32" s="8" t="inlineStr">
        <is>
          <t>1. Chạy test tại backend/tests/unit/test_get_adherence_history.py với delay4, cả group_by=date và medication.
2. Quan sát ở đúng taken_at; kiểm summary, nhóm và một dose.</t>
        </is>
      </c>
      <c r="E32" s="8" t="inlineStr">
        <is>
          <t>scheduled_at=08:00 +07; delay=+119 phút 59 giây; status=uong_tre</t>
        </is>
      </c>
      <c r="F32" s="8" t="inlineStr">
        <is>
          <t>total=1, counted=1, rate=100.00; taken/late đúng trạng thái; đúng một liều ngay khi xác nhận.</t>
        </is>
      </c>
      <c r="G32" s="8" t="inlineStr">
        <is>
          <t>2 ca Pass trong lần chạy sau khôi phục contract, 25/10/2026. Unit; chưa thay bằng chứng API/DB.</t>
        </is>
      </c>
      <c r="H32" s="7" t="inlineStr">
        <is>
          <t>Pass</t>
        </is>
      </c>
      <c r="I32" s="8" t="inlineStr">
        <is>
          <t>PB21 · AC2,AC3 · BVA (+119 phút 59 giây) · EP (2) · test_confirmed_before_deadline_counts_immediately__AC3[delay4- · evidence/test-contract-unit.log/xml</t>
        </is>
      </c>
    </row>
    <row r="33" ht="90.5" customHeight="1">
      <c r="A33" s="7" t="inlineStr">
        <is>
          <t>TC-FADH-25</t>
        </is>
      </c>
      <c r="B33" s="7" t="inlineStr">
        <is>
          <t>Tính ngay xác nhận tại +120 phút</t>
        </is>
      </c>
      <c r="C33" s="8" t="inlineStr">
        <is>
          <t>Unit application: access Mock cho phép, reader trả một HistoryRow; chưa chứng minh PEP/DB.</t>
        </is>
      </c>
      <c r="D33" s="8" t="inlineStr">
        <is>
          <t>1. Chạy test tại backend/tests/unit/test_get_adherence_history.py với delay5, cả group_by=date và medication.
2. Quan sát ở đúng taken_at; kiểm summary, nhóm và một dose.</t>
        </is>
      </c>
      <c r="E33" s="8" t="inlineStr">
        <is>
          <t>scheduled_at=08:00 +07; delay=+120 phút; status=uong_tre</t>
        </is>
      </c>
      <c r="F33" s="8" t="inlineStr">
        <is>
          <t>total=1, counted=1, rate=100.00; taken/late đúng trạng thái; đúng một liều ngay khi xác nhận.</t>
        </is>
      </c>
      <c r="G33" s="8" t="inlineStr">
        <is>
          <t>2 ca Pass trong lần chạy sau khôi phục contract, 25/10/2026. Unit; chưa thay bằng chứng API/DB.</t>
        </is>
      </c>
      <c r="H33" s="7" t="inlineStr">
        <is>
          <t>Pass</t>
        </is>
      </c>
      <c r="I33" s="8" t="inlineStr">
        <is>
          <t>PB21 · AC2,AC3 · BVA (+120 phút) · EP (2) · test_confirmed_before_deadline_counts_immediately__AC3[delay5- · evidence/test-contract-unit.log/xml</t>
        </is>
      </c>
    </row>
    <row r="34" ht="107" customHeight="1">
      <c r="A34" s="7" t="inlineStr">
        <is>
          <t>TC-FADH-26</t>
        </is>
      </c>
      <c r="B34" s="7" t="inlineStr">
        <is>
          <t>Chuyển pending tại +120 thành missed ngay sau hạn</t>
        </is>
      </c>
      <c r="C34" s="8" t="inlineStr">
        <is>
          <t>Unit: một liều taken và một liều chưa xác nhận; thử cả status=None và bo_lo cũ.</t>
        </is>
      </c>
      <c r="D34" s="8" t="inlineStr">
        <is>
          <t>1. Chạy backend/tests/unit/test_get_adherence_history.py::test_unconfirmed_pending_at_deadline_then_missed__AC3.
2. So summary tại +120 và +120+1µs, hai kiểu nhóm.</t>
        </is>
      </c>
      <c r="E34" s="8" t="inlineStr">
        <is>
          <t>scheduled=08:00; as_of=10:00 và 10:00:00.000001 +07</t>
        </is>
      </c>
      <c r="F34" s="8" t="inlineStr">
        <is>
          <t>Tại hạn pending=1,counted=1,rate=100; sau hạn missed=1,counted=2,rate=50; không nhân đôi liều.</t>
        </is>
      </c>
      <c r="G34" s="8" t="inlineStr">
        <is>
          <t>4 ca Pass trong lần chạy sau khôi phục contract, 25/10/2026. Unit; chưa thay bằng chứng API/DB.</t>
        </is>
      </c>
      <c r="H34" s="7" t="inlineStr">
        <is>
          <t>Pass</t>
        </is>
      </c>
      <c r="I34" s="8" t="inlineStr">
        <is>
          <t>PB21 · AC2,AC3 · BVA (max,max+1) · Chuyển trạng thái (pending → missed) · test_unconfirmed_pending_at_deadline_then_missed__AC3 · evidence/test-contract-unit.log/xml</t>
        </is>
      </c>
    </row>
    <row r="35" ht="90.5" customHeight="1">
      <c r="A35" s="7" t="inlineStr">
        <is>
          <t>TC-FADH-27</t>
        </is>
      </c>
      <c r="B35" s="7" t="inlineStr">
        <is>
          <t>Trả tỷ lệ null khi không có mẫu số</t>
        </is>
      </c>
      <c r="C35" s="8" t="inlineStr">
        <is>
          <t>Unit: không có liều hoặc chỉ có pending.</t>
        </is>
      </c>
      <c r="D35" s="8" t="inlineStr">
        <is>
          <t>1. Chạy backend/tests/unit/test_get_adherence_history.py::test_no_eligible_dose_has_null_rate__AC3.
2. Kiểm date và medication, có/không có pending.</t>
        </is>
      </c>
      <c r="E35" s="8" t="inlineStr">
        <is>
          <t>as_of=10:00 +07; counted=0</t>
        </is>
      </c>
      <c r="F35" s="8" t="inlineStr">
        <is>
          <t>adherence_rate=None; trường hợp rỗng không có nhóm, pending không vào mẫu số.</t>
        </is>
      </c>
      <c r="G35" s="8" t="inlineStr">
        <is>
          <t>4 ca Pass trong lần chạy sau khôi phục contract, 25/10/2026. Unit; chưa thay bằng chứng API/DB.</t>
        </is>
      </c>
      <c r="H35" s="7" t="inlineStr">
        <is>
          <t>Pass</t>
        </is>
      </c>
      <c r="I35" s="8" t="inlineStr">
        <is>
          <t>PB21 · AC3 · EP (3) · test_no_eligible_dose_has_null_rate__AC3 · evidence/test-contract-unit.log/xml</t>
        </is>
      </c>
    </row>
    <row r="36" ht="107" customHeight="1">
      <c r="A36" s="7" t="inlineStr">
        <is>
          <t>TC-FADH-28</t>
        </is>
      </c>
      <c r="B36" s="7" t="inlineStr">
        <is>
          <t>Không tăng tỷ lệ khi thực uống sau hạn</t>
        </is>
      </c>
      <c r="C36" s="8" t="inlineStr">
        <is>
          <t>Unit: tạo DoseConfirmation tại +120+1µs.</t>
        </is>
      </c>
      <c r="D36" s="8" t="inlineStr">
        <is>
          <t>1. Chạy backend/tests/unit/test_get_adherence_history.py::test_after_deadline_confirmation_does_not_raise_rate__AC3.
2. So lịch sử trước và sau xác nhận, cả hai kiểu nhóm.</t>
        </is>
      </c>
      <c r="E36" s="8" t="inlineStr">
        <is>
          <t>taken_at=10:00:00.000001 +07 cho lịch 08:00</t>
        </is>
      </c>
      <c r="F36" s="8" t="inlineStr">
        <is>
          <t>status=bo_lo; counted=1, rate=0.00 trước và sau.</t>
        </is>
      </c>
      <c r="G36" s="8" t="inlineStr">
        <is>
          <t>2 ca Pass trong lần chạy sau khôi phục contract, 25/10/2026. Unit; chưa thay bằng chứng API/DB.</t>
        </is>
      </c>
      <c r="H36" s="7" t="inlineStr">
        <is>
          <t>Pass</t>
        </is>
      </c>
      <c r="I36" s="8" t="inlineStr">
        <is>
          <t>PB21 · AC3 · BVA (max+1) · Chuyển trạng thái (missed không trở thành tuân thủ) · test_after_deadline_confirmation_does_not_raise_rate__AC3 · evidence/test-contract-unit.log/xml</t>
        </is>
      </c>
    </row>
    <row r="37" ht="123.5" customHeight="1">
      <c r="A37" s="7" t="inlineStr">
        <is>
          <t>TC-FADH-29</t>
        </is>
      </c>
      <c r="B37" s="7" t="inlineStr">
        <is>
          <t>Tính xác nhận hợp lệ được đồng bộ sau hạn</t>
        </is>
      </c>
      <c r="C37" s="8" t="inlineStr">
        <is>
          <t>Unit: thực uống +90 nhưng sync +121 phút.</t>
        </is>
      </c>
      <c r="D37" s="8" t="inlineStr">
        <is>
          <t>1. Chạy backend/tests/unit/test_get_adherence_history.py::test_valid_confirmation_synced_after_deadline_still_counts__AC3.
2. Kiểm status, taken_at và tỷ lệ.</t>
        </is>
      </c>
      <c r="E37" s="8" t="inlineStr">
        <is>
          <t>scheduled=08:00; taken=09:30; synced=10:01 +07</t>
        </is>
      </c>
      <c r="F37" s="8" t="inlineStr">
        <is>
          <t>uong_tre; total=late=counted=1, rate=100.00; taken_at=09:30.</t>
        </is>
      </c>
      <c r="G37" s="8" t="inlineStr">
        <is>
          <t>2 ca Pass trong lần chạy sau khôi phục contract, 25/10/2026. Unit; chưa thay bằng chứng API/DB. Lượt P7 chạy lại toàn backend integration: nhóm history API/PEP 66 Pass/2 Fail, TC20 vẫn Fail ở hai grouping; các ca khác trong nhóm này giữ kết quả. evidence/test-p7-integration.log/xml.</t>
        </is>
      </c>
      <c r="H37" s="7" t="inlineStr">
        <is>
          <t>Pass</t>
        </is>
      </c>
      <c r="I37" s="8" t="inlineStr">
        <is>
          <t>PB21 · AC3 · Chuyển trạng thái (đồng bộ muộn) · test_valid_confirmation_synced_after_deadline_still_counts__AC3 · evidence/test-contract-unit.log/xml · Retest evidence/test-p7-integration.log/xml</t>
        </is>
      </c>
    </row>
    <row r="38" ht="156.5" customHeight="1">
      <c r="A38" s="7" t="inlineStr">
        <is>
          <t>TC-FADH-30</t>
        </is>
      </c>
      <c r="B38" s="7" t="inlineStr">
        <is>
          <t>Phân nhóm và tính tỷ lệ 80% trên DB thật</t>
        </is>
      </c>
      <c r="C38" s="8" t="inlineStr">
        <is>
          <t>DB Supabase local reset sạch; dùng fixture history_data; patient P có health_data; family F liên kết active, sharing=true và family_sharing của P còn hiệu lực.</t>
        </is>
      </c>
      <c r="D38" s="8" t="inlineStr">
        <is>
          <t>1. Tạo patient/family và lịch 08:00 qua fixture history_data.
2. Gọi GET /adherence?patient_id=P&amp;from=2026-10-19&amp;to=2026-10-19 bằng app session của F.
3. Đối chiếu response, dose_logs và access_logs bằng assertion của test nêu ở Comments.</t>
        </is>
      </c>
      <c r="E38" s="8" t="inlineStr">
        <is>
          <t>3 taken,1 late,1 missed; hai thuốc trùng tên khác ID</t>
        </is>
      </c>
      <c r="F38" s="8" t="inlineStr">
        <is>
          <t>Hai kiểu nhóm có tổng 5, counted=5,rate=80; ID thuốc không bị gộp nhầm; no-store, allowed và DB không đổi.</t>
        </is>
      </c>
      <c r="G38"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38" s="7" t="inlineStr">
        <is>
          <t>Pass</t>
        </is>
      </c>
      <c r="I38" s="8" t="inlineStr">
        <is>
          <t>PB21 · AC1,AC2,AC3 · EP (1) · test_patient_history_by_date_medication_groups_and_80_percent · evidence/test-contract-history-final.log/xml · Retest evidence/test-p7-integration.log/xml</t>
        </is>
      </c>
    </row>
    <row r="39" ht="156.5" customHeight="1">
      <c r="A39" s="7" t="inlineStr">
        <is>
          <t>TC-FADH-31</t>
        </is>
      </c>
      <c r="B39" s="7" t="inlineStr">
        <is>
          <t>Giữ đúng ngày Việt Nam qua nửa đêm</t>
        </is>
      </c>
      <c r="C39" s="8" t="inlineStr">
        <is>
          <t>DB Supabase local reset sạch; dùng fixture history_data; patient P có health_data; family F liên kết active, sharing=true và family_sharing của P còn hiệu lực.</t>
        </is>
      </c>
      <c r="D39" s="8" t="inlineStr">
        <is>
          <t>1. Tạo patient/family và lịch 08:00 qua fixture history_data.
2. Gọi GET /adherence?patient_id=P&amp;from=2026-10-19&amp;to=2026-10-19 bằng app session của F.
3. Đối chiếu response, dose_logs và access_logs bằng assertion của test nêu ở Comments.</t>
        </is>
      </c>
      <c r="E39" s="8" t="inlineStr">
        <is>
          <t>Lịch và xác nhận hai phía 00:00 Asia/Ho_Chi_Minh</t>
        </is>
      </c>
      <c r="F39" s="8" t="inlineStr">
        <is>
          <t>Nhóm theo ngày scheduled_at ở Việt Nam, thứ tự ngày đúng, không nhân đôi liều.</t>
        </is>
      </c>
      <c r="G3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39" s="7" t="inlineStr">
        <is>
          <t>Pass</t>
        </is>
      </c>
      <c r="I39" s="8" t="inlineStr">
        <is>
          <t>PB21 · AC2 · BVA (ngày) · test_scheduled_date_across_midnight · evidence/test-contract-history-final.log/xml · Retest evidence/test-p7-integration.log/xml</t>
        </is>
      </c>
    </row>
    <row r="40" ht="74" customHeight="1">
      <c r="A40" s="7" t="inlineStr">
        <is>
          <t>TC-FADH-32</t>
        </is>
      </c>
      <c r="B40" s="7" t="inlineStr">
        <is>
          <t>Chấp nhận khoảng ngày 90 và chặn 91 ngày</t>
        </is>
      </c>
      <c r="C40" s="8" t="inlineStr">
        <is>
          <t>Unit resolve_range; không có DB.</t>
        </is>
      </c>
      <c r="D40" s="8" t="inlineStr">
        <is>
          <t>1. Chạy tests/unit/test_adherence_history.py::test_inclusive_90_allowed_91_rejected.</t>
        </is>
      </c>
      <c r="E40" s="8" t="inlineStr">
        <is>
          <t>Khoảng bao gồm hai đầu dài 90 và 91 ngày</t>
        </is>
      </c>
      <c r="F40" s="8" t="inlineStr">
        <is>
          <t>90 được chấp nhận; 91 bị từ chối.</t>
        </is>
      </c>
      <c r="G40" s="8" t="inlineStr">
        <is>
          <t>1 ca Pass trong lần chạy sau khôi phục contract, 25/10/2026. Unit; chưa thay bằng chứng API/DB.</t>
        </is>
      </c>
      <c r="H40" s="7" t="inlineStr">
        <is>
          <t>Pass</t>
        </is>
      </c>
      <c r="I40" s="8" t="inlineStr">
        <is>
          <t>PB21 · AC2 · BVA (max,max+1) · test_inclusive_90_allowed_91_rejected · evidence/test-contract-unit.log/xml</t>
        </is>
      </c>
    </row>
    <row r="41" ht="156.5" customHeight="1">
      <c r="A41" s="7" t="inlineStr">
        <is>
          <t>TC-FADH-33</t>
        </is>
      </c>
      <c r="B41" s="7" t="inlineStr">
        <is>
          <t>Không tạo trùng khi sync lại cùng client_uuid</t>
        </is>
      </c>
      <c r="C41" s="8" t="inlineStr">
        <is>
          <t>DB Supabase local reset sạch; dùng fixture history_data; patient P có health_data; family F liên kết active, sharing=true và family_sharing của P còn hiệu lực.</t>
        </is>
      </c>
      <c r="D41" s="8" t="inlineStr">
        <is>
          <t>1. Chạy backend/tests/integration/test_adherence_history_api.py::test_late_sync_worker_log_and_retry_keep_one_occurrence__AC15_AC20.
2. Kiểm một occurrence, client_uuid và status sau Worker + retry.</t>
        </is>
      </c>
      <c r="E41" s="8" t="inlineStr">
        <is>
          <t>taken +90; sync sau +120; cùng client_uuid hai lần</t>
        </is>
      </c>
      <c r="F41" s="8" t="inlineStr">
        <is>
          <t>Một dose_log và một occurrence; giữ xác nhận hợp lệ; lịch sử phản ánh liều trễ.</t>
        </is>
      </c>
      <c r="G4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41" s="7" t="inlineStr">
        <is>
          <t>Pass</t>
        </is>
      </c>
      <c r="I41" s="8" t="inlineStr">
        <is>
          <t>PB21 · AC2,AC3 · Đoán lỗi (idempotency) · test_late_sync_worker_log_and_retry_keep_one_occurrence · evidence/test-contract-history-final.log/xml · Retest evidence/test-p7-integration.log/xml</t>
        </is>
      </c>
    </row>
    <row r="42" ht="156.5" customHeight="1">
      <c r="A42" s="7" t="inlineStr">
        <is>
          <t>TC-FADH-34</t>
        </is>
      </c>
      <c r="B42" s="7" t="inlineStr">
        <is>
          <t>Giữ xác nhận khi Worker chạy đua</t>
        </is>
      </c>
      <c r="C42" s="8" t="inlineStr">
        <is>
          <t>DB Supabase local reset sạch; dùng fixture history_data; patient P có health_data; family F liên kết active, sharing=true và family_sharing của P còn hiệu lực.</t>
        </is>
      </c>
      <c r="D42" s="8" t="inlineStr">
        <is>
          <t>1. Chạy backend/tests/integration/test_adherence_history_api.py::test_worker_insert_races_with_valid_late_confirmation__AC15_AC20_AC22.
2. Thử worker/confirmation ghi trước; kiểm một liều và trạng thái cuối.</t>
        </is>
      </c>
      <c r="E42" s="8" t="inlineStr">
        <is>
          <t>first_writer=worker/confirmation; taken hợp lệ +90</t>
        </is>
      </c>
      <c r="F42" s="8" t="inlineStr">
        <is>
          <t>Một occurrence/dose_log; uong_tre; không ghi đè xác nhận hợp lệ.</t>
        </is>
      </c>
      <c r="G42" s="8" t="inlineStr">
        <is>
          <t>2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42" s="7" t="inlineStr">
        <is>
          <t>Pass</t>
        </is>
      </c>
      <c r="I42" s="8" t="inlineStr">
        <is>
          <t>PB21 · AC2,AC3 · Đoán lỗi (race) · test_worker_insert_races_with_valid_late_confirmation · evidence/test-contract-history-final.log/xml · Retest evidence/test-p7-integration.log/xml</t>
        </is>
      </c>
    </row>
    <row r="43" ht="222.5" customHeight="1">
      <c r="A43" s="7" t="inlineStr">
        <is>
          <t>TC-FADH-35</t>
        </is>
      </c>
      <c r="B43" s="7" t="inlineStr">
        <is>
          <t>Kiểm biên xác nhận ngay trước −30 phút</t>
        </is>
      </c>
      <c r="C43" s="8" t="inlineStr">
        <is>
          <t>Supabase local; patient P có health_data và lịch schedule_id=S ngày 19/10/2026 lúc 08:00 +07; chưa có dose_log cho occurrence; đồng hồ test cố định sau taken_at; dùng bearer của P để xác nhận, không dùng family F.</t>
        </is>
      </c>
      <c r="D43" s="8" t="inlineStr">
        <is>
          <t>1. Ghi số dose_logs của (S, 2026-10-19T08:00:00+07:00) trước khi gọi API.
2. POST /doses/batch bằng bearer P với JSON array gồm một item: client_uuid=UUID v4 mới, schedule_id=S, scheduled_at=2026-10-19T08:00:00+07:00, taken_at=2026-10-19T07:29:59.999999+07:00.
3. Kiểm item bị từ chối theo cửa sổ QD-03; đối chiếu response với contract chuẩn khi có.
4. Đọc DB: không có xác nhận hợp lệ mới, số dose_logs của occurrence không tăng. GET lịch sử một mình không thay thế thao tác POST xác nhận này.</t>
        </is>
      </c>
      <c r="E43" s="8" t="inlineStr">
        <is>
          <t>scheduled=08:00; taken=07:29:59.999999 +07</t>
        </is>
      </c>
      <c r="F43" s="8" t="inlineStr">
        <is>
          <t>Bị từ chối theo cửa sổ xác nhận QD-03; không tạo xác nhận hợp lệ.</t>
        </is>
      </c>
      <c r="G43" s="8" t="inlineStr">
        <is>
          <t>Hai cách nhóm date/medication Pass trên API/DB thật. POST batch trả 200, item failed=1/taken_at_too_early; không tạo dose_log; family GET trả lịch sử rỗng, audit allowed. Lượt P7 chạy lại toàn backend integration: nhóm history API/PEP 66 Pass/2 Fail, TC20 vẫn Fail ở hai grouping; các ca khác trong nhóm này giữ kết quả. evidence/test-p7-integration.log/xml.</t>
        </is>
      </c>
      <c r="H43" s="7" t="inlineStr">
        <is>
          <t>Pass</t>
        </is>
      </c>
      <c r="I43" s="8" t="inlineStr">
        <is>
          <t>PB21 · AC2,AC3 · BVA (min-1) · test_family_confirmation_adjacent_boundaries__AC2_AC3[before-early-window] · evidence/test-contract-history-final.log/xml · Retest evidence/test-p7-integration.log/xml</t>
        </is>
      </c>
    </row>
    <row r="44" ht="173" customHeight="1">
      <c r="A44" s="7" t="inlineStr">
        <is>
          <t>TC-FADH-36</t>
        </is>
      </c>
      <c r="B44" s="7" t="inlineStr">
        <is>
          <t>Kiểm biên ngay trước +30 phút</t>
        </is>
      </c>
      <c r="C44" s="8" t="inlineStr">
        <is>
          <t>DB Supabase local reset sạch; dùng fixture history_data; patient P có health_data; family F liên kết active, sharing=true và family_sharing của P còn hiệu lực.</t>
        </is>
      </c>
      <c r="D44" s="8" t="inlineStr">
        <is>
          <t>1. Tạo patient/family và lịch 08:00 qua fixture history_data.
2. Dùng bearer P POST /doses/batch: client_uuid mới, schedule_id=S, scheduled_at=08:00, taken_at=08:29:59.999999 +07; đồng hồ test bằng taken_at; kiểm item synced/da_uong.
3. Gọi GET /adherence?patient_id=P&amp;from=2026-10-19&amp;to=2026-10-19 bằng app session của F.
4. Đối chiếu response, dose_logs và access_logs bằng assertion của test nêu ở Comments.</t>
        </is>
      </c>
      <c r="E44" s="8" t="inlineStr">
        <is>
          <t>scheduled=08:00; taken=08:29:59.999999 +07</t>
        </is>
      </c>
      <c r="F44" s="8" t="inlineStr">
        <is>
          <t>da_uong; tỷ lệ có liều hợp lệ ngay khi xác nhận.</t>
        </is>
      </c>
      <c r="G44" s="8" t="inlineStr">
        <is>
          <t>Hai cách nhóm date/medication Pass trên API/DB thật. POST xác nhận 08:29:59.999999 hợp lệ; family GET có một da_uong, counted=1/rate=100 ngay, audit allowed; GET không đổi dose_log. Lượt P7 chạy lại toàn backend integration: nhóm history API/PEP 66 Pass/2 Fail, TC20 vẫn Fail ở hai grouping; các ca khác trong nhóm này giữ kết quả. evidence/test-p7-integration.log/xml.</t>
        </is>
      </c>
      <c r="H44" s="7" t="inlineStr">
        <is>
          <t>Pass</t>
        </is>
      </c>
      <c r="I44" s="8" t="inlineStr">
        <is>
          <t>PB21 · AC2,AC3 · BVA (+30-1) · test_family_confirmation_adjacent_boundaries__AC2_AC3[before-on-time-deadline] · evidence/test-contract-history-final.log/xml · Retest evidence/test-p7-integration.log/xml</t>
        </is>
      </c>
    </row>
    <row r="45" ht="123.5" customHeight="1">
      <c r="A45" s="7" t="inlineStr">
        <is>
          <t>TC-FADH-37</t>
        </is>
      </c>
      <c r="B45" s="7" t="inlineStr">
        <is>
          <t>Loại liều hủy và biểu diễn xung đột/đối soát</t>
        </is>
      </c>
      <c r="C45" s="8" t="inlineStr">
        <is>
          <t>DB Supabase local reset sạch; dùng fixture history_data; patient P có health_data; family F liên kết active, sharing=true và family_sharing của P còn hiệu lực.</t>
        </is>
      </c>
      <c r="D45" s="8" t="inlineStr">
        <is>
          <t>1. Đối chiếu contract 3.23 với QD-42.
2. Khi schema hỗ trợ, tạo liều hủy/xung đột/đối soát theo fixture thật.
3. Gọi GET /adherence?patient_id=P&amp;from=2026-10-19&amp;to=2026-10-19 bằng app session của F.
4. Đối chiếu response, dose_logs và access_logs bằng assertion của test nêu ở Comments.</t>
        </is>
      </c>
      <c r="E45" s="8" t="inlineStr">
        <is>
          <t>Liều hủy; liều xung đột; liều đối soát</t>
        </is>
      </c>
      <c r="F45" s="8" t="inlineStr">
        <is>
          <t>Loại liều hủy; nhãn tạm thời, tính lại và thời điểm/phiên bản cập nhật theo QD-42 được đặc tả và kiểm chứng.</t>
        </is>
      </c>
      <c r="G45" s="8" t="inlineStr"/>
      <c r="H45" s="7" t="inlineStr">
        <is>
          <t>Pending</t>
        </is>
      </c>
      <c r="I45" s="8" t="inlineStr">
        <is>
          <t>PB21 · AC8 · Chuyển trạng thái (đối soát) · Pending: dữ liệu/field đối soát chưa được đặc tả; không tạo oracle giả.</t>
        </is>
      </c>
    </row>
    <row r="46" ht="107" customHeight="1">
      <c r="A46" s="7" t="inlineStr">
        <is>
          <t>TC-FADH-38</t>
        </is>
      </c>
      <c r="B46" s="7" t="inlineStr">
        <is>
          <t>Kiểm tỷ lệ đúng giờ riêng theo QD-42</t>
        </is>
      </c>
      <c r="C46" s="8" t="inlineStr">
        <is>
          <t>DB Supabase local reset sạch; dùng fixture history_data; patient P có health_data; family F liên kết active, sharing=true và family_sharing của P còn hiệu lực.</t>
        </is>
      </c>
      <c r="D46" s="8" t="inlineStr">
        <is>
          <t>1. Đọc định nghĩa tử số/mẫu số và field trong contract 3.23.
2. Tạo liều đúng giờ, trễ, pending và missed; GET /adherence.
3. So tỷ lệ với công thức đã chốt.</t>
        </is>
      </c>
      <c r="E46" s="8" t="inlineStr">
        <is>
          <t>1 taken,1 late,1 missed,1 pending</t>
        </is>
      </c>
      <c r="F46" s="8" t="inlineStr">
        <is>
          <t>Có công thức và response biểu diễn tỷ lệ đúng giờ riêng đã được chủ sở hữu chốt.</t>
        </is>
      </c>
      <c r="G46" s="8" t="inlineStr"/>
      <c r="H46" s="7" t="inlineStr">
        <is>
          <t>Pending</t>
        </is>
      </c>
      <c r="I46" s="8" t="inlineStr">
        <is>
          <t>PB21 · AC8 · EP (2,3) · Pending: Contract /adherence đã khôi phục nhưng chưa biểu diễn tỷ lệ đúng giờ riêng; không suy ra công thức.</t>
        </is>
      </c>
    </row>
    <row r="47" ht="239" customHeight="1">
      <c r="A47" s="7" t="inlineStr">
        <is>
          <t>TC-FADH-39</t>
        </is>
      </c>
      <c r="B47" s="7" t="inlineStr">
        <is>
          <t>Xóa dữ liệu phiên khi đổi bệnh nhân</t>
        </is>
      </c>
      <c r="C47" s="8" t="inlineStr">
        <is>
          <t>Thiết bị Android test package riêng; production UI 3.24 đã có; family F đã mở lịch sử P bằng local API/DB.</t>
        </is>
      </c>
      <c r="D47" s="8" t="inlineStr">
        <is>
          <t>1. Mở app test và chọn P trong Người thân.
2. Mở lịch sử, xác nhận có liều.
3. Thực hiện đổi bệnh nhân.
4. Kiểm không hiển thị dữ liệu cũ, không lưu bền, response cũ không phục hồi dữ liệu.</t>
        </is>
      </c>
      <c r="E47" s="8" t="inlineStr">
        <is>
          <t>P có liều 08:00; Q không có dữ liệu của P; sự kiện=đổi bệnh nhân</t>
        </is>
      </c>
      <c r="F47" s="8" t="inlineStr">
        <is>
          <t>Dữ liệu sức khỏe cũ bị xóa khỏi RAM/UI; không có cache bền; không phục hồi bởi response đến muộn.</t>
        </is>
      </c>
      <c r="G47" s="8" t="inlineStr"/>
      <c r="H47" s="7" t="inlineStr">
        <is>
          <t>Pending</t>
        </is>
      </c>
      <c r="I47" s="8" t="inlineStr">
        <is>
          <t>PB21 · AC6 · Chuyển trạng thái (session) · manual · Pending: Android emulator-5580 đã chạy production route với local API/DB thật: linked Pass, revoke hai lần Pass, cross_patient Pass; chưa kiểm thao tác selector UI chính và cache bền. Lượt đầu revoke có handshake Fail chưa xác định nguyên nhân, giữ log đỏ. evidence/test-p7-android.log; evidence/test-p7-android-revoke-diagnostic.log; evidence/test-p7-android-final.log</t>
        </is>
      </c>
    </row>
    <row r="48" ht="189.5" customHeight="1">
      <c r="A48" s="7" t="inlineStr">
        <is>
          <t>TC-FADH-40</t>
        </is>
      </c>
      <c r="B48" s="7" t="inlineStr">
        <is>
          <t>Xóa dữ liệu phiên khi mất mạng</t>
        </is>
      </c>
      <c r="C48" s="8" t="inlineStr">
        <is>
          <t>Widget test production FamilyAdherenceScreen/DrugTimeApp; repository cấp fixture thuốc giả; đã kiểm Thuốc A hiện trước trigger. Không phải Android/API thật.</t>
        </is>
      </c>
      <c r="D48" s="8" t="inlineStr">
        <is>
          <t>1. Chạy family_adherence_screen_test.dart bằng flutter test.
2. Load lịch sử, kiểm Thuốc A đang hiện.
3. Emit false qua ConnectivityMonitor do app đăng ký; pump UI.
4. Kiểm không còn text Thuốc A, kể cả offstage.
5. Emit true để online lại; kiểm có request mới và chưa hiện dữ liệu cũ.
6. Hoàn tất request mới bằng denied; kiểm thông báo Không còn quyền xem lịch sử.</t>
        </is>
      </c>
      <c r="E48" s="8" t="inlineStr">
        <is>
          <t>Fixture thuốc giả Thuốc A; ngày VN hiện tại của route app.</t>
        </is>
      </c>
      <c r="F48" s="8" t="inlineStr">
        <is>
          <t>Sau mất mạng, dữ liệu sức khỏe cũ biến mất ngay khỏi UI, kể cả offstage.</t>
        </is>
      </c>
      <c r="G48" s="8" t="inlineStr">
        <is>
          <t>Pass trên frontend 46275fa: offline xóa toàn bộ Text Thuốc A kể cả offstage; online lại tạo GET mới, chưa hiển thị dữ liệu cũ; phản hồi denied hiện Không còn quyền xem lịch sử. Widget test, chưa xác minh lifecycle Android/API thật.</t>
        </is>
      </c>
      <c r="H48" s="7" t="inlineStr">
        <is>
          <t>Pass</t>
        </is>
      </c>
      <c r="I48" s="8" t="inlineStr">
        <is>
          <t>PB21 · AC6 · Chuyển trạng thái (session) · unit/widget · AC6 QD-29: offline removes health data · BUG-3.25-02 đã xác nhận fix ở widget; native OS Pending · evidence/test-bug02-family-mobile.jsonl</t>
        </is>
      </c>
    </row>
    <row r="49" ht="255.5" customHeight="1">
      <c r="A49" s="7" t="inlineStr">
        <is>
          <t>TC-FADH-41</t>
        </is>
      </c>
      <c r="B49" s="7" t="inlineStr">
        <is>
          <t>Xóa dữ liệu phiên khi đưa app vào nền</t>
        </is>
      </c>
      <c r="C49" s="8" t="inlineStr">
        <is>
          <t>Widget test production FamilyAdherenceScreen/DrugTimeApp; repository cấp fixture thuốc giả; đã kiểm Thuốc A hiện trước trigger. Không phải Android/API thật.</t>
        </is>
      </c>
      <c r="D49" s="8" t="inlineStr">
        <is>
          <t>1. Chạy family_adherence_screen_test.dart bằng flutter test.
2. Load lịch sử, kiểm Thuốc A đang hiện.
3. Phát inactive → hidden → paused rồi pump một frame.
4. Kiểm không còn text Thuốc A, kể cả offstage.
5. Resume để bắt đầu request mới, đưa app về paused và hoàn tất response cũ; kiểm không có Thuốc A.
6. Refresh trong paused; kiểm không phát sinh GET.
7. Resume lần nữa; kiểm có request mới, trả denied và kiểm thông báo Không còn quyền xem lịch sử.</t>
        </is>
      </c>
      <c r="E49" s="8" t="inlineStr">
        <is>
          <t>Fixture thuốc giả Thuốc A; screen clock 22/10/2026; lifecycle inactive/hidden/paused.</t>
        </is>
      </c>
      <c r="F49" s="8" t="inlineStr">
        <is>
          <t>Sau vào nền, dữ liệu sức khỏe cũ biến mất ngay khỏi UI, kể cả offstage.</t>
        </is>
      </c>
      <c r="G49" s="8" t="inlineStr">
        <is>
          <t>Pass trên frontend 46275fa: inactive/hidden/paused xóa toàn bộ Text Thuốc A kể cả offstage; response thành công tới muộn không khôi phục dữ liệu; refresh khi paused không gọi thêm GET; resumed gọi lại và denied không hiện dữ liệu cũ. Widget test, chưa xác minh lifecycle Android thật.</t>
        </is>
      </c>
      <c r="H49" s="7" t="inlineStr">
        <is>
          <t>Pass</t>
        </is>
      </c>
      <c r="I49" s="8" t="inlineStr">
        <is>
          <t>PB21 · AC6 · Chuyển trạng thái (session) · unit/widget · AC6 QD-29: background removes health data · BUG-3.25-02 đã xác nhận fix ở widget; native OS Pending · evidence/test-bug02-family-mobile.jsonl</t>
        </is>
      </c>
    </row>
    <row r="50" ht="222.5" customHeight="1">
      <c r="A50" s="7" t="inlineStr">
        <is>
          <t>TC-FADH-42</t>
        </is>
      </c>
      <c r="B50" s="7" t="inlineStr">
        <is>
          <t>Xóa dữ liệu phiên khi đăng xuất</t>
        </is>
      </c>
      <c r="C50" s="8" t="inlineStr">
        <is>
          <t>Thiết bị Android test package riêng; production UI 3.24 đã có; family F đã mở lịch sử P bằng local API/DB.</t>
        </is>
      </c>
      <c r="D50" s="8" t="inlineStr">
        <is>
          <t>1. Mở app test và chọn P trong Người thân.
2. Mở lịch sử, xác nhận có liều.
3. Thực hiện đăng xuất.
4. Kiểm không hiển thị dữ liệu cũ, không lưu bền, response cũ không phục hồi dữ liệu.</t>
        </is>
      </c>
      <c r="E50" s="8" t="inlineStr">
        <is>
          <t>P có liều 08:00; Q không có dữ liệu của P; sự kiện=đăng xuất</t>
        </is>
      </c>
      <c r="F50" s="8" t="inlineStr">
        <is>
          <t>Dữ liệu sức khỏe cũ bị xóa khỏi RAM/UI; không có cache bền; không phục hồi bởi response đến muộn.</t>
        </is>
      </c>
      <c r="G50" s="8" t="inlineStr"/>
      <c r="H50" s="7" t="inlineStr">
        <is>
          <t>Pending</t>
        </is>
      </c>
      <c r="I50" s="8" t="inlineStr">
        <is>
          <t>PB21 · AC6 · Chuyển trạng thái (session) · manual · Pending: Android emulator-5580 đã chạy production route với local API/DB thật: linked Pass, revoke hai lần Pass, cross_patient Pass; chưa kiểm logout trên Android. Lượt đầu revoke có handshake Fail chưa xác định nguyên nhân, giữ log đỏ. evidence/test-p7-android.log; evidence/test-p7-android-revoke-diagnostic.log; evidence/test-p7-android-final.log</t>
        </is>
      </c>
    </row>
    <row r="51" ht="255.5" customHeight="1">
      <c r="A51" s="7" t="inlineStr">
        <is>
          <t>TC-FADH-43</t>
        </is>
      </c>
      <c r="B51" s="7" t="inlineStr">
        <is>
          <t>Xóa dữ liệu phiên khi nhận 403</t>
        </is>
      </c>
      <c r="C51" s="8" t="inlineStr">
        <is>
          <t>Thiết bị Android test package riêng; production UI 3.24 đã có; family F đã mở lịch sử P bằng local API/DB.</t>
        </is>
      </c>
      <c r="D51" s="8" t="inlineStr">
        <is>
          <t>1. Mở app test và chọn P trong Người thân.
2. Mở lịch sử, xác nhận có liều.
3. Thực hiện nhận 403.
4. Kiểm không hiển thị dữ liệu cũ, không lưu bền, response cũ không phục hồi dữ liệu.</t>
        </is>
      </c>
      <c r="E51" s="8" t="inlineStr">
        <is>
          <t>P có liều 08:00; Q không có dữ liệu của P; sự kiện=nhận 403</t>
        </is>
      </c>
      <c r="F51" s="8" t="inlineStr">
        <is>
          <t>Dữ liệu sức khỏe cũ bị xóa khỏi RAM/UI; không có cache bền; không phục hồi bởi response đến muộn.</t>
        </is>
      </c>
      <c r="G51" s="8" t="inlineStr"/>
      <c r="H51" s="7" t="inlineStr">
        <is>
          <t>Pending</t>
        </is>
      </c>
      <c r="I51" s="8" t="inlineStr">
        <is>
          <t>PB21 · AC6 · Chuyển trạng thái (session) · manual · Pending: Android emulator-5580 đã chạy production route với local API/DB thật: linked Pass, revoke hai lần Pass, cross_patient Pass; đã kiểm 403 trên route; chưa kiểm toàn bộ cache bền/response tới muộn trên thiết bị. Lượt đầu revoke có handshake Fail chưa xác định nguyên nhân, giữ log đỏ. evidence/test-p7-android.log; evidence/test-p7-android-revoke-diagnostic.log; evidence/test-p7-android-final.log</t>
        </is>
      </c>
    </row>
    <row r="52" ht="255.5" customHeight="1">
      <c r="A52" s="7" t="inlineStr">
        <is>
          <t>TC-FADH-44</t>
        </is>
      </c>
      <c r="B52" s="7" t="inlineStr">
        <is>
          <t>Chỉ xem lịch sử trên Mobile và chạy E2E thu hồi</t>
        </is>
      </c>
      <c r="C52" s="8" t="inlineStr">
        <is>
          <t>UI 3.24 và Android test package riêng cùng local API/DB.</t>
        </is>
      </c>
      <c r="D52" s="8" t="inlineStr">
        <is>
          <t>1. Chọn P; mở lịch sử; tìm thao tác sửa lịch/xác nhận hộ.
2. Bệnh nhân thu hồi quyền; refresh lịch sử bằng cùng phiên.
3. Đổi sang Q và kiểm không còn dữ liệu P.</t>
        </is>
      </c>
      <c r="E52" s="8" t="inlineStr">
        <is>
          <t>Family F; linked P; unlinked Q</t>
        </is>
      </c>
      <c r="F52" s="8" t="inlineStr">
        <is>
          <t>Không có thao tác ghi hộ; request sau thu hồi 403, không còn dữ liệu cũ; DB có denied.</t>
        </is>
      </c>
      <c r="G52" s="8" t="inlineStr"/>
      <c r="H52" s="7" t="inlineStr">
        <is>
          <t>Pending</t>
        </is>
      </c>
      <c r="I52" s="8" t="inlineStr">
        <is>
          <t>PB21 · AC1,AC4,AC5,AC6 · manual/E2E · Pending: Android emulator-5580 đã chạy production route với local API/DB thật: linked Pass, revoke hai lần Pass, cross_patient Pass; đã kiểm route read-only/revoke/cross-patient; chưa kiểm chọn patient từ UI chính. Lượt đầu revoke có handshake Fail chưa xác định nguyên nhân, giữ log đỏ. evidence/test-p7-android.log; evidence/test-p7-android-revoke-diagnostic.log; evidence/test-p7-android-final.log</t>
        </is>
      </c>
    </row>
    <row r="53" ht="206" customHeight="1">
      <c r="A53" s="7" t="inlineStr">
        <is>
          <t>TC-FADH-45</t>
        </is>
      </c>
      <c r="B53" s="7" t="inlineStr">
        <is>
          <t>Truy vết PB21 và gộp test case tổng</t>
        </is>
      </c>
      <c r="C53" s="8" t="inlineStr">
        <is>
          <t>Báo cáo test và workbook đã được dựng bằng script chuẩn.</t>
        </is>
      </c>
      <c r="D53" s="8" t="inlineStr">
        <is>
          <t>1. Đối chiếu AC1–AC9 với test, XML và log.
2. Chạy testcase_xlsx.py validate/build/merge 3.25.
3. So sheet cũ và đếm trạng thái/Bug Report; đọc báo cáo để phân biệt lỗi với Pending.</t>
        </is>
      </c>
      <c r="E53" s="8" t="inlineStr">
        <is>
          <t>PB21; code FADH; task 3.25</t>
        </is>
      </c>
      <c r="F53" s="8" t="inlineStr">
        <is>
          <t>Mỗi AC có ca; một sheet FADH; các sheet chức năng cũ giữ nguyên; Fail có bug, Pending không được báo Pass.</t>
        </is>
      </c>
      <c r="G53" s="8" t="inlineStr">
        <is>
          <t>Đối chiếu evidence P7: history integration 66 Pass/2 Fail; 19 host-runner unit Pass; ba scenario host HTTP/PEP/DB đạt; Android linked Pass, revoke hai lần Pass và cross_patient Pass. Lượt đầu revoke handshake Fail chưa rõ nguyên nhân được giữ riêng. Giữ 53 ID với 46 Pass/1 Fail/6 Pending; dựng/gộp bằng script chuẩn, 20 sheet khác giữ nguyên. Không nghiệm thu toàn PB21/OS/selector/AC8. evidence/test-p7-final-verify.log; evidence/test-p7-android-final.log.</t>
        </is>
      </c>
      <c r="H53" s="7" t="inlineStr">
        <is>
          <t>Pass</t>
        </is>
      </c>
      <c r="I53" s="8" t="inlineStr">
        <is>
          <t>PB21 · AC9 · manual (đối chiếu artifact) · evidence/test-contract-workbook-verify.log · evidence/test-contract-testcase-xlsx.log · Lượt P7 evidence/test-p7-final-verify.log</t>
        </is>
      </c>
    </row>
    <row r="54" ht="189.5" customHeight="1">
      <c r="A54" s="7" t="inlineStr">
        <is>
          <t>TC-FADH-46</t>
        </is>
      </c>
      <c r="B54" s="7" t="inlineStr">
        <is>
          <t>Gọi lại GET với patient và bearer hiện tại sau từ chối; không trả cache khi lỗi mạng</t>
        </is>
      </c>
      <c r="C54" s="8" t="inlineStr">
        <is>
          <t>Production repository/controller/widget ở frontend b24ee68; unit/widget dùng mock HTTP/repository và fixture thuốc giả, không chứng minh DB/Android.</t>
        </is>
      </c>
      <c r="D54" s="8" t="inlineStr">
        <is>
          <t>1. Chạy flutter test --no-pub --reporter json; lọc file family_adherence_* tại test/features/family.
2. Mock HTTP: GET thành công, GET 403 rồi GET lại với bearer mới; nhánh khác thành công rồi ném ClientException.
3. Đối chiếu assertion và testDone của đúng test, không tính file adherence cùng tên.</t>
        </is>
      </c>
      <c r="E54" s="8" t="inlineStr">
        <is>
          <t>Mock HTTP: GET thành công, GET 403 rồi GET lại với bearer mới; nhánh khác thành công rồi ném ClientException.</t>
        </is>
      </c>
      <c r="F54" s="8" t="inlineStr">
        <is>
          <t>Mỗi lần fetch gửi GET mới với patient_id/date/group_by và bearer hiện tại; 403/network truyền failure, không trả lịch sử cũ.</t>
        </is>
      </c>
      <c r="G54" s="8" t="inlineStr">
        <is>
          <t>2 test Pass trong phiên 25/10/2026; AC4: refetches the selected patient and current bearer after a denial; AC6: a network failure after success never returns cached history. evidence/test-contract-mobile.jsonl. Đã chạy lại nhóm 16 test trong lượt cập nhật contract: 14 Pass/2 Fail; evidence/test-contract-mobile.jsonl. Retest frontend 46275fa: nhóm family history 17 Pass/0 Fail/0 Skip; evidence/test-bug02-family-mobile.jsonl.</t>
        </is>
      </c>
      <c r="H54" s="7" t="inlineStr">
        <is>
          <t>Pass</t>
        </is>
      </c>
      <c r="I54" s="8" t="inlineStr">
        <is>
          <t>PB21 · AC4,AC6 · Đoán lỗi/Chuyển trạng thái · unit/widget · evidence/test-contract-mobile.jsonl · Retest evidence/test-bug02-family-mobile.jsonl</t>
        </is>
      </c>
    </row>
    <row r="55" ht="189.5" customHeight="1">
      <c r="A55" s="7" t="inlineStr">
        <is>
          <t>TC-FADH-47</t>
        </is>
      </c>
      <c r="B55" s="7" t="inlineStr">
        <is>
          <t>Từ chối response thuộc patient khác ở repository và controller</t>
        </is>
      </c>
      <c r="C55" s="8" t="inlineStr">
        <is>
          <t>Production repository/controller/widget ở frontend b24ee68; unit/widget dùng mock HTTP/repository và fixture thuốc giả, không chứng minh DB/Android.</t>
        </is>
      </c>
      <c r="D55" s="8" t="inlineStr">
        <is>
          <t>1. Chạy flutter test --no-pub --reporter json; lọc file family_adherence_* tại test/features/family.
2. Request Q nhưng HTTP/reader cấp response P; UUID P và Q khác nhau.
3. Đối chiếu assertion và testDone của đúng test, không tính file adherence cùng tên.</t>
        </is>
      </c>
      <c r="E55" s="8" t="inlineStr">
        <is>
          <t>Request Q nhưng HTTP/reader cấp response P; UUID P và Q khác nhau.</t>
        </is>
      </c>
      <c r="F55" s="8" t="inlineStr">
        <is>
          <t>Repository ném invalidResponse; controller không giữ history P.</t>
        </is>
      </c>
      <c r="G55" s="8" t="inlineStr">
        <is>
          <t>2 test Pass trong phiên 25/10/2026; AC4: a response for P cannot satisfy a request for Q; AC4: the controller also rejects a mismatched patient from its reader. evidence/test-contract-mobile.jsonl. Đã chạy lại nhóm 16 test trong lượt cập nhật contract: 14 Pass/2 Fail; evidence/test-contract-mobile.jsonl. Retest frontend 46275fa: nhóm family history 17 Pass/0 Fail/0 Skip; evidence/test-bug02-family-mobile.jsonl.</t>
        </is>
      </c>
      <c r="H55" s="7" t="inlineStr">
        <is>
          <t>Pass</t>
        </is>
      </c>
      <c r="I55" s="8" t="inlineStr">
        <is>
          <t>PB21 · AC4,AC6 · Đoán lỗi/Chuyển trạng thái · unit/widget · evidence/test-contract-mobile.jsonl · Retest evidence/test-bug02-family-mobile.jsonl</t>
        </is>
      </c>
    </row>
    <row r="56" ht="305" customHeight="1">
      <c r="A56" s="7" t="inlineStr">
        <is>
          <t>TC-FADH-48</t>
        </is>
      </c>
      <c r="B56" s="7" t="inlineStr">
        <is>
          <t>Hủy response cũ khi refresh, đổi patient hoặc clear controller</t>
        </is>
      </c>
      <c r="C56" s="8" t="inlineStr">
        <is>
          <t>Production repository/controller/widget ở frontend b24ee68; unit/widget dùng mock HTTP/repository và fixture thuốc giả, không chứng minh DB/Android.</t>
        </is>
      </c>
      <c r="D56" s="8" t="inlineStr">
        <is>
          <t>1. Chạy flutter test --no-pub --reporter json; lọc file family_adherence_* tại test/features/family.
2. Completer điều khiển thứ tự: load P; hai refresh cạnh tranh hoặc đổi sang Q hoặc clear; hoàn tất response cũ sau failure/response mới.
3. Đối chiếu assertion và testDone của đúng test, không tính file adherence cùng tên.</t>
        </is>
      </c>
      <c r="E56" s="8" t="inlineStr">
        <is>
          <t>Completer điều khiển thứ tự: load P; hai refresh cạnh tranh hoặc đổi sang Q hoặc clear; hoàn tất response cũ sau failure/response mới.</t>
        </is>
      </c>
      <c r="F56" s="8" t="inlineStr">
        <is>
          <t>history bị clear ngay; denied/network/unauthorized đúng failure; response cũ không phục hồi dữ liệu; clear không tự fetch.</t>
        </is>
      </c>
      <c r="G56" s="8" t="inlineStr">
        <is>
          <t>5 test Pass trong phiên 25/10/2026; AC6: refresh clears RAM before AdherenceFailureKind.denied and accepts no stale success; AC6: refresh clears RAM before AdherenceFailureKind.network and accepts no stale success; AC6: refresh clears RAM before AdherenceFailureKind.unauthorized and accepts no stale success; AC6: switching patient clears visible history and rejects the old result; AC6: clear invalidates an in-flight read without an automatic refetch. evidence/test-contract-mobile.jsonl. Đã chạy lại nhóm 16 test trong lượt cập nhật contract: 14 Pass/2 Fail; evidence/test-contract-mobile.jsonl. Retest frontend 46275fa: nhóm family history 17 Pass/0 Fail/0 Skip; evidence/test-bug02-family-mobile.jsonl.</t>
        </is>
      </c>
      <c r="H56" s="7" t="inlineStr">
        <is>
          <t>Pass</t>
        </is>
      </c>
      <c r="I56" s="8" t="inlineStr">
        <is>
          <t>PB21 · AC6 · Đoán lỗi/Chuyển trạng thái · unit/widget · evidence/test-contract-mobile.jsonl · Retest evidence/test-bug02-family-mobile.jsonl</t>
        </is>
      </c>
    </row>
    <row r="57" ht="222.5" customHeight="1">
      <c r="A57" s="7" t="inlineStr">
        <is>
          <t>TC-FADH-49</t>
        </is>
      </c>
      <c r="B57" s="7" t="inlineStr">
        <is>
          <t>Xóa dữ liệu widget khi đổi patient hoặc refresh gặp 403/network</t>
        </is>
      </c>
      <c r="C57" s="8" t="inlineStr">
        <is>
          <t>Production repository/controller/widget ở frontend b24ee68; unit/widget dùng mock HTTP/repository và fixture thuốc giả, không chứng minh DB/Android.</t>
        </is>
      </c>
      <c r="D57" s="8" t="inlineStr">
        <is>
          <t>1. Chạy flutter test --no-pub --reporter json; lọc file family_adherence_* tại test/features/family.
2. Widget production đã load Thuốc A; đổi patientId sang Q hoặc refresh rồi trả denied/network.
3. Đối chiếu assertion và testDone của đúng test, không tính file adherence cùng tên.</t>
        </is>
      </c>
      <c r="E57" s="8" t="inlineStr">
        <is>
          <t>Widget production đã load Thuốc A; đổi patientId sang Q hoặc refresh rồi trả denied/network.</t>
        </is>
      </c>
      <c r="F57" s="8" t="inlineStr">
        <is>
          <t>Không còn Thuốc A trước khi Q hoàn tất hoặc ngay khi refresh; hiện thông báo lỗi tương ứng, không giữ dữ liệu P.</t>
        </is>
      </c>
      <c r="G57" s="8" t="inlineStr">
        <is>
          <t>3 test Pass trong phiên 25/10/2026; AC6: changing to Q removes P before the Q read completes; AC6: refresh AdherenceFailureKind.denied clears the previously displayed patient; AC6: refresh AdherenceFailureKind.network clears the previously displayed patient. evidence/test-contract-mobile.jsonl. Đã chạy lại nhóm 16 test trong lượt cập nhật contract: 14 Pass/2 Fail; evidence/test-contract-mobile.jsonl. Retest frontend 46275fa: nhóm family history 17 Pass/0 Fail/0 Skip; evidence/test-bug02-family-mobile.jsonl.</t>
        </is>
      </c>
      <c r="H57" s="7" t="inlineStr">
        <is>
          <t>Pass</t>
        </is>
      </c>
      <c r="I57" s="8" t="inlineStr">
        <is>
          <t>PB21 · AC6 · Đoán lỗi/Chuyển trạng thái · unit/widget · evidence/test-contract-mobile.jsonl · Retest evidence/test-bug02-family-mobile.jsonl</t>
        </is>
      </c>
    </row>
    <row r="58" ht="156.5" customHeight="1">
      <c r="A58" s="7" t="inlineStr">
        <is>
          <t>TC-FADH-50</t>
        </is>
      </c>
      <c r="B58" s="7" t="inlineStr">
        <is>
          <t>Xóa dữ liệu route người thân khi đăng xuất khỏi app</t>
        </is>
      </c>
      <c r="C58" s="8" t="inlineStr">
        <is>
          <t>Production repository/controller/widget ở frontend b24ee68; unit/widget dùng mock HTTP/repository và fixture thuốc giả, không chứng minh DB/Android.</t>
        </is>
      </c>
      <c r="D58" s="8" t="inlineStr">
        <is>
          <t>1. Chạy flutter test --no-pub --reporter json; lọc file family_adherence_* tại test/features/family.
2. DrugTimeApp có session family giả, mở named route lịch sử và load fixture hôm nay; gọi auth.signOut() rồi pump UI.
3. Đối chiếu assertion và testDone của đúng test, không tính file adherence cùng tên.</t>
        </is>
      </c>
      <c r="E58" s="8" t="inlineStr">
        <is>
          <t>DrugTimeApp có session family giả, mở named route lịch sử và load fixture hôm nay; gọi auth.signOut() rồi pump UI.</t>
        </is>
      </c>
      <c r="F58" s="8" t="inlineStr">
        <is>
          <t>Không còn Thuốc A, kể cả offstage, sau logout trong widget test.</t>
        </is>
      </c>
      <c r="G58" s="8" t="inlineStr">
        <is>
          <t>1 test Pass trong phiên 25/10/2026; AC6 QD-29: logout removes health data from the actual app. evidence/test-contract-mobile.jsonl. Đã chạy lại nhóm 16 test trong lượt cập nhật contract: 14 Pass/2 Fail; evidence/test-contract-mobile.jsonl. Retest frontend 46275fa: nhóm family history 17 Pass/0 Fail/0 Skip; evidence/test-bug02-family-mobile.jsonl.</t>
        </is>
      </c>
      <c r="H58" s="7" t="inlineStr">
        <is>
          <t>Pass</t>
        </is>
      </c>
      <c r="I58" s="8" t="inlineStr">
        <is>
          <t>PB21 · AC6 · Đoán lỗi/Chuyển trạng thái · unit/widget · evidence/test-contract-mobile.jsonl · Retest evidence/test-bug02-family-mobile.jsonl</t>
        </is>
      </c>
    </row>
    <row r="59" ht="156.5" customHeight="1">
      <c r="A59" s="7" t="inlineStr">
        <is>
          <t>TC-FADH-51</t>
        </is>
      </c>
      <c r="B59" s="7" t="inlineStr">
        <is>
          <t>Hiển thị lịch sử người thân chỉ đọc</t>
        </is>
      </c>
      <c r="C59" s="8" t="inlineStr">
        <is>
          <t>Production repository/controller/widget ở frontend b24ee68; unit/widget dùng mock HTTP/repository và fixture thuốc giả, không chứng minh DB/Android.</t>
        </is>
      </c>
      <c r="D59" s="8" t="inlineStr">
        <is>
          <t>1. Chạy flutter test --no-pub --reporter json; lọc file family_adherence_* tại test/features/family.
2. Mở FamilyAdherenceScreen với fixture history; không gọi backend thật.
3. Đối chiếu assertion và testDone của đúng test, không tính file adherence cùng tên.</t>
        </is>
      </c>
      <c r="E59" s="8" t="inlineStr">
        <is>
          <t>Mở FamilyAdherenceScreen với fixture history; không gọi backend thật.</t>
        </is>
      </c>
      <c r="F59" s="8" t="inlineStr">
        <is>
          <t>Hiện dữ liệu và 66.67%; không có nút Xác nhận/Sửa hoặc TextField.</t>
        </is>
      </c>
      <c r="G59" s="8" t="inlineStr">
        <is>
          <t>1 test Pass trong phiên 25/10/2026; AC6: the family view has data and no dose or schedule writes. evidence/test-contract-mobile.jsonl. Đã chạy lại nhóm 16 test trong lượt cập nhật contract: 14 Pass/2 Fail; evidence/test-contract-mobile.jsonl. Retest frontend 46275fa: nhóm family history 17 Pass/0 Fail/0 Skip; evidence/test-bug02-family-mobile.jsonl.</t>
        </is>
      </c>
      <c r="H59" s="7" t="inlineStr">
        <is>
          <t>Pass</t>
        </is>
      </c>
      <c r="I59" s="8" t="inlineStr">
        <is>
          <t>PB21 · AC6 · Đoán lỗi/Chuyển trạng thái · unit/widget · evidence/test-contract-mobile.jsonl · Retest evidence/test-bug02-family-mobile.jsonl</t>
        </is>
      </c>
    </row>
    <row r="60" ht="123.5" customHeight="1">
      <c r="A60" s="7" t="inlineStr">
        <is>
          <t>TC-FADH-52</t>
        </is>
      </c>
      <c r="B60" s="7" t="inlineStr">
        <is>
          <t>Tính ngay liều xác nhận và chuyển pending sau +120 qua family API</t>
        </is>
      </c>
      <c r="C60" s="8" t="inlineStr">
        <is>
          <t>Supabase local; history_data; P có hai lịch 08:00; F linked active/sharing và đủ consent.</t>
        </is>
      </c>
      <c r="D60" s="8" t="inlineStr">
        <is>
          <t>1. P xác nhận lịch thứ nhất lúc 08:10, lịch thứ hai chưa xác nhận.
2. F GET /adherence cho P tại 08:10 và đúng 10:00, với cả group_by=date/medication.
3. Dời đồng hồ tới 10:00:00.000001, GET lại với cùng bearer; đối chiếu audit và dose_logs.</t>
        </is>
      </c>
      <c r="E60" s="8" t="inlineStr">
        <is>
          <t>scheduled=2026-10-19 08:00 +07; taken=08:10; as_of=08:10/10:00/10:00+1µs.</t>
        </is>
      </c>
      <c r="F60" s="8" t="inlineStr">
        <is>
          <t>Hai lần đầu total=2/taken=1/pending=1/counted=1/rate=100; sau +120 total=2/taken=1/missed=1/counted=2/rate=50. Mỗi GET có family allowed; không ghi dose_log.</t>
        </is>
      </c>
      <c r="G60" s="8" t="inlineStr">
        <is>
          <t>Hai ca date/medication Pass qua API/DB thật, có assertion summary/audit/dose_logs. Lượt P7 chạy lại toàn backend integration: nhóm history API/PEP 66 Pass/2 Fail, TC20 vẫn Fail ở hai grouping; các ca khác trong nhóm này giữ kết quả. evidence/test-p7-integration.log/xml.</t>
        </is>
      </c>
      <c r="H60" s="7" t="inlineStr">
        <is>
          <t>Pass</t>
        </is>
      </c>
      <c r="I60" s="8" t="inlineStr">
        <is>
          <t>PB21 · AC1,AC2,AC3 · BVA (max,max+1)/Chuyển trạng thái · test_family_history_rate_transitions__AC1_AC2_AC3 · evidence/test-contract-history-final.log/xml · Retest evidence/test-p7-integration.log/xml</t>
        </is>
      </c>
    </row>
    <row r="61" ht="173" customHeight="1">
      <c r="A61" s="7" t="inlineStr">
        <is>
          <t>TC-FADH-53</t>
        </is>
      </c>
      <c r="B61" s="7" t="inlineStr">
        <is>
          <t>Chạy collection Postman và thu hồi quyền ngay request kế tiếp</t>
        </is>
      </c>
      <c r="C61" s="8" t="inlineStr">
        <is>
          <t>FastAPI loopback chạy bằng api_role; Supabase local; dữ liệu test P/F/Q và app session mobile runtime, không ghi token vào Git.</t>
        </is>
      </c>
      <c r="D61" s="8" t="inlineStr">
        <is>
          <t>1. Chạy sáu request trong collection DrugTime-Adherence bằng environment runtime: date/medication, thiếu bearer, Q không liên kết, group sai, quá 90 ngày.
2. Với từng fixture mới, F GET P 200; commit thu hồi health_data/family_sharing/sharing/unlink.
3. Giữ nguyên bearer và GET P bằng request Chặn truy cập không có quyền; kiểm 403, audit allowed→denied và dose_logs không đổi.</t>
        </is>
      </c>
      <c r="E61" s="8" t="inlineStr">
        <is>
          <t>from=to=2026-10-19; fixture thuốc giả; 6 request đầu + 4 cặp before/after = 14 request.</t>
        </is>
      </c>
      <c r="F61" s="8" t="inlineStr">
        <is>
          <t>14 request đúng status; 75 assertion Pass; 4 request ngay sau thu hồi 403 khong_co_quyen cùng bearer; audit DB đúng actor/scope; dose_logs không đổi.</t>
        </is>
      </c>
      <c r="G61" s="8" t="inlineStr">
        <is>
          <t>9 lượt collection CLI exit 0: tổng 14 request/75 assertion Pass; kiểm DB ở 5 kịch bản Pass; report-events tắt, file bearer tạm đã xóa.</t>
        </is>
      </c>
      <c r="H61" s="7" t="inlineStr">
        <is>
          <t>Pass</t>
        </is>
      </c>
      <c r="I61" s="8" t="inlineStr">
        <is>
          <t>PB21 · AC1,AC4,AC5,AC9 · Decision Table (R1–R5)/Chuyển trạng thái · evidence/test-postman-live.log · evidence/test-postman-live-summary.json</t>
        </is>
      </c>
    </row>
    <row r="62"/>
    <row r="63"/>
    <row r="64">
      <c r="G64" s="12" t="inlineStr">
        <is>
          <t>Pass</t>
        </is>
      </c>
      <c r="H64" s="13">
        <f>COUNTIF(H9:H61,"Pass")</f>
        <v/>
      </c>
    </row>
    <row r="65">
      <c r="G65" s="12" t="inlineStr">
        <is>
          <t>Fail</t>
        </is>
      </c>
      <c r="H65" s="13">
        <f>COUNTIF(H9:H61,"Fail")</f>
        <v/>
      </c>
    </row>
    <row r="66">
      <c r="G66" s="12" t="inlineStr">
        <is>
          <t>Pending</t>
        </is>
      </c>
      <c r="H66" s="13">
        <f>COUNTIF(H9:H61,"Pending")</f>
        <v/>
      </c>
    </row>
    <row r="67">
      <c r="G67" s="12" t="inlineStr">
        <is>
          <t>Total</t>
        </is>
      </c>
      <c r="H67" s="13">
        <f>SUM(H64:H66)</f>
        <v/>
      </c>
    </row>
  </sheetData>
  <autoFilter ref="A8:I61"/>
  <conditionalFormatting sqref="H9:H61">
    <cfRule type="cellIs" priority="1" operator="equal" dxfId="0">
      <formula>"Fail"</formula>
    </cfRule>
  </conditionalFormatting>
  <dataValidations count="1">
    <dataValidation sqref="H9:H61" showDropDown="0" showInputMessage="0" showErrorMessage="0" allowBlank="0" type="list">
      <formula1>"Pass,Fail,Pending"</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W6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Phát hiện liều bỏ lỡ có xác minh (MISSVERIFY)</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c r="Q7" s="4" t="inlineStr">
        <is>
          <t>Người thân nhận cảnh báo liều đã xác minh bỏ lỡ</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TC-MISSVERIFY-01</t>
        </is>
      </c>
      <c r="B9" s="7" t="inlineStr">
        <is>
          <t>Ghi bo_lo và báo người thân khi patient đã đồng bộ sau hạn chót</t>
        </is>
      </c>
      <c r="C9" s="8" t="inlineStr">
        <is>
          <t>P có lịch 08:00 VN mọi ngày; F liên kết active, bật chia sẻ, P có consent family_sharing; F có token Android</t>
        </is>
      </c>
      <c r="D9" s="8" t="inlineStr">
        <is>
          <t>1. Đặt checkpoint của P = D + 5' (D = 10:00 VN)
2. Chạy một lượt quét Worker tại D + 6'
3. Kiểm dose_logs, notifications của F, push gửi đi, access_logs của P</t>
        </is>
      </c>
      <c r="E9" s="8" t="inlineStr">
        <is>
          <t>L = 2026-10-19 08:00 VN; cp = 10:05; now = 10:06</t>
        </is>
      </c>
      <c r="F9" s="8" t="inlineStr">
        <is>
          <t>Một dòng dose_logs bo_lo, taken_at NULL; một notifications cho F có medication_name, scheduled_at = L; một push tới token F; không có hàng chờ, không gõ cửa; access_logs của P không đổi</t>
        </is>
      </c>
      <c r="G9" s="8" t="inlineStr">
        <is>
          <t>Đúng như mong đợi</t>
        </is>
      </c>
      <c r="H9" s="7" t="inlineStr">
        <is>
          <t>Pass</t>
        </is>
      </c>
      <c r="I9" s="8" t="inlineStr">
        <is>
          <t>AC17 · EP (1,2,3) · Decision Table (R1) · test_verified_missed_creates_one_log_notification_push__AC17</t>
        </is>
      </c>
      <c r="K9" s="9" t="inlineStr">
        <is>
          <t>Checkpoint cp so với hạn chót D</t>
        </is>
      </c>
      <c r="L9" s="10" t="inlineStr">
        <is>
          <t>cp ≥ D (gồm cp = D)</t>
        </is>
      </c>
      <c r="M9" s="10" t="inlineStr">
        <is>
          <t>1</t>
        </is>
      </c>
      <c r="N9" s="10" t="inlineStr">
        <is>
          <t>cp &lt; D (gồm D − 1 µs, D − 1 s)
chưa có checkpoint</t>
        </is>
      </c>
      <c r="O9" s="10" t="inlineStr">
        <is>
          <t>4
5</t>
        </is>
      </c>
      <c r="Q9" s="10" t="inlineStr">
        <is>
          <t>Liên kết</t>
        </is>
      </c>
      <c r="R9" s="11" t="inlineStr">
        <is>
          <t>active</t>
        </is>
      </c>
      <c r="S9" s="11" t="inlineStr">
        <is>
          <t>active</t>
        </is>
      </c>
      <c r="T9" s="11" t="inlineStr">
        <is>
          <t>active</t>
        </is>
      </c>
      <c r="U9" s="11" t="inlineStr">
        <is>
          <t>pending</t>
        </is>
      </c>
      <c r="V9" s="11" t="inlineStr">
        <is>
          <t>revoked</t>
        </is>
      </c>
      <c r="W9" s="11" t="inlineStr">
        <is>
          <t>không có</t>
        </is>
      </c>
    </row>
    <row r="10" ht="74" customHeight="1">
      <c r="A10" s="7" t="inlineStr">
        <is>
          <t>TC-MISSVERIFY-02</t>
        </is>
      </c>
      <c r="B10" s="7" t="inlineStr">
        <is>
          <t>Không ghi gì khi patient chưa từng đồng bộ</t>
        </is>
      </c>
      <c r="C10" s="8" t="inlineStr">
        <is>
          <t>Như TC-01, P chưa có checkpoint</t>
        </is>
      </c>
      <c r="D10" s="8" t="inlineStr">
        <is>
          <t>1. Chạy lượt quét tại D + 1'
2. Kiểm dose_logs, notifications, hàng chờ, push</t>
        </is>
      </c>
      <c r="E10" s="8" t="inlineStr">
        <is>
          <t>cp = (không có); now = 10:01</t>
        </is>
      </c>
      <c r="F10" s="8" t="inlineStr">
        <is>
          <t>Không có dose_logs, notifications hay push cho F; liều vào missed_dose_pending_verifications; một push sync_request tới token Android của P</t>
        </is>
      </c>
      <c r="G10" s="8" t="inlineStr">
        <is>
          <t>Đúng như mong đợi</t>
        </is>
      </c>
      <c r="H10" s="7" t="inlineStr">
        <is>
          <t>Pass</t>
        </is>
      </c>
      <c r="I10" s="8" t="inlineStr">
        <is>
          <t>AC18 · AC37 · EP (5) · test_checkpoint_before_deadline_no_effect__AC18[None]</t>
        </is>
      </c>
      <c r="K10" s="9" t="inlineStr">
        <is>
          <t>Thời điểm quét now so với D</t>
        </is>
      </c>
      <c r="L10" s="10" t="inlineStr">
        <is>
          <t>now &gt; D</t>
        </is>
      </c>
      <c r="M10" s="10" t="inlineStr">
        <is>
          <t>2</t>
        </is>
      </c>
      <c r="N10" s="10" t="inlineStr">
        <is>
          <t>now = D</t>
        </is>
      </c>
      <c r="O10" s="10" t="inlineStr">
        <is>
          <t>6</t>
        </is>
      </c>
      <c r="Q10" s="10" t="inlineStr">
        <is>
          <t>Chia sẻ bật?</t>
        </is>
      </c>
      <c r="R10" s="11" t="inlineStr">
        <is>
          <t>Yes</t>
        </is>
      </c>
      <c r="S10" s="11" t="inlineStr">
        <is>
          <t>No</t>
        </is>
      </c>
      <c r="T10" s="11" t="inlineStr">
        <is>
          <t>Yes</t>
        </is>
      </c>
      <c r="U10" s="11" t="inlineStr">
        <is>
          <t>-</t>
        </is>
      </c>
      <c r="V10" s="11" t="inlineStr">
        <is>
          <t>-</t>
        </is>
      </c>
      <c r="W10" s="11" t="inlineStr">
        <is>
          <t>-</t>
        </is>
      </c>
    </row>
    <row r="11" ht="57.5" customHeight="1">
      <c r="A11" s="7" t="inlineStr">
        <is>
          <t>TC-MISSVERIFY-03</t>
        </is>
      </c>
      <c r="B11" s="7" t="inlineStr">
        <is>
          <t>Không ghi gì khi checkpoint sớm hơn hạn chót 1 giây</t>
        </is>
      </c>
      <c r="C11" s="8" t="inlineStr">
        <is>
          <t>Như TC-01</t>
        </is>
      </c>
      <c r="D11" s="8" t="inlineStr">
        <is>
          <t>1. Đặt checkpoint = D − 1 s
2. Chạy lượt quét tại D + 1'</t>
        </is>
      </c>
      <c r="E11" s="8" t="inlineStr">
        <is>
          <t>cp = 09:59:59; now = 10:01</t>
        </is>
      </c>
      <c r="F11" s="8" t="inlineStr">
        <is>
          <t>Như TC-02: không bo_lo, không cảnh báo; liều vào hàng chờ, gõ cửa P một lần</t>
        </is>
      </c>
      <c r="G11" s="8" t="inlineStr">
        <is>
          <t>Đúng như mong đợi</t>
        </is>
      </c>
      <c r="H11" s="7" t="inlineStr">
        <is>
          <t>Pass</t>
        </is>
      </c>
      <c r="I11" s="8" t="inlineStr">
        <is>
          <t>AC18 · EP (4) · test_checkpoint_before_deadline_no_effect__AC18[cp1]</t>
        </is>
      </c>
      <c r="K11" s="9" t="inlineStr">
        <is>
          <t>Trạng thái liều lúc quét</t>
        </is>
      </c>
      <c r="L11" s="10" t="inlineStr">
        <is>
          <t>chưa có dòng dose_logs</t>
        </is>
      </c>
      <c r="M11" s="10" t="inlineStr">
        <is>
          <t>3</t>
        </is>
      </c>
      <c r="N11" s="10" t="inlineStr">
        <is>
          <t>đã xác nhận (da_uong) trước khi quét</t>
        </is>
      </c>
      <c r="O11" s="10" t="inlineStr">
        <is>
          <t>7</t>
        </is>
      </c>
      <c r="Q11" s="10" t="inlineStr">
        <is>
          <t>Patient còn consent family_sharing?</t>
        </is>
      </c>
      <c r="R11" s="11" t="inlineStr">
        <is>
          <t>Yes</t>
        </is>
      </c>
      <c r="S11" s="11" t="inlineStr">
        <is>
          <t>Yes</t>
        </is>
      </c>
      <c r="T11" s="11" t="inlineStr">
        <is>
          <t>No</t>
        </is>
      </c>
      <c r="U11" s="11" t="inlineStr">
        <is>
          <t>-</t>
        </is>
      </c>
      <c r="V11" s="11" t="inlineStr">
        <is>
          <t>-</t>
        </is>
      </c>
      <c r="W11" s="11" t="inlineStr">
        <is>
          <t>-</t>
        </is>
      </c>
    </row>
    <row r="12" ht="74" customHeight="1">
      <c r="A12" s="7" t="inlineStr">
        <is>
          <t>TC-MISSVERIFY-04</t>
        </is>
      </c>
      <c r="B12" s="7" t="inlineStr">
        <is>
          <t>Xác minh liều trong hàng chờ khi patient đồng bộ muộn sau khi cursor đã đi qua</t>
        </is>
      </c>
      <c r="C12" s="8" t="inlineStr">
        <is>
          <t>Như TC-02 (liều 08:00 trong hàng chờ)</t>
        </is>
      </c>
      <c r="D12" s="8" t="inlineStr">
        <is>
          <t>1. Chạy lượt quét lúc 10:01, 13:01, 15:01 (P chưa đồng bộ)
2. Đặt checkpoint = 15:00
3. Chạy lượt quét lúc 15:15</t>
        </is>
      </c>
      <c r="E12" s="8" t="inlineStr">
        <is>
          <t>cp = 15:00 VN</t>
        </is>
      </c>
      <c r="F12" s="8" t="inlineStr">
        <is>
          <t>Ba lượt đầu: chỉ gõ cửa một lần, không bo_lo; lượt 15:15 ghi bo_lo và báo F như TC-01 dù cursor đã qua L; hàng chờ trống</t>
        </is>
      </c>
      <c r="G12" s="8" t="inlineStr">
        <is>
          <t>Đúng như mong đợi</t>
        </is>
      </c>
      <c r="H12" s="7" t="inlineStr">
        <is>
          <t>Pass</t>
        </is>
      </c>
      <c r="I12" s="8" t="inlineStr">
        <is>
          <t>AC19 · test_late_checkpoint_verifies_after_cursor_passed__AC19</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TC-MISSVERIFY-05</t>
        </is>
      </c>
      <c r="B13" s="7" t="inlineStr">
        <is>
          <t>Không báo khi xác nhận đến muộn trước checkpoint</t>
        </is>
      </c>
      <c r="C13" s="8" t="inlineStr">
        <is>
          <t>Như TC-02 (liều trong hàng chờ)</t>
        </is>
      </c>
      <c r="D13" s="8" t="inlineStr">
        <is>
          <t>1. Lúc 15:00, P gửi POST /doses/batch taken_at = 08:10
2. Đặt checkpoint = 15:00
3. Chạy lượt quét lúc 15:15</t>
        </is>
      </c>
      <c r="E13" s="8" t="inlineStr">
        <is>
          <t>taken_at = 2026-10-19T08:10:00+07:00</t>
        </is>
      </c>
      <c r="F13" s="8" t="inlineStr">
        <is>
          <t>Liều là da_uong; F không bao giờ có notifications hay push về L; hàng chờ trống</t>
        </is>
      </c>
      <c r="G13" s="8" t="inlineStr">
        <is>
          <t>Đúng như mong đợi</t>
        </is>
      </c>
      <c r="H13" s="7" t="inlineStr">
        <is>
          <t>Pass</t>
        </is>
      </c>
      <c r="I13" s="8" t="inlineStr">
        <is>
          <t>AC20 · test_late_confirmation_then_checkpoint_never_alerts__AC20</t>
        </is>
      </c>
      <c r="Q13" s="10" t="inlineStr">
        <is>
          <t>Có notifications + push (token Android)</t>
        </is>
      </c>
      <c r="R13" s="11" t="inlineStr">
        <is>
          <t>X</t>
        </is>
      </c>
      <c r="S13" s="11" t="inlineStr"/>
      <c r="T13" s="11" t="inlineStr"/>
      <c r="U13" s="11" t="inlineStr"/>
      <c r="V13" s="11" t="inlineStr"/>
      <c r="W13" s="11" t="inlineStr"/>
    </row>
    <row r="14" ht="57.5" customHeight="1">
      <c r="A14" s="7" t="inlineStr">
        <is>
          <t>TC-MISSVERIFY-06</t>
        </is>
      </c>
      <c r="B14" s="7" t="inlineStr">
        <is>
          <t>Coi checkpoint đúng bằng hạn chót là đã xác minh</t>
        </is>
      </c>
      <c r="C14" s="8" t="inlineStr">
        <is>
          <t>Như TC-01</t>
        </is>
      </c>
      <c r="D14" s="8" t="inlineStr">
        <is>
          <t>1. Đặt checkpoint = D
2. Chạy lượt quét tại D + 1'</t>
        </is>
      </c>
      <c r="E14" s="8" t="inlineStr">
        <is>
          <t>cp = 10:00:00.000000</t>
        </is>
      </c>
      <c r="F14" s="8" t="inlineStr">
        <is>
          <t>bo_lo + một cảnh báo + một push cho F</t>
        </is>
      </c>
      <c r="G14" s="8" t="inlineStr">
        <is>
          <t>Đúng như mong đợi</t>
        </is>
      </c>
      <c r="H14" s="7" t="inlineStr">
        <is>
          <t>Pass</t>
        </is>
      </c>
      <c r="I14" s="8" t="inlineStr">
        <is>
          <t>AC21 · BVA (min) · test_checkpoint_boundary_microsecond__AC21[cp0-True]</t>
        </is>
      </c>
      <c r="Q14" s="10" t="inlineStr">
        <is>
          <t>Liều vẫn bo_lo, người thân không có gì</t>
        </is>
      </c>
      <c r="R14" s="11" t="inlineStr"/>
      <c r="S14" s="11" t="inlineStr">
        <is>
          <t>X</t>
        </is>
      </c>
      <c r="T14" s="11" t="inlineStr">
        <is>
          <t>X</t>
        </is>
      </c>
      <c r="U14" s="11" t="inlineStr">
        <is>
          <t>X</t>
        </is>
      </c>
      <c r="V14" s="11" t="inlineStr">
        <is>
          <t>X</t>
        </is>
      </c>
      <c r="W14" s="11" t="inlineStr">
        <is>
          <t>X</t>
        </is>
      </c>
    </row>
    <row r="15" ht="57.5" customHeight="1">
      <c r="A15" s="7" t="inlineStr">
        <is>
          <t>TC-MISSVERIFY-07</t>
        </is>
      </c>
      <c r="B15" s="7" t="inlineStr">
        <is>
          <t>Coi checkpoint sớm hơn hạn chót 1 micro giây là chưa xác minh</t>
        </is>
      </c>
      <c r="C15" s="8" t="inlineStr">
        <is>
          <t>Như TC-01</t>
        </is>
      </c>
      <c r="D15" s="8" t="inlineStr">
        <is>
          <t>1. Đặt checkpoint = D − 1 µs
2. Chạy lượt quét tại D + 1'</t>
        </is>
      </c>
      <c r="E15" s="8" t="inlineStr">
        <is>
          <t>cp = 09:59:59.999999</t>
        </is>
      </c>
      <c r="F15" s="8" t="inlineStr">
        <is>
          <t>Không bo_lo; liều vào hàng chờ</t>
        </is>
      </c>
      <c r="G15" s="8" t="inlineStr">
        <is>
          <t>Đúng như mong đợi</t>
        </is>
      </c>
      <c r="H15" s="7" t="inlineStr">
        <is>
          <t>Pass</t>
        </is>
      </c>
      <c r="I15" s="8" t="inlineStr">
        <is>
          <t>AC21 · BVA (min-1) · test_checkpoint_boundary_microsecond__AC21[cp1-False]</t>
        </is>
      </c>
    </row>
    <row r="16" ht="57.5" customHeight="1">
      <c r="A16" s="7" t="inlineStr">
        <is>
          <t>TC-MISSVERIFY-08</t>
        </is>
      </c>
      <c r="B16" s="7" t="inlineStr">
        <is>
          <t>Chưa xử lý liều khi lượt quét chạy đúng tại hạn chót</t>
        </is>
      </c>
      <c r="C16" s="8" t="inlineStr">
        <is>
          <t>Như TC-01, cp = D + 5'</t>
        </is>
      </c>
      <c r="D16" s="8" t="inlineStr">
        <is>
          <t>1. Chạy lượt quét tại now = D
2. Chạy lượt quét tại now = D + 1 s</t>
        </is>
      </c>
      <c r="E16" s="8" t="inlineStr">
        <is>
          <t>now = 10:00:00 rồi 10:00:01</t>
        </is>
      </c>
      <c r="F16" s="8" t="inlineStr">
        <is>
          <t>Tại D: không dose_logs, không hàng chờ, không push. Tại D + 1 s: như TC-01</t>
        </is>
      </c>
      <c r="G16" s="8" t="inlineStr">
        <is>
          <t>Đúng như mong đợi</t>
        </is>
      </c>
      <c r="H16" s="7" t="inlineStr">
        <is>
          <t>Pass</t>
        </is>
      </c>
      <c r="I16" s="8" t="inlineStr">
        <is>
          <t>AC22 · EP (6) · BVA (max, max+1) · test_now_equal_deadline__AC22</t>
        </is>
      </c>
    </row>
    <row r="17" ht="41" customHeight="1">
      <c r="A17" s="7" t="inlineStr">
        <is>
          <t>TC-MISSVERIFY-09</t>
        </is>
      </c>
      <c r="B17" s="7" t="inlineStr">
        <is>
          <t>Không đổi liều đã xác nhận trước hạn chót</t>
        </is>
      </c>
      <c r="C17" s="8" t="inlineStr">
        <is>
          <t>P xác nhận L lúc 08:10 (da_uong); cp = D + 5'</t>
        </is>
      </c>
      <c r="D17" s="8" t="inlineStr">
        <is>
          <t>1. Chạy lượt quét tại D + 6'</t>
        </is>
      </c>
      <c r="E17" s="8" t="inlineStr">
        <is>
          <t>taken_at = 08:10</t>
        </is>
      </c>
      <c r="F17" s="8" t="inlineStr">
        <is>
          <t>Dòng giữ nguyên da_uong; không cảnh báo; không hàng chờ; không gõ cửa</t>
        </is>
      </c>
      <c r="G17" s="8" t="inlineStr">
        <is>
          <t>Đúng như mong đợi</t>
        </is>
      </c>
      <c r="H17" s="7" t="inlineStr">
        <is>
          <t>Pass</t>
        </is>
      </c>
      <c r="I17" s="8" t="inlineStr">
        <is>
          <t>AC23 · EP (7) · test_confirmed_before_deadline__AC23</t>
        </is>
      </c>
    </row>
    <row r="18" ht="41" customHeight="1">
      <c r="A18" s="7" t="inlineStr">
        <is>
          <t>TC-MISSVERIFY-10</t>
        </is>
      </c>
      <c r="B18" s="7" t="inlineStr">
        <is>
          <t>Giữ một kết quả khi quét chồng lấn nhiều lượt</t>
        </is>
      </c>
      <c r="C18" s="8" t="inlineStr">
        <is>
          <t>Như TC-01</t>
        </is>
      </c>
      <c r="D18" s="8" t="inlineStr">
        <is>
          <t>1. Chạy lượt quét tại D + 6', D + 7', D + 20'</t>
        </is>
      </c>
      <c r="E18" s="8" t="inlineStr">
        <is>
          <t>3 lượt quét, overlap 30'</t>
        </is>
      </c>
      <c r="F18" s="8" t="inlineStr">
        <is>
          <t>Một dòng bo_lo, một notifications, tổng một push</t>
        </is>
      </c>
      <c r="G18" s="8" t="inlineStr">
        <is>
          <t>Đúng như mong đợi</t>
        </is>
      </c>
      <c r="H18" s="7" t="inlineStr">
        <is>
          <t>Pass</t>
        </is>
      </c>
      <c r="I18" s="8" t="inlineStr">
        <is>
          <t>AC24 · test_overlapping_scans_single_effect__AC24</t>
        </is>
      </c>
    </row>
    <row r="19" ht="74" customHeight="1">
      <c r="A19" s="7" t="inlineStr">
        <is>
          <t>TC-MISSVERIFY-11</t>
        </is>
      </c>
      <c r="B19" s="7" t="inlineStr">
        <is>
          <t>Không báo người thân khi patient tắt chia sẻ</t>
        </is>
      </c>
      <c r="C19" s="8" t="inlineStr">
        <is>
          <t>F liên kết active, sharing_enabled = false; F có token Android</t>
        </is>
      </c>
      <c r="D19" s="8" t="inlineStr">
        <is>
          <t>1. cp = D + 5'
2. Quét tại D + 6'</t>
        </is>
      </c>
      <c r="E19" s="8" t="inlineStr">
        <is>
          <t>sharing_enabled = false</t>
        </is>
      </c>
      <c r="F19" s="8" t="inlineStr">
        <is>
          <t>Liều bo_lo; F không có notifications, không push</t>
        </is>
      </c>
      <c r="G19" s="8" t="inlineStr">
        <is>
          <t>Đúng như mong đợi</t>
        </is>
      </c>
      <c r="H19" s="7" t="inlineStr">
        <is>
          <t>Pass</t>
        </is>
      </c>
      <c r="I19" s="8" t="inlineStr">
        <is>
          <t>AC28 · Decision Table (R2) · test_recipient_without_permission_gets_nothing__AC28[sharing_off]</t>
        </is>
      </c>
    </row>
    <row r="20" ht="74" customHeight="1">
      <c r="A20" s="7" t="inlineStr">
        <is>
          <t>TC-MISSVERIFY-12</t>
        </is>
      </c>
      <c r="B20" s="7" t="inlineStr">
        <is>
          <t>Không báo người thân khi patient đã rút consent family_sharing</t>
        </is>
      </c>
      <c r="C20" s="8" t="inlineStr">
        <is>
          <t>Liên kết active + chia sẻ; consent family_sharing của P đã thu_hoi</t>
        </is>
      </c>
      <c r="D20" s="8" t="inlineStr">
        <is>
          <t>1. cp = D + 5'
2. Quét tại D + 6'</t>
        </is>
      </c>
      <c r="E20" s="8" t="inlineStr">
        <is>
          <t>user_consents.family_sharing = thu_hoi</t>
        </is>
      </c>
      <c r="F20" s="8" t="inlineStr">
        <is>
          <t>Liều bo_lo; F không có gì</t>
        </is>
      </c>
      <c r="G20" s="8" t="inlineStr">
        <is>
          <t>Đúng như mong đợi</t>
        </is>
      </c>
      <c r="H20" s="7" t="inlineStr">
        <is>
          <t>Pass</t>
        </is>
      </c>
      <c r="I20" s="8" t="inlineStr">
        <is>
          <t>AC28 · Decision Table (R3) · test_recipient_without_permission_gets_nothing__AC28[family_sharing_revoked]</t>
        </is>
      </c>
    </row>
    <row r="21" ht="57.5" customHeight="1">
      <c r="A21" s="7" t="inlineStr">
        <is>
          <t>TC-MISSVERIFY-13</t>
        </is>
      </c>
      <c r="B21" s="7" t="inlineStr">
        <is>
          <t>Không báo người thân có yêu cầu liên kết đang chờ duyệt</t>
        </is>
      </c>
      <c r="C21" s="8" t="inlineStr">
        <is>
          <t>caregiver_links.status = pending</t>
        </is>
      </c>
      <c r="D21" s="8" t="inlineStr">
        <is>
          <t>1. cp = D + 5'
2. Quét tại D + 6'</t>
        </is>
      </c>
      <c r="E21" s="8" t="inlineStr">
        <is>
          <t>status = pending</t>
        </is>
      </c>
      <c r="F21" s="8" t="inlineStr">
        <is>
          <t>Liều bo_lo; F không có gì</t>
        </is>
      </c>
      <c r="G21" s="8" t="inlineStr">
        <is>
          <t>Đúng như mong đợi</t>
        </is>
      </c>
      <c r="H21" s="7" t="inlineStr">
        <is>
          <t>Pass</t>
        </is>
      </c>
      <c r="I21" s="8" t="inlineStr">
        <is>
          <t>AC28 · Decision Table (R4) · test_recipient_without_permission_gets_nothing__AC28[pending]</t>
        </is>
      </c>
    </row>
    <row r="22" ht="57.5" customHeight="1">
      <c r="A22" s="7" t="inlineStr">
        <is>
          <t>TC-MISSVERIFY-14</t>
        </is>
      </c>
      <c r="B22" s="7" t="inlineStr">
        <is>
          <t>Không báo người thân đã bị hủy liên kết</t>
        </is>
      </c>
      <c r="C22" s="8" t="inlineStr">
        <is>
          <t>caregiver_links.status = revoked</t>
        </is>
      </c>
      <c r="D22" s="8" t="inlineStr">
        <is>
          <t>1. cp = D + 5'
2. Quét tại D + 6'</t>
        </is>
      </c>
      <c r="E22" s="8" t="inlineStr">
        <is>
          <t>status = revoked</t>
        </is>
      </c>
      <c r="F22" s="8" t="inlineStr">
        <is>
          <t>Liều bo_lo; F không có gì</t>
        </is>
      </c>
      <c r="G22" s="8" t="inlineStr">
        <is>
          <t>Đúng như mong đợi</t>
        </is>
      </c>
      <c r="H22" s="7" t="inlineStr">
        <is>
          <t>Pass</t>
        </is>
      </c>
      <c r="I22" s="8" t="inlineStr">
        <is>
          <t>AC28 · Decision Table (R5) · test_recipient_without_permission_gets_nothing__AC28[revoked]</t>
        </is>
      </c>
    </row>
    <row r="23" ht="57.5" customHeight="1">
      <c r="A23" s="7" t="inlineStr">
        <is>
          <t>TC-MISSVERIFY-15</t>
        </is>
      </c>
      <c r="B23" s="7" t="inlineStr">
        <is>
          <t>Không báo người dùng không có liên kết</t>
        </is>
      </c>
      <c r="C23" s="8" t="inlineStr">
        <is>
          <t>F không có caregiver_links với P</t>
        </is>
      </c>
      <c r="D23" s="8" t="inlineStr">
        <is>
          <t>1. cp = D + 5'
2. Quét tại D + 6'</t>
        </is>
      </c>
      <c r="E23" s="8" t="inlineStr">
        <is>
          <t>(không có liên kết)</t>
        </is>
      </c>
      <c r="F23" s="8" t="inlineStr">
        <is>
          <t>Liều bo_lo; F không có gì</t>
        </is>
      </c>
      <c r="G23" s="8" t="inlineStr">
        <is>
          <t>Đúng như mong đợi</t>
        </is>
      </c>
      <c r="H23" s="7" t="inlineStr">
        <is>
          <t>Pass</t>
        </is>
      </c>
      <c r="I23" s="8" t="inlineStr">
        <is>
          <t>AC28 · Decision Table (R6) · test_recipient_without_permission_gets_nothing__AC28[no_link]</t>
        </is>
      </c>
    </row>
    <row r="24" ht="74" customHeight="1">
      <c r="A24" s="7" t="inlineStr">
        <is>
          <t>TC-MISSVERIFY-16</t>
        </is>
      </c>
      <c r="B24" s="7" t="inlineStr">
        <is>
          <t>Không báo khi người thân mất quyền giữa lúc chưa xác minh và lúc xác minh</t>
        </is>
      </c>
      <c r="C24" s="8" t="inlineStr">
        <is>
          <t>Như TC-02 (liều trong hàng chờ)</t>
        </is>
      </c>
      <c r="D24" s="8" t="inlineStr">
        <is>
          <t>1. Hủy liên kết (revoked, tắt chia sẻ)
2. cp = 11:00
3. Quét lúc 11:15</t>
        </is>
      </c>
      <c r="E24" s="8" t="inlineStr">
        <is>
          <t>status: active → revoked</t>
        </is>
      </c>
      <c r="F24" s="8" t="inlineStr">
        <is>
          <t>Liều bo_lo; F không có notifications, không push</t>
        </is>
      </c>
      <c r="G24" s="8" t="inlineStr">
        <is>
          <t>Đúng như mong đợi</t>
        </is>
      </c>
      <c r="H24" s="7" t="inlineStr">
        <is>
          <t>Pass</t>
        </is>
      </c>
      <c r="I24" s="8" t="inlineStr">
        <is>
          <t>AC28 · kịch bản 'rút consent/hủy liên kết → hiệu lực ngay' · test_permission_lost_between_pending_and_verification__AC28</t>
        </is>
      </c>
    </row>
    <row r="25" ht="41" customHeight="1">
      <c r="A25" s="7" t="inlineStr">
        <is>
          <t>TC-MISSVERIFY-17</t>
        </is>
      </c>
      <c r="B25" s="7" t="inlineStr">
        <is>
          <t>Chỉ tạo hộp thư, không push, khi người thân chỉ có token iOS</t>
        </is>
      </c>
      <c r="C25" s="8" t="inlineStr">
        <is>
          <t>F đủ quyền, chỉ có token iOS</t>
        </is>
      </c>
      <c r="D25" s="8" t="inlineStr">
        <is>
          <t>1. cp = D + 5'
2. Quét tại D + 6'</t>
        </is>
      </c>
      <c r="E25" s="8" t="inlineStr">
        <is>
          <t>platform = ios</t>
        </is>
      </c>
      <c r="F25" s="8" t="inlineStr">
        <is>
          <t>F có một notifications; không push</t>
        </is>
      </c>
      <c r="G25" s="8" t="inlineStr">
        <is>
          <t>Đúng như mong đợi</t>
        </is>
      </c>
      <c r="H25" s="7" t="inlineStr">
        <is>
          <t>Pass</t>
        </is>
      </c>
      <c r="I25" s="8" t="inlineStr">
        <is>
          <t>AC29 · test_ios_only_family_gets_inbox_without_push__AC29</t>
        </is>
      </c>
    </row>
    <row r="26" ht="41" customHeight="1">
      <c r="A26" s="7" t="inlineStr">
        <is>
          <t>TC-MISSVERIFY-18</t>
        </is>
      </c>
      <c r="B26" s="7" t="inlineStr">
        <is>
          <t>Báo riêng từng thuốc khi quên ba thuốc cùng giờ</t>
        </is>
      </c>
      <c r="C26" s="8" t="inlineStr">
        <is>
          <t>P có 3 thuốc cùng 08:00; F đủ quyền</t>
        </is>
      </c>
      <c r="D26" s="8" t="inlineStr">
        <is>
          <t>1. cp = D + 5'
2. Quét tại D + 6'</t>
        </is>
      </c>
      <c r="E26" s="8" t="inlineStr">
        <is>
          <t>3 lịch 08:00</t>
        </is>
      </c>
      <c r="F26" s="8" t="inlineStr">
        <is>
          <t>3 dòng bo_lo, 3 notifications, 3 push (3 notification_id khác nhau)</t>
        </is>
      </c>
      <c r="G26" s="8" t="inlineStr">
        <is>
          <t>Đúng như mong đợi</t>
        </is>
      </c>
      <c r="H26" s="7" t="inlineStr">
        <is>
          <t>Pass</t>
        </is>
      </c>
      <c r="I26" s="8" t="inlineStr">
        <is>
          <t>AC30 · test_three_meds_three_alerts__AC30</t>
        </is>
      </c>
    </row>
    <row r="27" ht="41" customHeight="1">
      <c r="A27" s="7" t="inlineStr">
        <is>
          <t>TC-MISSVERIFY-19</t>
        </is>
      </c>
      <c r="B27" s="7" t="inlineStr">
        <is>
          <t>Bù đủ liều khi Worker ngừng chạy 3 giờ</t>
        </is>
      </c>
      <c r="C27" s="8" t="inlineStr">
        <is>
          <t>3 lịch 08:00, 09:00, 10:00; cursor lùi 3 giờ</t>
        </is>
      </c>
      <c r="D27" s="8" t="inlineStr">
        <is>
          <t>1. cp mới
2. Một lượt quét sau hạn chót của liều 10:00</t>
        </is>
      </c>
      <c r="E27" s="8" t="inlineStr">
        <is>
          <t>cursor = now − 120' − 3h</t>
        </is>
      </c>
      <c r="F27" s="8" t="inlineStr">
        <is>
          <t>3 dòng bo_lo, mỗi liều một dòng; 3 notifications</t>
        </is>
      </c>
      <c r="G27" s="8" t="inlineStr">
        <is>
          <t>Đúng như mong đợi</t>
        </is>
      </c>
      <c r="H27" s="7" t="inlineStr">
        <is>
          <t>Pass</t>
        </is>
      </c>
      <c r="I27" s="8" t="inlineStr">
        <is>
          <t>AC31 · test_cursor_lag_backfill__AC31</t>
        </is>
      </c>
    </row>
    <row r="28" ht="74" customHeight="1">
      <c r="A28" s="7" t="inlineStr">
        <is>
          <t>TC-MISSVERIFY-20</t>
        </is>
      </c>
      <c r="B28" s="7" t="inlineStr">
        <is>
          <t>Rollback toàn bộ lượt quét khi tạo cảnh báo lỗi</t>
        </is>
      </c>
      <c r="C28" s="8" t="inlineStr">
        <is>
          <t>Liều trong hàng chờ; cursor thật (job riêng); cp = 11:00</t>
        </is>
      </c>
      <c r="D28" s="8" t="inlineStr">
        <is>
          <t>1. Quét lúc 11:15 với tạo notifications ném lỗi
2. Kiểm DB
3. Quét lại lúc 11:30 bình thường</t>
        </is>
      </c>
      <c r="E28" s="8" t="inlineStr">
        <is>
          <t>RuntimeError giả lập trong create_missed_alert</t>
        </is>
      </c>
      <c r="F28" s="8" t="inlineStr">
        <is>
          <t>Lượt lỗi: không dose_logs, không notifications, cursor và hàng chờ giữ nguyên, không push. Lượt sau: bo_lo + cảnh báo như TC-01</t>
        </is>
      </c>
      <c r="G28" s="8" t="inlineStr">
        <is>
          <t>Đúng như mong đợi</t>
        </is>
      </c>
      <c r="H28" s="7" t="inlineStr">
        <is>
          <t>Pass</t>
        </is>
      </c>
      <c r="I28" s="8" t="inlineStr">
        <is>
          <t>AC32 · test_failure_rolls_back_all__AC32</t>
        </is>
      </c>
    </row>
    <row r="29" ht="57.5" customHeight="1">
      <c r="A29" s="7" t="inlineStr">
        <is>
          <t>TC-MISSVERIFY-21</t>
        </is>
      </c>
      <c r="B29" s="7" t="inlineStr">
        <is>
          <t>Vẫn báo liều bỏ lỡ của thuốc đã ngừng hoặc đã xóa lúc 09:00</t>
        </is>
      </c>
      <c r="C29" s="8" t="inlineStr">
        <is>
          <t>Lịch 08:00 đóng lúc 09:00; lịch 08:10 của thuốc bị xóa mềm lúc 09:00</t>
        </is>
      </c>
      <c r="D29" s="8" t="inlineStr">
        <is>
          <t>1. cp = 10:15
2. Quét lúc 10:16</t>
        </is>
      </c>
      <c r="E29" s="8" t="inlineStr">
        <is>
          <t>ended_at = deleted_at = 09:00</t>
        </is>
      </c>
      <c r="F29" s="8" t="inlineStr">
        <is>
          <t>Cả hai liều bo_lo và F được báo mỗi liều một cảnh báo</t>
        </is>
      </c>
      <c r="G29" s="8" t="inlineStr">
        <is>
          <t>Đúng như mong đợi</t>
        </is>
      </c>
      <c r="H29" s="7" t="inlineStr">
        <is>
          <t>Pass</t>
        </is>
      </c>
      <c r="I29" s="8" t="inlineStr">
        <is>
          <t>AC33 · test_stopped_or_deleted_medication_still_missed__AC33</t>
        </is>
      </c>
    </row>
    <row r="30" ht="57.5" customHeight="1">
      <c r="A30" s="7" t="inlineStr">
        <is>
          <t>TC-MISSVERIFY-22</t>
        </is>
      </c>
      <c r="B30" s="7" t="inlineStr">
        <is>
          <t>Báo bỏ lỡ sau khi xác nhận sớm bị từ chối</t>
        </is>
      </c>
      <c r="C30" s="8" t="inlineStr">
        <is>
          <t>Như TC-01</t>
        </is>
      </c>
      <c r="D30" s="8" t="inlineStr">
        <is>
          <t>1. POST /doses/batch taken_at = L − 31'
2. cp = D + 5'
3. Quét tại D + 6'</t>
        </is>
      </c>
      <c r="E30" s="8" t="inlineStr">
        <is>
          <t>taken_at = 07:29</t>
        </is>
      </c>
      <c r="F30" s="8" t="inlineStr">
        <is>
          <t>Mục trả failed, error.code = taken_at_too_early, http_status = 422; sau đó liều bo_lo và F được báo</t>
        </is>
      </c>
      <c r="G30" s="8" t="inlineStr">
        <is>
          <t>Đúng như mong đợi</t>
        </is>
      </c>
      <c r="H30" s="7" t="inlineStr">
        <is>
          <t>Pass</t>
        </is>
      </c>
      <c r="I30" s="8" t="inlineStr">
        <is>
          <t>AC34 · BVA (min-1) · test_too_early_confirmation_then_verified__AC34</t>
        </is>
      </c>
    </row>
    <row r="31" ht="41" customHeight="1">
      <c r="A31" s="7" t="inlineStr">
        <is>
          <t>TC-MISSVERIFY-23</t>
        </is>
      </c>
      <c r="B31" s="7" t="inlineStr">
        <is>
          <t>Không xét liều cũ ở lần chạy đầu sau triển khai</t>
        </is>
      </c>
      <c r="C31" s="8" t="inlineStr">
        <is>
          <t>Chưa có cursor; liều 08:00; cp ≥ D</t>
        </is>
      </c>
      <c r="D31" s="8" t="inlineStr">
        <is>
          <t>1. Quét tại D + 31'</t>
        </is>
      </c>
      <c r="E31" s="8" t="inlineStr">
        <is>
          <t>cursor = (không có)</t>
        </is>
      </c>
      <c r="F31" s="8" t="inlineStr">
        <is>
          <t>Không dose_logs, không hàng chờ, không gõ cửa, không cảnh báo</t>
        </is>
      </c>
      <c r="G31" s="8" t="inlineStr">
        <is>
          <t>Đúng như mong đợi</t>
        </is>
      </c>
      <c r="H31" s="7" t="inlineStr">
        <is>
          <t>Pass</t>
        </is>
      </c>
      <c r="I31" s="8" t="inlineStr">
        <is>
          <t>AC35 · test_first_run_window_skips_old_deadlines__AC35</t>
        </is>
      </c>
    </row>
    <row r="32" ht="107" customHeight="1">
      <c r="A32" s="7" t="inlineStr">
        <is>
          <t>TC-MISSVERIFY-24</t>
        </is>
      </c>
      <c r="B32" s="7" t="inlineStr">
        <is>
          <t>Báo đủ 9 liều sau 3 ngày offline, thân push là câu chung</t>
        </is>
      </c>
      <c r="C32" s="8" t="inlineStr">
        <is>
          <t>P có 3 lịch (08:00, 12:00, 16:00), offline 3 ngày; Worker quét mỗi tối</t>
        </is>
      </c>
      <c r="D32" s="8" t="inlineStr">
        <is>
          <t>1. Quét 19:00 mỗi ngày (P chưa đồng bộ)
2. cp = 20:00 ngày thứ 3
3. Quét 20:15
4. Dựng payload FCM của từng cảnh báo</t>
        </is>
      </c>
      <c r="E32" s="8" t="inlineStr">
        <is>
          <t>9 liều; full_name của P = Test User</t>
        </is>
      </c>
      <c r="F32" s="8" t="inlineStr">
        <is>
          <t>9 dòng bo_lo; 9 notifications đúng scheduled_at từng liều (nội dung hộp thư có tên P); 9 push, mỗi push một notification_id; thân push = 'Bạn có cảnh báo mới về người thân', payload không có tên P, tên thuốc, giờ liều</t>
        </is>
      </c>
      <c r="G32" s="8" t="inlineStr">
        <is>
          <t>Đúng như mong đợi</t>
        </is>
      </c>
      <c r="H32" s="7" t="inlineStr">
        <is>
          <t>Pass</t>
        </is>
      </c>
      <c r="I32" s="8" t="inlineStr">
        <is>
          <t>AC36 · Q10 · test_offline_three_days_nine_alerts_generic_body__AC36</t>
        </is>
      </c>
    </row>
    <row r="33" ht="57.5" customHeight="1">
      <c r="A33" s="7" t="inlineStr">
        <is>
          <t>TC-MISSVERIFY-25</t>
        </is>
      </c>
      <c r="B33" s="7" t="inlineStr">
        <is>
          <t>Gõ cửa một lần mỗi token Android của patient, không gõ iOS</t>
        </is>
      </c>
      <c r="C33" s="8" t="inlineStr">
        <is>
          <t>P có 2 token Android, 1 token iOS; 3 liều cùng qua hạn chót; chưa có checkpoint</t>
        </is>
      </c>
      <c r="D33" s="8" t="inlineStr">
        <is>
          <t>1. Quét
2. Quét lại 15' sau (chồng lấn)</t>
        </is>
      </c>
      <c r="E33" s="8" t="inlineStr">
        <is>
          <t>3 liều 08:00, 08:10, 08:20</t>
        </is>
      </c>
      <c r="F33" s="8" t="inlineStr">
        <is>
          <t>Mỗi token Android đúng một sync_request; iOS không; không notifications; lượt chồng lấn không gõ lại</t>
        </is>
      </c>
      <c r="G33" s="8" t="inlineStr">
        <is>
          <t>Đúng như mong đợi</t>
        </is>
      </c>
      <c r="H33" s="7" t="inlineStr">
        <is>
          <t>Pass</t>
        </is>
      </c>
      <c r="I33" s="8" t="inlineStr">
        <is>
          <t>AC37 · test_sync_request_android_only_once_per_token__AC37</t>
        </is>
      </c>
    </row>
    <row r="34" ht="41" customHeight="1">
      <c r="A34" s="7" t="inlineStr">
        <is>
          <t>TC-MISSVERIFY-26</t>
        </is>
      </c>
      <c r="B34" s="7" t="inlineStr">
        <is>
          <t>Không gõ cửa với liều đã xác minh hoặc đã xác nhận</t>
        </is>
      </c>
      <c r="C34" s="8" t="inlineStr">
        <is>
          <t>Liều A chưa xác nhận, liều B đã xác nhận; cp ≥ D</t>
        </is>
      </c>
      <c r="D34" s="8" t="inlineStr">
        <is>
          <t>1. Quét tại D + 6'</t>
        </is>
      </c>
      <c r="E34" s="8" t="inlineStr">
        <is>
          <t>cp = D + 5'</t>
        </is>
      </c>
      <c r="F34" s="8" t="inlineStr">
        <is>
          <t>Không sync_request; A bo_lo + cảnh báo</t>
        </is>
      </c>
      <c r="G34" s="8" t="inlineStr">
        <is>
          <t>Đúng như mong đợi</t>
        </is>
      </c>
      <c r="H34" s="7" t="inlineStr">
        <is>
          <t>Pass</t>
        </is>
      </c>
      <c r="I34" s="8" t="inlineStr">
        <is>
          <t>AC37 · test_verified_or_confirmed_doses_do_not_knock__AC37</t>
        </is>
      </c>
    </row>
    <row r="35" ht="41" customHeight="1">
      <c r="A35" s="7" t="inlineStr">
        <is>
          <t>TC-MISSVERIFY-27</t>
        </is>
      </c>
      <c r="B35" s="7" t="inlineStr">
        <is>
          <t>Sinh đúng một lượt uống cho lịch hằng ngày</t>
        </is>
      </c>
      <c r="C35" s="8" t="inlineStr">
        <is>
          <t>Lịch 08:00 mọi ngày</t>
        </is>
      </c>
      <c r="D35" s="8" t="inlineStr">
        <is>
          <t>1. Gọi occurrences_between bằng worker_role với cửa sổ [00:00Z, 02:00Z) ngày 05/10</t>
        </is>
      </c>
      <c r="E35" s="8" t="inlineStr">
        <is>
          <t>cửa sổ 2026-10-05 00:00Z–02:00Z</t>
        </is>
      </c>
      <c r="F35" s="8" t="inlineStr">
        <is>
          <t>Đúng một lượt (schedule_id kiểu int, P, 01:00:00Z)</t>
        </is>
      </c>
      <c r="G35" s="8" t="inlineStr">
        <is>
          <t>Đúng như mong đợi</t>
        </is>
      </c>
      <c r="H35" s="7" t="inlineStr">
        <is>
          <t>Pass</t>
        </is>
      </c>
      <c r="I35" s="8" t="inlineStr">
        <is>
          <t>AC1 · test_daily_one_occurrence__AC1</t>
        </is>
      </c>
    </row>
    <row r="36" ht="41" customHeight="1">
      <c r="A36" s="7" t="inlineStr">
        <is>
          <t>TC-MISSVERIFY-28</t>
        </is>
      </c>
      <c r="B36" s="7" t="inlineStr">
        <is>
          <t>Gán lượt uống đúng lịch khi lịch được thay cùng giờ</t>
        </is>
      </c>
      <c r="C36" s="8" t="inlineStr">
        <is>
          <t>S đóng 07:45 ngày 05/10, S2 cùng giờ mở từ 07:45</t>
        </is>
      </c>
      <c r="D36" s="8" t="inlineStr">
        <is>
          <t>1. Gọi occurrences_between cho 04/10–05/10</t>
        </is>
      </c>
      <c r="E36" s="8" t="inlineStr">
        <is>
          <t>switch = 2026-10-05 07:45 VN</t>
        </is>
      </c>
      <c r="F36" s="8" t="inlineStr">
        <is>
          <t>04/10 thuộc S, 05/10 thuộc S2, mỗi ngày một lượt</t>
        </is>
      </c>
      <c r="G36" s="8" t="inlineStr">
        <is>
          <t>Đúng như mong đợi</t>
        </is>
      </c>
      <c r="H36" s="7" t="inlineStr">
        <is>
          <t>Pass</t>
        </is>
      </c>
      <c r="I36" s="8" t="inlineStr">
        <is>
          <t>AC4 · test_schedule_replaced_same_time__AC4</t>
        </is>
      </c>
    </row>
    <row r="37" ht="57.5" customHeight="1">
      <c r="A37" s="7" t="inlineStr">
        <is>
          <t>TC-MISSVERIFY-29</t>
        </is>
      </c>
      <c r="B37" s="7" t="inlineStr">
        <is>
          <t>Sinh lượt uống trùng khớp tập liều của màn lịch sử</t>
        </is>
      </c>
      <c r="C37" s="8" t="inlineStr">
        <is>
          <t>Lịch mở, lịch đóng trong ngày, lịch đóng trước giờ, thuốc đã xóa, lịch 23:30</t>
        </is>
      </c>
      <c r="D37" s="8" t="inlineStr">
        <is>
          <t>1. GET /adherence cho ngày 05/10
2. occurrences_between cho cùng ngày
3. So hai tập (schedule_id, scheduled_at)</t>
        </is>
      </c>
      <c r="E37" s="8" t="inlineStr">
        <is>
          <t>5 lịch</t>
        </is>
      </c>
      <c r="F37" s="8" t="inlineStr">
        <is>
          <t>Hai tập bằng nhau, 4 lượt</t>
        </is>
      </c>
      <c r="G37" s="8" t="inlineStr">
        <is>
          <t>Đúng như mong đợi</t>
        </is>
      </c>
      <c r="H37" s="7" t="inlineStr">
        <is>
          <t>Pass</t>
        </is>
      </c>
      <c r="I37" s="8" t="inlineStr">
        <is>
          <t>AC10 · test_matches_history_generation__AC10</t>
        </is>
      </c>
    </row>
    <row r="38" ht="57.5" customHeight="1">
      <c r="A38" s="7" t="inlineStr">
        <is>
          <t>TC-MISSVERIFY-30</t>
        </is>
      </c>
      <c r="B38" s="7" t="inlineStr">
        <is>
          <t>Lọc theo giờ uống mà không làm mất lượt</t>
        </is>
      </c>
      <c r="C38" s="8" t="inlineStr">
        <is>
          <t>Lịch 07:00, 08:00, 09:00, 23:55, 00:05</t>
        </is>
      </c>
      <c r="D38" s="8" t="inlineStr">
        <is>
          <t>1. Cửa sổ [07:30, 08:01)
2. Cửa sổ [23:50, 00:10)
3. Cửa sổ ≥ 24 giờ</t>
        </is>
      </c>
      <c r="E38" s="8" t="inlineStr">
        <is>
          <t>3 cửa sổ</t>
        </is>
      </c>
      <c r="F38" s="8" t="inlineStr">
        <is>
          <t>Chỉ 08:00; đủ 23:55 và 00:05; đủ mọi lịch</t>
        </is>
      </c>
      <c r="G38" s="8" t="inlineStr">
        <is>
          <t>Đúng như mong đợi</t>
        </is>
      </c>
      <c r="H38" s="7" t="inlineStr">
        <is>
          <t>Pass</t>
        </is>
      </c>
      <c r="I38" s="8" t="inlineStr">
        <is>
          <t>AC11 · BVA · test_prefilter_keeps_results__AC11</t>
        </is>
      </c>
    </row>
    <row r="39" ht="57.5" customHeight="1">
      <c r="A39" s="7" t="inlineStr">
        <is>
          <t>TC-MISSVERIFY-31</t>
        </is>
      </c>
      <c r="B39" s="7" t="inlineStr">
        <is>
          <t>Vẫn xét liều 08:00 khi tắt nhắc lúc 09:00</t>
        </is>
      </c>
      <c r="C39" s="8" t="inlineStr">
        <is>
          <t>Lịch cũ 08:00 đóng 09:00, lịch mới tắt nhắc từ 09:00; thêm một lịch tắt nhắc từ đầu</t>
        </is>
      </c>
      <c r="D39" s="8" t="inlineStr">
        <is>
          <t>1. occurrences_between
2. cp ≥ D
3. Quét</t>
        </is>
      </c>
      <c r="E39" s="8" t="inlineStr">
        <is>
          <t>toggle = 09:00</t>
        </is>
      </c>
      <c r="F39" s="8" t="inlineStr">
        <is>
          <t>Có lượt 08:00 của lịch cũ; liều bo_lo + một cảnh báo; lịch tắt nhắc từ đầu không có gì; không gõ cửa</t>
        </is>
      </c>
      <c r="G39" s="8" t="inlineStr">
        <is>
          <t>Đúng như mong đợi</t>
        </is>
      </c>
      <c r="H39" s="7" t="inlineStr">
        <is>
          <t>Pass</t>
        </is>
      </c>
      <c r="I39" s="8" t="inlineStr">
        <is>
          <t>AC12 · test_reminder_disabled_and_toggle_time__AC12[9-True]</t>
        </is>
      </c>
    </row>
    <row r="40" ht="57.5" customHeight="1">
      <c r="A40" s="7" t="inlineStr">
        <is>
          <t>TC-MISSVERIFY-32</t>
        </is>
      </c>
      <c r="B40" s="7" t="inlineStr">
        <is>
          <t>Bỏ qua liều khi tắt nhắc lúc 07:00</t>
        </is>
      </c>
      <c r="C40" s="8" t="inlineStr">
        <is>
          <t>Như TC-31 với toggle = 07:00</t>
        </is>
      </c>
      <c r="D40" s="8" t="inlineStr">
        <is>
          <t>1. occurrences_between
2. cp ≥ D
3. Quét</t>
        </is>
      </c>
      <c r="E40" s="8" t="inlineStr">
        <is>
          <t>toggle = 07:00</t>
        </is>
      </c>
      <c r="F40" s="8" t="inlineStr">
        <is>
          <t>Không lượt, không bo_lo, không cảnh báo, không gõ cửa</t>
        </is>
      </c>
      <c r="G40" s="8" t="inlineStr">
        <is>
          <t>Đúng như mong đợi</t>
        </is>
      </c>
      <c r="H40" s="7" t="inlineStr">
        <is>
          <t>Pass</t>
        </is>
      </c>
      <c r="I40" s="8" t="inlineStr">
        <is>
          <t>AC12 · test_reminder_disabled_and_toggle_time__AC12[7-False]</t>
        </is>
      </c>
    </row>
    <row r="41" ht="90.5" customHeight="1">
      <c r="A41" s="7" t="inlineStr">
        <is>
          <t>TC-MISSVERIFY-33</t>
        </is>
      </c>
      <c r="B41" s="7" t="inlineStr">
        <is>
          <t>Tính theo taken_at khi xác nhận chờ khóa của Worker đang ghi bo_lo</t>
        </is>
      </c>
      <c r="C41" s="8" t="inlineStr">
        <is>
          <t>Worker (worker_role) đã ghi bo_lo cho L, chưa commit</t>
        </is>
      </c>
      <c r="D41" s="8" t="inlineStr">
        <is>
          <t>1. POST /doses/batch taken_at = 08:10 (chờ khóa)
2. Worker commit</t>
        </is>
      </c>
      <c r="E41" s="8" t="inlineStr">
        <is>
          <t>taken_at = 08:10</t>
        </is>
      </c>
      <c r="F41" s="8" t="inlineStr">
        <is>
          <t>Một dòng, da_uong, taken_at = 08:10</t>
        </is>
      </c>
      <c r="G41" s="8" t="inlineStr">
        <is>
          <t>Đúng như mong đợi</t>
        </is>
      </c>
      <c r="H41" s="7" t="inlineStr">
        <is>
          <t>Pass</t>
        </is>
      </c>
      <c r="I41" s="8" t="inlineStr">
        <is>
          <t>AC25 · kịch bản 'Worker chạy đua với xác nhận đến muộn → theo taken_at' · test_worker_race_late_confirmation_by_taken_at__AC25</t>
        </is>
      </c>
    </row>
    <row r="42" ht="41" customHeight="1">
      <c r="A42" s="7" t="inlineStr">
        <is>
          <t>TC-MISSVERIFY-34</t>
        </is>
      </c>
      <c r="B42" s="7" t="inlineStr">
        <is>
          <t>Không ghi bo_lo, không báo khi xác nhận commit trước Worker</t>
        </is>
      </c>
      <c r="C42" s="8" t="inlineStr">
        <is>
          <t>P xác nhận L lúc 08:10 trước lượt quét; F đủ quyền</t>
        </is>
      </c>
      <c r="D42" s="8" t="inlineStr">
        <is>
          <t>1. cp ≥ D
2. Quét</t>
        </is>
      </c>
      <c r="E42" s="8" t="inlineStr">
        <is>
          <t>taken_at = 08:10</t>
        </is>
      </c>
      <c r="F42" s="8" t="inlineStr">
        <is>
          <t>Một dòng da_uong; F không có notifications</t>
        </is>
      </c>
      <c r="G42" s="8" t="inlineStr">
        <is>
          <t>Đúng như mong đợi</t>
        </is>
      </c>
      <c r="H42" s="7" t="inlineStr">
        <is>
          <t>Pass</t>
        </is>
      </c>
      <c r="I42" s="8" t="inlineStr">
        <is>
          <t>AC25 · test_confirmation_first_then_worker_no_alert__AC25</t>
        </is>
      </c>
    </row>
    <row r="43" ht="90.5" customHeight="1">
      <c r="A43" s="7" t="inlineStr">
        <is>
          <t>TC-MISSVERIFY-35</t>
        </is>
      </c>
      <c r="B43" s="7" t="inlineStr">
        <is>
          <t>Chuyển bo_lo thành da_uong khi taken_at sớm 30' so với giờ hẹn</t>
        </is>
      </c>
      <c r="C43" s="8" t="inlineStr">
        <is>
          <t>L đã bo_lo (client_uuid NULL)</t>
        </is>
      </c>
      <c r="D43" s="8" t="inlineStr">
        <is>
          <t>1. POST /doses/batch
2. Gửi lại cùng client_uuid</t>
        </is>
      </c>
      <c r="E43" s="8" t="inlineStr">
        <is>
          <t>taken_at = L − 30'</t>
        </is>
      </c>
      <c r="F43" s="8" t="inlineStr">
        <is>
          <t>dose_status = da_uong; DB một dòng da_uong; gửi lại trả cùng dose_log_id và trạng thái</t>
        </is>
      </c>
      <c r="G43" s="8" t="inlineStr">
        <is>
          <t>Đúng như mong đợi</t>
        </is>
      </c>
      <c r="H43" s="7" t="inlineStr">
        <is>
          <t>Pass</t>
        </is>
      </c>
      <c r="I43" s="8" t="inlineStr">
        <is>
          <t>AC26 · BVA (min) · kịch bản 'cùng client_uuid → một bản ghi' · test_confirmation_after_missed_by_taken_at__AC26[delay0-da_uong]</t>
        </is>
      </c>
    </row>
    <row r="44" ht="57.5" customHeight="1">
      <c r="A44" s="7" t="inlineStr">
        <is>
          <t>TC-MISSVERIFY-36</t>
        </is>
      </c>
      <c r="B44" s="7" t="inlineStr">
        <is>
          <t>Chuyển bo_lo thành da_uong khi taken_at = L + 10'</t>
        </is>
      </c>
      <c r="C44" s="8" t="inlineStr">
        <is>
          <t>Như TC-35</t>
        </is>
      </c>
      <c r="D44" s="8" t="inlineStr">
        <is>
          <t>1. POST /doses/batch
2. Gửi lại cùng client_uuid</t>
        </is>
      </c>
      <c r="E44" s="8" t="inlineStr">
        <is>
          <t>taken_at = L + 10'</t>
        </is>
      </c>
      <c r="F44" s="8" t="inlineStr">
        <is>
          <t>da_uong; một dòng</t>
        </is>
      </c>
      <c r="G44" s="8" t="inlineStr">
        <is>
          <t>Đúng như mong đợi</t>
        </is>
      </c>
      <c r="H44" s="7" t="inlineStr">
        <is>
          <t>Pass</t>
        </is>
      </c>
      <c r="I44" s="8" t="inlineStr">
        <is>
          <t>AC26 · test_confirmation_after_missed_by_taken_at__AC26[delay1-da_uong]</t>
        </is>
      </c>
    </row>
    <row r="45" ht="57.5" customHeight="1">
      <c r="A45" s="7" t="inlineStr">
        <is>
          <t>TC-MISSVERIFY-37</t>
        </is>
      </c>
      <c r="B45" s="7" t="inlineStr">
        <is>
          <t>Chuyển bo_lo thành da_uong khi taken_at đúng L + 30'</t>
        </is>
      </c>
      <c r="C45" s="8" t="inlineStr">
        <is>
          <t>Như TC-35</t>
        </is>
      </c>
      <c r="D45" s="8" t="inlineStr">
        <is>
          <t>1. POST /doses/batch
2. Gửi lại cùng client_uuid</t>
        </is>
      </c>
      <c r="E45" s="8" t="inlineStr">
        <is>
          <t>taken_at = L + 30'</t>
        </is>
      </c>
      <c r="F45" s="8" t="inlineStr">
        <is>
          <t>da_uong; một dòng</t>
        </is>
      </c>
      <c r="G45" s="8" t="inlineStr">
        <is>
          <t>Đúng như mong đợi</t>
        </is>
      </c>
      <c r="H45" s="7" t="inlineStr">
        <is>
          <t>Pass</t>
        </is>
      </c>
      <c r="I45" s="8" t="inlineStr">
        <is>
          <t>AC26 · BVA (max) · test_confirmation_after_missed_by_taken_at__AC26[delay2-da_uong]</t>
        </is>
      </c>
    </row>
    <row r="46" ht="57.5" customHeight="1">
      <c r="A46" s="7" t="inlineStr">
        <is>
          <t>TC-MISSVERIFY-38</t>
        </is>
      </c>
      <c r="B46" s="7" t="inlineStr">
        <is>
          <t>Chuyển bo_lo thành uong_tre khi taken_at = L + 30' + 1 µs</t>
        </is>
      </c>
      <c r="C46" s="8" t="inlineStr">
        <is>
          <t>Như TC-35</t>
        </is>
      </c>
      <c r="D46" s="8" t="inlineStr">
        <is>
          <t>1. POST /doses/batch
2. Gửi lại cùng client_uuid</t>
        </is>
      </c>
      <c r="E46" s="8" t="inlineStr">
        <is>
          <t>taken_at = L + 30' + 1 µs</t>
        </is>
      </c>
      <c r="F46" s="8" t="inlineStr">
        <is>
          <t>uong_tre; một dòng</t>
        </is>
      </c>
      <c r="G46" s="8" t="inlineStr">
        <is>
          <t>Đúng như mong đợi</t>
        </is>
      </c>
      <c r="H46" s="7" t="inlineStr">
        <is>
          <t>Pass</t>
        </is>
      </c>
      <c r="I46" s="8" t="inlineStr">
        <is>
          <t>AC26 · BVA (max+1) · test_confirmation_after_missed_by_taken_at__AC26[delay3-uong_tre]</t>
        </is>
      </c>
    </row>
    <row r="47" ht="57.5" customHeight="1">
      <c r="A47" s="7" t="inlineStr">
        <is>
          <t>TC-MISSVERIFY-39</t>
        </is>
      </c>
      <c r="B47" s="7" t="inlineStr">
        <is>
          <t>Chuyển bo_lo thành uong_tre khi taken_at = L + 90'</t>
        </is>
      </c>
      <c r="C47" s="8" t="inlineStr">
        <is>
          <t>Như TC-35</t>
        </is>
      </c>
      <c r="D47" s="8" t="inlineStr">
        <is>
          <t>1. POST /doses/batch
2. Gửi lại cùng client_uuid</t>
        </is>
      </c>
      <c r="E47" s="8" t="inlineStr">
        <is>
          <t>taken_at = L + 90'</t>
        </is>
      </c>
      <c r="F47" s="8" t="inlineStr">
        <is>
          <t>uong_tre; một dòng</t>
        </is>
      </c>
      <c r="G47" s="8" t="inlineStr">
        <is>
          <t>Đúng như mong đợi</t>
        </is>
      </c>
      <c r="H47" s="7" t="inlineStr">
        <is>
          <t>Pass</t>
        </is>
      </c>
      <c r="I47" s="8" t="inlineStr">
        <is>
          <t>AC26 · test_confirmation_after_missed_by_taken_at__AC26[delay4-uong_tre]</t>
        </is>
      </c>
    </row>
    <row r="48" ht="57.5" customHeight="1">
      <c r="A48" s="7" t="inlineStr">
        <is>
          <t>TC-MISSVERIFY-40</t>
        </is>
      </c>
      <c r="B48" s="7" t="inlineStr">
        <is>
          <t>Giữ bo_lo khi taken_at = L + 150'</t>
        </is>
      </c>
      <c r="C48" s="8" t="inlineStr">
        <is>
          <t>Như TC-35</t>
        </is>
      </c>
      <c r="D48" s="8" t="inlineStr">
        <is>
          <t>1. POST /doses/batch
2. Gửi lại cùng client_uuid</t>
        </is>
      </c>
      <c r="E48" s="8" t="inlineStr">
        <is>
          <t>taken_at = L + 150'</t>
        </is>
      </c>
      <c r="F48" s="8" t="inlineStr">
        <is>
          <t>dose_status = bo_lo; taken_at NULL; một dòng</t>
        </is>
      </c>
      <c r="G48" s="8" t="inlineStr">
        <is>
          <t>Đúng như mong đợi</t>
        </is>
      </c>
      <c r="H48" s="7" t="inlineStr">
        <is>
          <t>Pass</t>
        </is>
      </c>
      <c r="I48" s="8" t="inlineStr">
        <is>
          <t>AC26 · test_confirmation_after_missed_by_taken_at__AC26[delay5-bo_lo]</t>
        </is>
      </c>
    </row>
    <row r="49" ht="74" customHeight="1">
      <c r="A49" s="7" t="inlineStr">
        <is>
          <t>TC-MISSVERIFY-41</t>
        </is>
      </c>
      <c r="B49" s="7" t="inlineStr">
        <is>
          <t>Từ chối người thân xác nhận liều thay patient</t>
        </is>
      </c>
      <c r="C49" s="8" t="inlineStr">
        <is>
          <t>F liên kết active + chia sẻ với P</t>
        </is>
      </c>
      <c r="D49" s="8" t="inlineStr">
        <is>
          <t>1. F gửi POST /doses/batch cho lịch của P</t>
        </is>
      </c>
      <c r="E49" s="8" t="inlineStr">
        <is>
          <t>Bearer của F</t>
        </is>
      </c>
      <c r="F49" s="8" t="inlineStr">
        <is>
          <t>Mục failed, error.code = forbidden_schedule, http_status = 403; không dose_logs; access_logs có dòng (family, denied, khong_co_quyen)</t>
        </is>
      </c>
      <c r="G49" s="8" t="inlineStr">
        <is>
          <t>Đúng như mong đợi</t>
        </is>
      </c>
      <c r="H49" s="7" t="inlineStr">
        <is>
          <t>Pass</t>
        </is>
      </c>
      <c r="I49" s="8" t="inlineStr">
        <is>
          <t>Q2 · kịch bản 'truy cập chéo → 403 + denied' · test_family_cannot_confirm_logs_denied__Q2</t>
        </is>
      </c>
    </row>
    <row r="50" ht="90.5" customHeight="1">
      <c r="A50" s="7" t="inlineStr">
        <is>
          <t>TC-MISSVERIFY-42</t>
        </is>
      </c>
      <c r="B50" s="7" t="inlineStr">
        <is>
          <t>Tính trạng thái xác nhận theo bảng (hàm domain và câu upsert)</t>
        </is>
      </c>
      <c r="C50" s="8" t="inlineStr">
        <is>
          <t>Unit test</t>
        </is>
      </c>
      <c r="D50" s="8" t="inlineStr">
        <is>
          <t>1. Chạy ma trận status_after_confirmation (chưa có dòng / bo_lo / đã xác nhận × trạng thái tính từ taken_at)
2. Kiểm câu SQL upsert dùng EXCLUDED.status sau bo_lo</t>
        </is>
      </c>
      <c r="E50" s="8" t="inlineStr">
        <is>
          <t>10 tổ hợp</t>
        </is>
      </c>
      <c r="F50" s="8" t="inlineStr">
        <is>
          <t>Chưa có dòng hoặc bo_lo → lấy trạng thái tính; da_uong/uong_tre → giữ nguyên</t>
        </is>
      </c>
      <c r="G50" s="8" t="inlineStr">
        <is>
          <t>Đúng như mong đợi (10 tổ hợp + câu upsert)</t>
        </is>
      </c>
      <c r="H50" s="7" t="inlineStr">
        <is>
          <t>Pass</t>
        </is>
      </c>
      <c r="I50" s="8" t="inlineStr">
        <is>
          <t>AC27 · Decision Table · test_status_after_confirmation_matrix__AC27, test_upsert_uses_excluded_status_after_missed__AC27</t>
        </is>
      </c>
    </row>
    <row r="51" ht="123.5" customHeight="1">
      <c r="A51" s="7" t="inlineStr">
        <is>
          <t>TC-MISSVERIFY-43</t>
        </is>
      </c>
      <c r="B51" s="7" t="inlineStr">
        <is>
          <t>Gửi FCM HTTP v1 với máy chủ giả và gỡ token UNREGISTERED</t>
        </is>
      </c>
      <c r="C51" s="8" t="inlineStr">
        <is>
          <t>Unit test với httpx.MockTransport, khóa RSA sinh trong test</t>
        </is>
      </c>
      <c r="D51" s="8" t="inlineStr">
        <is>
          <t>1. Gửi cảnh báo và sync_request
2. Máy chủ giả trả 404 UNREGISTERED cho một token
3. Thiếu credential khi kênh = fcm</t>
        </is>
      </c>
      <c r="E51" s="8" t="inlineStr">
        <is>
          <t>NOTIFICATION_CHANNEL = fcm</t>
        </is>
      </c>
      <c r="F51" s="8" t="inlineStr">
        <is>
          <t>Payload đúng HTTP v1; access token được cache; token UNREGISTERED được trả để xóa sau commit; log không chứa token/payload; thiếu credential thì NotificationConfigError lúc khởi động</t>
        </is>
      </c>
      <c r="G51" s="8" t="inlineStr">
        <is>
          <t>Đúng như mong đợi</t>
        </is>
      </c>
      <c r="H51" s="7" t="inlineStr">
        <is>
          <t>Pass</t>
        </is>
      </c>
      <c r="I51" s="8" t="inlineStr">
        <is>
          <t>AC42 · test_unregistered_tokens_removed_after_commit__AC42, test_errors_logged_without_token_or_payload__AC42, test_missing_credentials_raise_config_error__AC42, test_access_token_cached_until_expiry__AC42</t>
        </is>
      </c>
    </row>
    <row r="52" ht="41" customHeight="1">
      <c r="A52" s="7" t="inlineStr">
        <is>
          <t>TC-MISSVERIFY-44</t>
        </is>
      </c>
      <c r="B52" s="7" t="inlineStr">
        <is>
          <t>Đặt chu kỳ quét 900 giây và ghi heartbeat một lần mỗi lượt</t>
        </is>
      </c>
      <c r="C52" s="8" t="inlineStr">
        <is>
          <t>Unit test, không có TICK_INTERVAL_SECONDS</t>
        </is>
      </c>
      <c r="D52" s="8" t="inlineStr">
        <is>
          <t>1. Đọc tick_interval_seconds và beat_schedule
2. Gọi record_worker_heartbeat('x')</t>
        </is>
      </c>
      <c r="E52" s="8" t="inlineStr">
        <is>
          <t>(không có biến môi trường)</t>
        </is>
      </c>
      <c r="F52" s="8" t="inlineStr">
        <is>
          <t>900; Beat đăng ký runtime.tick 900; health.record_heartbeat('x') gọi đúng một lần</t>
        </is>
      </c>
      <c r="G52" s="8" t="inlineStr">
        <is>
          <t>Đúng như mong đợi</t>
        </is>
      </c>
      <c r="H52" s="7" t="inlineStr">
        <is>
          <t>Pass</t>
        </is>
      </c>
      <c r="I52" s="8" t="inlineStr">
        <is>
          <t>AC44 · AC45 · test_scheduler.py</t>
        </is>
      </c>
    </row>
    <row r="53" ht="57.5" customHeight="1">
      <c r="A53" s="7" t="inlineStr">
        <is>
          <t>TC-MISSVERIFY-45</t>
        </is>
      </c>
      <c r="B53" s="7" t="inlineStr">
        <is>
          <t>Ghi heartbeat bằng worker_role và báo sẵn sàng</t>
        </is>
      </c>
      <c r="C53" s="8" t="inlineStr">
        <is>
          <t>DB local</t>
        </is>
      </c>
      <c r="D53" s="8" t="inlineStr">
        <is>
          <t>1. record_worker_heartbeat('it-3.19') bằng worker_role
2. GET /health/ready</t>
        </is>
      </c>
      <c r="E53" s="8" t="inlineStr">
        <is>
          <t>instance_id = it-3.19</t>
        </is>
      </c>
      <c r="F53" s="8" t="inlineStr">
        <is>
          <t>worker_heartbeats có dòng mới; /health/ready báo database = true, worker_heartbeat = true</t>
        </is>
      </c>
      <c r="G53" s="8" t="inlineStr">
        <is>
          <t>Đúng như mong đợi</t>
        </is>
      </c>
      <c r="H53" s="7" t="inlineStr">
        <is>
          <t>Pass</t>
        </is>
      </c>
      <c r="I53" s="8" t="inlineStr">
        <is>
          <t>AC46 · test_heartbeat_row_and_ready__AC46</t>
        </is>
      </c>
    </row>
    <row r="54" ht="107" customHeight="1">
      <c r="A54" s="7" t="inlineStr">
        <is>
          <t>TC-MISSVERIFY-46</t>
        </is>
      </c>
      <c r="B54" s="7" t="inlineStr">
        <is>
          <t>Đánh thức app patient đã tắt hẳn bằng push gõ cửa trên máy thật</t>
        </is>
      </c>
      <c r="C54" s="8" t="inlineStr">
        <is>
          <t>Emulator Android có Google Play, app DrugTime đăng nhập patient, tiến trình đã bị dừng (am kill, không force-stop); FCM thật drugtime-f14e8; backend local</t>
        </is>
      </c>
      <c r="D54" s="8" t="inlineStr">
        <is>
          <t>1. Tạo liều đã quá hạn, xóa checkpoint của P
2. Chạy lượt quét lần 1
3. Theo dõi logcat và bảng dose_sync_checkpoints
4. Chạy lượt quét lần 2</t>
        </is>
      </c>
      <c r="E54" s="8" t="inlineStr">
        <is>
          <t>Liều 13:43, quét lúc 15:53</t>
        </is>
      </c>
      <c r="F54" s="8" t="inlineStr">
        <is>
          <t>Từ lúc gửi push tới lúc server nhận checkpoint dưới 1 phút; lượt 2 ghi bo_lo và báo F</t>
        </is>
      </c>
      <c r="G54" s="8" t="inlineStr">
        <is>
          <t>Android khởi động app lúc 15:53:36 cho push (FlutterFirebaseMessagingReceiver), checkpoint 15:53:38 (≈ 2,4 s); lượt 2 ghi bo_lo, cảnh báo #5 tới máy người thân</t>
        </is>
      </c>
      <c r="H54" s="7" t="inlineStr">
        <is>
          <t>Pass</t>
        </is>
      </c>
      <c r="I54" s="8" t="inlineStr">
        <is>
          <t>AC39 · manual</t>
        </is>
      </c>
    </row>
    <row r="55" ht="74" customHeight="1">
      <c r="A55" s="7" t="inlineStr">
        <is>
          <t>TC-MISSVERIFY-47</t>
        </is>
      </c>
      <c r="B55" s="7" t="inlineStr">
        <is>
          <t>Mở cảnh báo trên máy người thân sau khi Worker báo bỏ lỡ (hồi quy)</t>
        </is>
      </c>
      <c r="C55" s="8" t="inlineStr">
        <is>
          <t>F liên kết + chia sẻ; Worker vừa tạo cảnh báo sau khi xác minh</t>
        </is>
      </c>
      <c r="D55" s="8" t="inlineStr">
        <is>
          <t>1. F gọi GET /notifications, GET /notifications/{id}, PATCH is_read = true bằng phiên thật
2. Kiểm access_logs của F
3. Trên máy thật: bấm thông báo, mở hộp thư</t>
        </is>
      </c>
      <c r="E55" s="8" t="inlineStr">
        <is>
          <t>Bearer của F</t>
        </is>
      </c>
      <c r="F55" s="8" t="inlineStr">
        <is>
          <t>Cả ba trả 200; access_logs của F chỉ có allowed; trên máy hiện chi tiết cảnh báo</t>
        </is>
      </c>
      <c r="G55" s="8" t="inlineStr">
        <is>
          <t>Test tích hợp pass; trên máy thật 4 cảnh báo đều mở được, đã đọc, access_logs của F 50 allowed</t>
        </is>
      </c>
      <c r="H55" s="7" t="inlineStr">
        <is>
          <t>Pass</t>
        </is>
      </c>
      <c r="I55" s="8" t="inlineStr">
        <is>
          <t>AC17 · Phát sinh 7 (lỗi High đã sửa ở implement) · test_family_reads_alert_after_scan__regression · manual</t>
        </is>
      </c>
    </row>
    <row r="56" ht="57.5" customHeight="1">
      <c r="A56" s="7" t="inlineStr">
        <is>
          <t>TC-MISSVERIFY-48</t>
        </is>
      </c>
      <c r="B56" s="7" t="inlineStr">
        <is>
          <t>Nhận push cảnh báo trên máy Android thật của người thân</t>
        </is>
      </c>
      <c r="C56" s="8" t="inlineStr">
        <is>
          <t>Máy LG Android đăng nhập F, quyền thông báo bật; FCM thật</t>
        </is>
      </c>
      <c r="D56" s="8" t="inlineStr">
        <is>
          <t>1. Tạo liều quá hạn, P đã đồng bộ sau hạn chót
2. Chạy lượt quét
3. Xem khay thông báo</t>
        </is>
      </c>
      <c r="E56" s="8" t="inlineStr">
        <is>
          <t>Liều 12:30, 13:36, 13:40</t>
        </is>
      </c>
      <c r="F56" s="8" t="inlineStr">
        <is>
          <t>Thông báo 'Bạn có cảnh báo mới về người thân', không có tên P hay tên thuốc</t>
        </is>
      </c>
      <c r="G56" s="8" t="inlineStr">
        <is>
          <t>FCM trả 200; thông báo family_alert_N hiện trong khay; người dùng xác nhận thấy và traffic hiện trên Firebase</t>
        </is>
      </c>
      <c r="H56" s="7" t="inlineStr">
        <is>
          <t>Pass</t>
        </is>
      </c>
      <c r="I56" s="8" t="inlineStr">
        <is>
          <t>AC43 · Q10 · manual</t>
        </is>
      </c>
    </row>
    <row r="57" ht="74" customHeight="1">
      <c r="A57" s="7" t="inlineStr">
        <is>
          <t>TC-MISSVERIFY-49</t>
        </is>
      </c>
      <c r="B57" s="7" t="inlineStr">
        <is>
          <t>In cấu hình Worker trên Render sau khi cập nhật môi trường</t>
        </is>
      </c>
      <c r="C57" s="8" t="inlineStr">
        <is>
          <t>Đã đặt FCM_CREDENTIALS_FILE, TICK_INTERVAL_SECONDS = 900, MISSED_DOSE_GRACE_MINUTES = 120 trên Render</t>
        </is>
      </c>
      <c r="D57" s="8" t="inlineStr">
        <is>
          <t>1. Chạy lệnh in cấu hình trong backend trên Render</t>
        </is>
      </c>
      <c r="E57" s="8" t="inlineStr">
        <is>
          <t>Biến môi trường Render</t>
        </is>
      </c>
      <c r="F57" s="8" t="inlineStr">
        <is>
          <t>In '900 120'; credential FCM nạp được</t>
        </is>
      </c>
      <c r="G57" s="8" t="inlineStr"/>
      <c r="H57" s="7" t="inlineStr">
        <is>
          <t>Pending</t>
        </is>
      </c>
      <c r="I57" s="8" t="inlineStr">
        <is>
          <t>AC48 · manual (cần người có quyền Render)</t>
        </is>
      </c>
    </row>
    <row r="58"/>
    <row r="59"/>
    <row r="60">
      <c r="G60" s="12" t="inlineStr">
        <is>
          <t>Pass</t>
        </is>
      </c>
      <c r="H60" s="13">
        <f>COUNTIF(H9:H57,"Pass")</f>
        <v/>
      </c>
    </row>
    <row r="61">
      <c r="G61" s="12" t="inlineStr">
        <is>
          <t>Fail</t>
        </is>
      </c>
      <c r="H61" s="13">
        <f>COUNTIF(H9:H57,"Fail")</f>
        <v/>
      </c>
    </row>
    <row r="62">
      <c r="G62" s="12" t="inlineStr">
        <is>
          <t>Pending</t>
        </is>
      </c>
      <c r="H62" s="13">
        <f>COUNTIF(H9:H57,"Pending")</f>
        <v/>
      </c>
    </row>
    <row r="63">
      <c r="G63" s="12" t="inlineStr">
        <is>
          <t>Total</t>
        </is>
      </c>
      <c r="H63" s="13">
        <f>SUM(H60:H62)</f>
        <v/>
      </c>
    </row>
  </sheetData>
  <autoFilter ref="A8:I57"/>
  <conditionalFormatting sqref="H9:H57">
    <cfRule type="cellIs" priority="1" operator="equal" dxfId="0">
      <formula>"Fail"</formula>
    </cfRule>
  </conditionalFormatting>
  <dataValidations count="1">
    <dataValidation sqref="H9:H57" showDropDown="0" showInputMessage="0" showErrorMessage="0" allowBlank="0" type="list">
      <formula1>"Pass,Fail,Pending"</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O3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Checkpoint đồng bộ liều (SYNCCP)</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57.5" customHeight="1">
      <c r="A9" s="7" t="inlineStr">
        <is>
          <t>TC-SYNCCP-01</t>
        </is>
      </c>
      <c r="B9" s="7" t="inlineStr">
        <is>
          <t>Ghi checkpoint bằng giờ server khi patient gọi</t>
        </is>
      </c>
      <c r="C9" s="8" t="inlineStr">
        <is>
          <t>Patient có consent health_data</t>
        </is>
      </c>
      <c r="D9" s="8" t="inlineStr">
        <is>
          <t>1. POST /doses/sync-checkpoints với body chứa giờ thiết bị giả
2. Đọc dose_sync_checkpoints</t>
        </is>
      </c>
      <c r="E9" s="8" t="inlineStr">
        <is>
          <t>body {"synced_at": "2099-01-01T00:00:00Z"}</t>
        </is>
      </c>
      <c r="F9" s="8" t="inlineStr">
        <is>
          <t>204, không body; synced_at nằm giữa giờ DB trước và sau request (không dùng giờ thiết bị)</t>
        </is>
      </c>
      <c r="G9" s="8" t="inlineStr">
        <is>
          <t>Đúng như mong đợi</t>
        </is>
      </c>
      <c r="H9" s="7" t="inlineStr">
        <is>
          <t>Pass</t>
        </is>
      </c>
      <c r="I9" s="8" t="inlineStr">
        <is>
          <t>AC13 · EP (1) · test_patient_records_server_time_204__AC13</t>
        </is>
      </c>
      <c r="K9" s="9" t="inlineStr">
        <is>
          <t>Người gọi</t>
        </is>
      </c>
      <c r="L9" s="10" t="inlineStr">
        <is>
          <t>patient đã xác thực, có consent health_data</t>
        </is>
      </c>
      <c r="M9" s="10" t="inlineStr">
        <is>
          <t>1</t>
        </is>
      </c>
      <c r="N9" s="10" t="inlineStr">
        <is>
          <t>chưa xác thực
tài khoản admin
đã rút consent health_data</t>
        </is>
      </c>
      <c r="O9" s="10" t="inlineStr">
        <is>
          <t>4
5
6</t>
        </is>
      </c>
    </row>
    <row r="10" ht="107" customHeight="1">
      <c r="A10" s="7" t="inlineStr">
        <is>
          <t>TC-SYNCCP-02</t>
        </is>
      </c>
      <c r="B10" s="7" t="inlineStr">
        <is>
          <t>Không lùi checkpoint khi gọi lại</t>
        </is>
      </c>
      <c r="C10" s="8" t="inlineStr">
        <is>
          <t>synced_at đã ở tương lai 1 ngày</t>
        </is>
      </c>
      <c r="D10" s="8" t="inlineStr">
        <is>
          <t>1. POST lại
2. Đọc synced_at</t>
        </is>
      </c>
      <c r="E10" s="8" t="inlineStr">
        <is>
          <t>synced_at = now + 1 ngày</t>
        </is>
      </c>
      <c r="F10" s="8" t="inlineStr">
        <is>
          <t>204; synced_at giữ nguyên</t>
        </is>
      </c>
      <c r="G10" s="8" t="inlineStr">
        <is>
          <t>Đúng như mong đợi</t>
        </is>
      </c>
      <c r="H10" s="7" t="inlineStr">
        <is>
          <t>Pass</t>
        </is>
      </c>
      <c r="I10" s="8" t="inlineStr">
        <is>
          <t>AC13 · test_never_moves_back__AC13</t>
        </is>
      </c>
      <c r="K10" s="9" t="inlineStr">
        <is>
          <t>Kết quả các mục trong hàng chờ (mobile)</t>
        </is>
      </c>
      <c r="L10" s="10" t="inlineStr">
        <is>
          <t>mọi mục 2xx hoặc lỗi cuối 404/409/422
hàng chờ trống</t>
        </is>
      </c>
      <c r="M10" s="10" t="inlineStr">
        <is>
          <t>2
3</t>
        </is>
      </c>
      <c r="N10" s="10" t="inlineStr">
        <is>
          <t>lỗi mạng
5xx
408
429
401
403</t>
        </is>
      </c>
      <c r="O10" s="10" t="inlineStr">
        <is>
          <t>7
8
9
10
11
12</t>
        </is>
      </c>
    </row>
    <row r="11" ht="41" customHeight="1">
      <c r="A11" s="7" t="inlineStr">
        <is>
          <t>TC-SYNCCP-03</t>
        </is>
      </c>
      <c r="B11" s="7" t="inlineStr">
        <is>
          <t>Từ chối gọi không có token</t>
        </is>
      </c>
      <c r="C11" s="8" t="inlineStr">
        <is>
          <t>Không đăng nhập</t>
        </is>
      </c>
      <c r="D11" s="8" t="inlineStr">
        <is>
          <t>1. POST /doses/sync-checkpoints không Authorization</t>
        </is>
      </c>
      <c r="E11" s="8" t="inlineStr">
        <is>
          <t>(blank)</t>
        </is>
      </c>
      <c r="F11" s="8" t="inlineStr">
        <is>
          <t>401 {"detail": "Missing bearer token"}</t>
        </is>
      </c>
      <c r="G11" s="8" t="inlineStr">
        <is>
          <t>Đúng như mong đợi</t>
        </is>
      </c>
      <c r="H11" s="7" t="inlineStr">
        <is>
          <t>Pass</t>
        </is>
      </c>
      <c r="I11" s="8" t="inlineStr">
        <is>
          <t>AC13 · EP (4) · test_unauthenticated_401__AC13</t>
        </is>
      </c>
    </row>
    <row r="12" ht="41" customHeight="1">
      <c r="A12" s="7" t="inlineStr">
        <is>
          <t>TC-SYNCCP-04</t>
        </is>
      </c>
      <c r="B12" s="7" t="inlineStr">
        <is>
          <t>Chỉ ghi checkpoint của chính người gọi</t>
        </is>
      </c>
      <c r="C12" s="8" t="inlineStr">
        <is>
          <t>F là người thân của P</t>
        </is>
      </c>
      <c r="D12" s="8" t="inlineStr">
        <is>
          <t>1. F gọi POST
2. Đọc checkpoint của F, P</t>
        </is>
      </c>
      <c r="E12" s="8" t="inlineStr">
        <is>
          <t>Bearer của F</t>
        </is>
      </c>
      <c r="F12" s="8" t="inlineStr">
        <is>
          <t>Chỉ F có checkpoint; P và người khác không</t>
        </is>
      </c>
      <c r="G12" s="8" t="inlineStr">
        <is>
          <t>Đúng như mong đợi</t>
        </is>
      </c>
      <c r="H12" s="7" t="inlineStr">
        <is>
          <t>Pass</t>
        </is>
      </c>
      <c r="I12" s="8" t="inlineStr">
        <is>
          <t>AC13 · test_only_callers_own_checkpoint__AC13</t>
        </is>
      </c>
    </row>
    <row r="13" ht="41" customHeight="1">
      <c r="A13" s="7" t="inlineStr">
        <is>
          <t>TC-SYNCCP-05</t>
        </is>
      </c>
      <c r="B13" s="7" t="inlineStr">
        <is>
          <t>Cập nhật một checkpoint khi patient có hai thiết bị</t>
        </is>
      </c>
      <c r="C13" s="8" t="inlineStr">
        <is>
          <t>Hai phiên mobile của cùng P</t>
        </is>
      </c>
      <c r="D13" s="8" t="inlineStr">
        <is>
          <t>1. Phiên 1 POST
2. Phiên 2 POST</t>
        </is>
      </c>
      <c r="E13" s="8" t="inlineStr">
        <is>
          <t>2 Bearer cùng user</t>
        </is>
      </c>
      <c r="F13" s="8" t="inlineStr">
        <is>
          <t>Cả hai 204; một dòng; synced_at lần sau ≥ lần trước</t>
        </is>
      </c>
      <c r="G13" s="8" t="inlineStr">
        <is>
          <t>Đúng như mong đợi</t>
        </is>
      </c>
      <c r="H13" s="7" t="inlineStr">
        <is>
          <t>Pass</t>
        </is>
      </c>
      <c r="I13" s="8" t="inlineStr">
        <is>
          <t>AC14 · test_two_devices_one_checkpoint__AC14</t>
        </is>
      </c>
    </row>
    <row r="14" ht="57.5" customHeight="1">
      <c r="A14" s="7" t="inlineStr">
        <is>
          <t>TC-SYNCCP-06</t>
        </is>
      </c>
      <c r="B14" s="7" t="inlineStr">
        <is>
          <t>Từ chối tài khoản admin và ghi denied</t>
        </is>
      </c>
      <c r="C14" s="8" t="inlineStr">
        <is>
          <t>Phiên admin_web</t>
        </is>
      </c>
      <c r="D14" s="8" t="inlineStr">
        <is>
          <t>1. Admin POST
2. Đọc access_logs</t>
        </is>
      </c>
      <c r="E14" s="8" t="inlineStr">
        <is>
          <t>Bearer admin</t>
        </is>
      </c>
      <c r="F14" s="8" t="inlineStr">
        <is>
          <t>403 {"detail": "khong_co_quyen"}; không checkpoint; access_logs (admin, denied, khong_co_quyen)</t>
        </is>
      </c>
      <c r="G14" s="8" t="inlineStr">
        <is>
          <t>Đúng như mong đợi</t>
        </is>
      </c>
      <c r="H14" s="7" t="inlineStr">
        <is>
          <t>Pass</t>
        </is>
      </c>
      <c r="I14" s="8" t="inlineStr">
        <is>
          <t>EP (5) · test_admin_403_khong_co_quyen_logs_denied</t>
        </is>
      </c>
    </row>
    <row r="15" ht="57.5" customHeight="1">
      <c r="A15" s="7" t="inlineStr">
        <is>
          <t>TC-SYNCCP-07</t>
        </is>
      </c>
      <c r="B15" s="7" t="inlineStr">
        <is>
          <t>Từ chối patient đã rút consent health_data</t>
        </is>
      </c>
      <c r="C15" s="8" t="inlineStr">
        <is>
          <t>consent health_data = thu_hoi</t>
        </is>
      </c>
      <c r="D15" s="8" t="inlineStr">
        <is>
          <t>1. POST
2. Đọc checkpoint, access_logs</t>
        </is>
      </c>
      <c r="E15" s="8" t="inlineStr">
        <is>
          <t>Bearer của P</t>
        </is>
      </c>
      <c r="F15" s="8" t="inlineStr">
        <is>
          <t>403 {"detail": "consent_revoked"}; không checkpoint; không dòng access_logs (chính chủ, audit_self = false theo contract)</t>
        </is>
      </c>
      <c r="G15" s="8" t="inlineStr">
        <is>
          <t>Đúng như mong đợi</t>
        </is>
      </c>
      <c r="H15" s="7" t="inlineStr">
        <is>
          <t>Pass</t>
        </is>
      </c>
      <c r="I15" s="8" t="inlineStr">
        <is>
          <t>EP (6) · test_consent_revoked_403_no_record</t>
        </is>
      </c>
    </row>
    <row r="16" ht="41" customHeight="1">
      <c r="A16" s="7" t="inlineStr">
        <is>
          <t>TC-SYNCCP-08</t>
        </is>
      </c>
      <c r="B16" s="7" t="inlineStr">
        <is>
          <t>Không ghi access_logs khi patient tự ghi checkpoint</t>
        </is>
      </c>
      <c r="C16" s="8" t="inlineStr">
        <is>
          <t>Patient hợp lệ</t>
        </is>
      </c>
      <c r="D16" s="8" t="inlineStr">
        <is>
          <t>1. POST
2. Đọc access_logs của P</t>
        </is>
      </c>
      <c r="E16" s="8" t="inlineStr">
        <is>
          <t>Bearer của P</t>
        </is>
      </c>
      <c r="F16" s="8" t="inlineStr">
        <is>
          <t>204; access_logs của P trống</t>
        </is>
      </c>
      <c r="G16" s="8" t="inlineStr">
        <is>
          <t>Đúng như mong đợi</t>
        </is>
      </c>
      <c r="H16" s="7" t="inlineStr">
        <is>
          <t>Pass</t>
        </is>
      </c>
      <c r="I16" s="8" t="inlineStr">
        <is>
          <t>test_success_writes_no_access_log</t>
        </is>
      </c>
    </row>
    <row r="17" ht="41" customHeight="1">
      <c r="A17" s="7" t="inlineStr">
        <is>
          <t>TC-SYNCCP-09</t>
        </is>
      </c>
      <c r="B17" s="7" t="inlineStr">
        <is>
          <t>Trả 503 và không ghi gì khi DB lỗi</t>
        </is>
      </c>
      <c r="C17" s="8" t="inlineStr">
        <is>
          <t>Giả lập lỗi khi ghi checkpoint</t>
        </is>
      </c>
      <c r="D17" s="8" t="inlineStr">
        <is>
          <t>1. POST</t>
        </is>
      </c>
      <c r="E17" s="8" t="inlineStr">
        <is>
          <t>RuntimeError giả lập</t>
        </is>
      </c>
      <c r="F17" s="8" t="inlineStr">
        <is>
          <t>503 {"detail": "service_unavailable"}; không checkpoint</t>
        </is>
      </c>
      <c r="G17" s="8" t="inlineStr">
        <is>
          <t>Đúng như mong đợi</t>
        </is>
      </c>
      <c r="H17" s="7" t="inlineStr">
        <is>
          <t>Pass</t>
        </is>
      </c>
      <c r="I17" s="8" t="inlineStr">
        <is>
          <t>test_db_failure_503_records_nothing</t>
        </is>
      </c>
    </row>
    <row r="18" ht="57.5" customHeight="1">
      <c r="A18" s="7" t="inlineStr">
        <is>
          <t>TC-SYNCCP-10</t>
        </is>
      </c>
      <c r="B18" s="7" t="inlineStr">
        <is>
          <t>Khớp contract của endpoint checkpoint</t>
        </is>
      </c>
      <c r="C18" s="8" t="inlineStr">
        <is>
          <t>api_contract/openapi.json</t>
        </is>
      </c>
      <c r="D18" s="8" t="inlineStr">
        <is>
          <t>1. Đối chiếu operationId, response, không requestBody
2. Gọi thành công và không token</t>
        </is>
      </c>
      <c r="E18" s="8" t="inlineStr">
        <is>
          <t>recordDoseSyncCheckpoint</t>
        </is>
      </c>
      <c r="F18" s="8" t="inlineStr">
        <is>
          <t>Response 204/401/403/503; 204 không body; 401 khi không token</t>
        </is>
      </c>
      <c r="G18" s="8" t="inlineStr">
        <is>
          <t>Đúng như mong đợi</t>
        </is>
      </c>
      <c r="H18" s="7" t="inlineStr">
        <is>
          <t>Pass</t>
        </is>
      </c>
      <c r="I18" s="8" t="inlineStr">
        <is>
          <t>AC41 · test_response_matches_contract__AC41</t>
        </is>
      </c>
    </row>
    <row r="19" ht="41" customHeight="1">
      <c r="A19" s="7" t="inlineStr">
        <is>
          <t>TC-SYNCCP-11</t>
        </is>
      </c>
      <c r="B19" s="7" t="inlineStr">
        <is>
          <t>Xóa checkpoint và hàng chờ xác minh khi xóa dữ liệu patient</t>
        </is>
      </c>
      <c r="C19" s="8" t="inlineStr">
        <is>
          <t>P có checkpoint và một dòng hàng chờ</t>
        </is>
      </c>
      <c r="D19" s="8" t="inlineStr">
        <is>
          <t>1. Chạy adherence.eraser bằng worker_role</t>
        </is>
      </c>
      <c r="E19" s="8" t="inlineStr">
        <is>
          <t>QD-35</t>
        </is>
      </c>
      <c r="F19" s="8" t="inlineStr">
        <is>
          <t>Không còn checkpoint và hàng chờ của P</t>
        </is>
      </c>
      <c r="G19" s="8" t="inlineStr">
        <is>
          <t>Đúng như mong đợi</t>
        </is>
      </c>
      <c r="H19" s="7" t="inlineStr">
        <is>
          <t>Pass</t>
        </is>
      </c>
      <c r="I19" s="8" t="inlineStr">
        <is>
          <t>AC16 · test_erase_removes_checkpoint_and_pending__AC16</t>
        </is>
      </c>
    </row>
    <row r="20" ht="74" customHeight="1">
      <c r="A20" s="7" t="inlineStr">
        <is>
          <t>TC-SYNCCP-12</t>
        </is>
      </c>
      <c r="B20" s="7" t="inlineStr">
        <is>
          <t>Cấp quyền tối thiểu cho api_role và worker_role trên hai bảng mới</t>
        </is>
      </c>
      <c r="C20" s="8" t="inlineStr">
        <is>
          <t>DB local sau migration</t>
        </is>
      </c>
      <c r="D20" s="8" t="inlineStr">
        <is>
          <t>1. Thử SELECT/INSERT/UPDATE/DELETE bằng từng role (rollback)</t>
        </is>
      </c>
      <c r="E20" s="8" t="inlineStr">
        <is>
          <t>dose_sync_checkpoints, missed_dose_pending_verifications</t>
        </is>
      </c>
      <c r="F20" s="8" t="inlineStr">
        <is>
          <t>api_role: checkpoint SELECT/INSERT/UPDATE, không DELETE; hàng chờ không quyền gì. worker_role: checkpoint SELECT/DELETE; hàng chờ SELECT/INSERT/DELETE, không UPDATE</t>
        </is>
      </c>
      <c r="G20" s="8" t="inlineStr">
        <is>
          <t>Đúng như mong đợi</t>
        </is>
      </c>
      <c r="H20" s="7" t="inlineStr">
        <is>
          <t>Pass</t>
        </is>
      </c>
      <c r="I20" s="8" t="inlineStr">
        <is>
          <t>P27 · test_role_grants_are_minimal[api_role], test_role_grants_are_minimal[worker_role]</t>
        </is>
      </c>
    </row>
    <row r="21" ht="74" customHeight="1">
      <c r="A21" s="7" t="inlineStr">
        <is>
          <t>TC-SYNCCP-13</t>
        </is>
      </c>
      <c r="B21" s="7" t="inlineStr">
        <is>
          <t>Bật RLS và chặn anon, authenticated, service_role ghi</t>
        </is>
      </c>
      <c r="C21" s="8" t="inlineStr">
        <is>
          <t>DB local</t>
        </is>
      </c>
      <c r="D21" s="8" t="inlineStr">
        <is>
          <t>1. Đọc relrowsecurity, has_table_privilege, pg_policies</t>
        </is>
      </c>
      <c r="E21" s="8" t="inlineStr">
        <is>
          <t>anon, authenticated, service_role</t>
        </is>
      </c>
      <c r="F21" s="8" t="inlineStr">
        <is>
          <t>RLS bật; anon/authenticated không quyền nào; service_role không INSERT/UPDATE/DELETE/TRUNCATE; policy chỉ cho api_role/worker_role</t>
        </is>
      </c>
      <c r="G21" s="8" t="inlineStr">
        <is>
          <t>Đúng như mong đợi</t>
        </is>
      </c>
      <c r="H21" s="7" t="inlineStr">
        <is>
          <t>Pass</t>
        </is>
      </c>
      <c r="I21" s="8" t="inlineStr">
        <is>
          <t>P27 · test_rls_on_and_client_roles_have_no_access</t>
        </is>
      </c>
    </row>
    <row r="22" ht="74" customHeight="1">
      <c r="A22" s="7" t="inlineStr">
        <is>
          <t>TC-SYNCCP-14</t>
        </is>
      </c>
      <c r="B22" s="7" t="inlineStr">
        <is>
          <t>Chặn dòng trùng, khóa ngoại sai và giá trị rỗng</t>
        </is>
      </c>
      <c r="C22" s="8" t="inlineStr">
        <is>
          <t>DB local</t>
        </is>
      </c>
      <c r="D22" s="8" t="inlineStr">
        <is>
          <t>1. Chèn trùng PK hàng chờ
2. Chèn user/lịch không tồn tại
3. Chèn synced_at NULL</t>
        </is>
      </c>
      <c r="E22" s="8" t="inlineStr">
        <is>
          <t>uuid ngẫu nhiên, schedule_id = -1</t>
        </is>
      </c>
      <c r="F22" s="8" t="inlineStr">
        <is>
          <t>IntegrityError duplicate key / foreign key / null value</t>
        </is>
      </c>
      <c r="G22" s="8" t="inlineStr">
        <is>
          <t>Đúng như mong đợi</t>
        </is>
      </c>
      <c r="H22" s="7" t="inlineStr">
        <is>
          <t>Pass</t>
        </is>
      </c>
      <c r="I22" s="8" t="inlineStr">
        <is>
          <t>P27 · test_pending_primary_key_blocks_duplicate, test_foreign_keys_reject_unknown_user_and_schedule, test_not_null_columns</t>
        </is>
      </c>
    </row>
    <row r="23" ht="74" customHeight="1">
      <c r="A23" s="7" t="inlineStr">
        <is>
          <t>TC-SYNCCP-15</t>
        </is>
      </c>
      <c r="B23" s="7" t="inlineStr">
        <is>
          <t>Gửi checkpoint đúng một lần sau khi mọi mục có kết quả cuối (mobile)</t>
        </is>
      </c>
      <c r="C23" s="8" t="inlineStr">
        <is>
          <t>Flutter unit test; hàng chờ 3 mục</t>
        </is>
      </c>
      <c r="D23" s="8" t="inlineStr">
        <is>
          <t>1. Đồng bộ với các mục 2xx
2. Lặp với mục lỗi 404, 409, 422</t>
        </is>
      </c>
      <c r="E23" s="8" t="inlineStr">
        <is>
          <t>3 mục</t>
        </is>
      </c>
      <c r="F23" s="8" t="inlineStr">
        <is>
          <t>Một lần POST /doses/sync-checkpoints sau cùng; 404/409/422 tính là kết quả cuối</t>
        </is>
      </c>
      <c r="G23" s="8" t="inlineStr">
        <is>
          <t>Đúng như mong đợi</t>
        </is>
      </c>
      <c r="H23" s="7" t="inlineStr">
        <is>
          <t>Pass</t>
        </is>
      </c>
      <c r="I23" s="8" t="inlineStr">
        <is>
          <t>AC15 · EP (2) · 'checkpoint after all final results', '404/409/422 item failure counts as final'</t>
        </is>
      </c>
    </row>
    <row r="24" ht="57.5" customHeight="1">
      <c r="A24" s="7" t="inlineStr">
        <is>
          <t>TC-SYNCCP-16</t>
        </is>
      </c>
      <c r="B24" s="7" t="inlineStr">
        <is>
          <t>Không gửi checkpoint khi còn mục lỗi chưa phải kết quả cuối (mobile)</t>
        </is>
      </c>
      <c r="C24" s="8" t="inlineStr">
        <is>
          <t>Flutter unit test</t>
        </is>
      </c>
      <c r="D24" s="8" t="inlineStr">
        <is>
          <t>1. Đồng bộ với một mục lỗi mạng / 500 / 408 / 429 / 401 / 403</t>
        </is>
      </c>
      <c r="E24" s="8" t="inlineStr">
        <is>
          <t>6 loại lỗi</t>
        </is>
      </c>
      <c r="F24" s="8" t="inlineStr">
        <is>
          <t>Không gọi checkpoint</t>
        </is>
      </c>
      <c r="G24" s="8" t="inlineStr">
        <is>
          <t>Đúng như mong đợi</t>
        </is>
      </c>
      <c r="H24" s="7" t="inlineStr">
        <is>
          <t>Pass</t>
        </is>
      </c>
      <c r="I24" s="8" t="inlineStr">
        <is>
          <t>AC15 · EP (7,8,9,10,11,12) · 'no checkpoint on network/500/408/429/401/403 failure'</t>
        </is>
      </c>
    </row>
    <row r="25" ht="90.5" customHeight="1">
      <c r="A25" s="7" t="inlineStr">
        <is>
          <t>TC-SYNCCP-17</t>
        </is>
      </c>
      <c r="B25" s="7" t="inlineStr">
        <is>
          <t>Gửi checkpoint khi hàng chờ trống, khi có mạng lại và mỗi 15 phút (mobile)</t>
        </is>
      </c>
      <c r="C25" s="8" t="inlineStr">
        <is>
          <t>Flutter unit test</t>
        </is>
      </c>
      <c r="D25" s="8" t="inlineStr">
        <is>
          <t>1. start() và syncNow() với hàng chờ trống
2. Offline rồi có mạng
3. Timer 15'</t>
        </is>
      </c>
      <c r="E25" s="8" t="inlineStr">
        <is>
          <t>hàng chờ trống</t>
        </is>
      </c>
      <c r="F25" s="8" t="inlineStr">
        <is>
          <t>Có checkpoint mỗi lần; checkpoint lỗi được thử lại ở lần sau</t>
        </is>
      </c>
      <c r="G25" s="8" t="inlineStr">
        <is>
          <t>Đúng như mong đợi</t>
        </is>
      </c>
      <c r="H25" s="7" t="inlineStr">
        <is>
          <t>Pass</t>
        </is>
      </c>
      <c r="I25" s="8" t="inlineStr">
        <is>
          <t>AC15 · EP (3) · 'checkpoint when outbox empty, on start and syncNow', 'periodic 15 minutes while app is open', 'checkpoint when network returns'</t>
        </is>
      </c>
    </row>
    <row r="26" ht="74" customHeight="1">
      <c r="A26" s="7" t="inlineStr">
        <is>
          <t>TC-SYNCCP-18</t>
        </is>
      </c>
      <c r="B26" s="7" t="inlineStr">
        <is>
          <t>Đồng bộ nền khi nhận sync_request mà không đụng dữ liệu khác (mobile)</t>
        </is>
      </c>
      <c r="C26" s="8" t="inlineStr">
        <is>
          <t>Flutter unit test</t>
        </is>
      </c>
      <c r="D26" s="8" t="inlineStr">
        <is>
          <t>1. Không có phiên
2. Phiên hết hạn
3. Phiên hợp lệ
4. Server trả 401</t>
        </is>
      </c>
      <c r="E26" s="8" t="inlineStr">
        <is>
          <t>4 trạng thái phiên</t>
        </is>
      </c>
      <c r="F26" s="8" t="inlineStr">
        <is>
          <t>Không phiên/hết hạn: không request; hợp lệ: sync rồi checkpoint; 401: dừng, không checkpoint, không xóa phiên</t>
        </is>
      </c>
      <c r="G26" s="8" t="inlineStr">
        <is>
          <t>Đúng như mong đợi</t>
        </is>
      </c>
      <c r="H26" s="7" t="inlineStr">
        <is>
          <t>Pass</t>
        </is>
      </c>
      <c r="I26" s="8" t="inlineStr">
        <is>
          <t>AC38 · background_sync_test.dart (4 test)</t>
        </is>
      </c>
    </row>
    <row r="27" ht="90.5" customHeight="1">
      <c r="A27" s="7" t="inlineStr">
        <is>
          <t>TC-SYNCCP-19</t>
        </is>
      </c>
      <c r="B27" s="7" t="inlineStr">
        <is>
          <t>Bỏ qua sync_request trong luồng cảnh báo người thân khi app đang mở (mobile)</t>
        </is>
      </c>
      <c r="C27" s="8" t="inlineStr">
        <is>
          <t>Flutter unit test</t>
        </is>
      </c>
      <c r="D27" s="8" t="inlineStr">
        <is>
          <t>1. Nhận {type: sync_request} foreground
2. Nhận push người thân thường</t>
        </is>
      </c>
      <c r="E27" s="8" t="inlineStr">
        <is>
          <t>{"type": "sync_request"}</t>
        </is>
      </c>
      <c r="F27" s="8" t="inlineStr">
        <is>
          <t>Gọi onSyncRequest, không hiện thông báo, không mở hộp thư; push người thân xử lý như cũ</t>
        </is>
      </c>
      <c r="G27" s="8" t="inlineStr">
        <is>
          <t>Đúng như mong đợi</t>
        </is>
      </c>
      <c r="H27" s="7" t="inlineStr">
        <is>
          <t>Pass</t>
        </is>
      </c>
      <c r="I27" s="8" t="inlineStr">
        <is>
          <t>AC38 · 'sync_request ignored by family flow (foreground) and triggers sync', 'family push unchanged when onSyncRequest is set'</t>
        </is>
      </c>
    </row>
    <row r="28" ht="57.5" customHeight="1">
      <c r="A28" s="7" t="inlineStr">
        <is>
          <t>TC-SYNCCP-20</t>
        </is>
      </c>
      <c r="B28" s="7" t="inlineStr">
        <is>
          <t>Gửi checkpoint khi quay lại app và khi nhận push gõ cửa trên máy thật</t>
        </is>
      </c>
      <c r="C28" s="8" t="inlineStr">
        <is>
          <t>Emulator đăng nhập patient; backend local</t>
        </is>
      </c>
      <c r="D28" s="8" t="inlineStr">
        <is>
          <t>1. Đưa app xuống nền rồi mở lại
2. Backend gửi sync_request khi app chạy nền
3. Đọc dose_sync_checkpoints</t>
        </is>
      </c>
      <c r="E28" s="8" t="inlineStr">
        <is>
          <t>15:40:22 push gõ cửa</t>
        </is>
      </c>
      <c r="F28" s="8" t="inlineStr">
        <is>
          <t>Checkpoint mới ngay sau khi quay lại app / nhận push</t>
        </is>
      </c>
      <c r="G28" s="8" t="inlineStr">
        <is>
          <t>Push nhận 15:40:22.444, checkpoint 15:40:23</t>
        </is>
      </c>
      <c r="H28" s="7" t="inlineStr">
        <is>
          <t>Pass</t>
        </is>
      </c>
      <c r="I28" s="8" t="inlineStr">
        <is>
          <t>AC15 · AC38 · manual</t>
        </is>
      </c>
    </row>
    <row r="29"/>
    <row r="30"/>
    <row r="31">
      <c r="G31" s="12" t="inlineStr">
        <is>
          <t>Pass</t>
        </is>
      </c>
      <c r="H31" s="13">
        <f>COUNTIF(H9:H28,"Pass")</f>
        <v/>
      </c>
    </row>
    <row r="32">
      <c r="G32" s="12" t="inlineStr">
        <is>
          <t>Fail</t>
        </is>
      </c>
      <c r="H32" s="13">
        <f>COUNTIF(H9:H28,"Fail")</f>
        <v/>
      </c>
    </row>
    <row r="33">
      <c r="G33" s="12" t="inlineStr">
        <is>
          <t>Pending</t>
        </is>
      </c>
      <c r="H33" s="13">
        <f>COUNTIF(H9:H28,"Pending")</f>
        <v/>
      </c>
    </row>
    <row r="34">
      <c r="G34" s="12" t="inlineStr">
        <is>
          <t>Total</t>
        </is>
      </c>
      <c r="H34" s="13">
        <f>SUM(H31:H33)</f>
        <v/>
      </c>
    </row>
  </sheetData>
  <autoFilter ref="A8:I28"/>
  <conditionalFormatting sqref="H9:H28">
    <cfRule type="cellIs" priority="1" operator="equal" dxfId="0">
      <formula>"Fail"</formula>
    </cfRule>
  </conditionalFormatting>
  <dataValidations count="1">
    <dataValidation sqref="H9:H28" showDropDown="0" showInputMessage="0" showErrorMessage="0" allowBlank="0" type="list">
      <formula1>"Pass,Fail,Pending"</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O2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Lịch sử: liều chưa xác minh (UNVERIFIED)</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07" customHeight="1">
      <c r="A9" s="7" t="inlineStr">
        <is>
          <t>TC-UNVERIFIED-01</t>
        </is>
      </c>
      <c r="B9" s="7" t="inlineStr">
        <is>
          <t>Hiện chua_xac_minh cho patient và người thân khi chưa đồng bộ</t>
        </is>
      </c>
      <c r="C9" s="8" t="inlineStr">
        <is>
          <t>Liều 08:00 chưa có dòng, đã qua hạn chót; liều 07:00 da_uong; F đủ quyền; P chưa có checkpoint</t>
        </is>
      </c>
      <c r="D9" s="8" t="inlineStr">
        <is>
          <t>1. Patient GET /adherence ngày đó
2. F GET /adherence?patient_id=P
3. Đặt cp = 09:59:59 rồi lặp lại</t>
        </is>
      </c>
      <c r="E9" s="8" t="inlineStr">
        <is>
          <t>now = 12:00</t>
        </is>
      </c>
      <c r="F9" s="8" t="inlineStr">
        <is>
          <t>Liều 08:00: chua_xac_minh, inferred, taken_at null; unverified = 1, pending = 0, counted = 1, missed = 0, adherence_rate = 100; patient_last_synced_at = null rồi '2026-10-19T09:59:59+07:00'; access_logs có allowed cho patient và family</t>
        </is>
      </c>
      <c r="G9" s="8" t="inlineStr">
        <is>
          <t>Đúng như mong đợi</t>
        </is>
      </c>
      <c r="H9" s="7" t="inlineStr">
        <is>
          <t>Pass</t>
        </is>
      </c>
      <c r="I9" s="8" t="inlineStr">
        <is>
          <t>AC40 · EP (4,5) · test_unverified_and_last_synced__AC40</t>
        </is>
      </c>
      <c r="K9" s="9" t="inlineStr">
        <is>
          <t>Checkpoint so với hạn chót của liều chưa có dòng</t>
        </is>
      </c>
      <c r="L9" s="10" t="inlineStr">
        <is>
          <t>cp ≥ D</t>
        </is>
      </c>
      <c r="M9" s="10" t="inlineStr">
        <is>
          <t>1</t>
        </is>
      </c>
      <c r="N9" s="10" t="inlineStr">
        <is>
          <t>cp &lt; D
chưa có checkpoint</t>
        </is>
      </c>
      <c r="O9" s="10" t="inlineStr">
        <is>
          <t>4
5</t>
        </is>
      </c>
    </row>
    <row r="10" ht="74" customHeight="1">
      <c r="A10" s="7" t="inlineStr">
        <is>
          <t>TC-UNVERIFIED-02</t>
        </is>
      </c>
      <c r="B10" s="7" t="inlineStr">
        <is>
          <t>Suy ra bo_lo khi checkpoint đúng bằng hạn chót</t>
        </is>
      </c>
      <c r="C10" s="8" t="inlineStr">
        <is>
          <t>Liều 08:00 chưa có dòng; nhắc bật</t>
        </is>
      </c>
      <c r="D10" s="8" t="inlineStr">
        <is>
          <t>1. Đặt cp = 10:00
2. GET /adherence</t>
        </is>
      </c>
      <c r="E10" s="8" t="inlineStr">
        <is>
          <t>cp = D</t>
        </is>
      </c>
      <c r="F10" s="8" t="inlineStr">
        <is>
          <t>bo_lo, inferred; unverified = 0; patient_last_synced_at = '2026-10-19T10:00:00+07:00'; không ghi DB</t>
        </is>
      </c>
      <c r="G10" s="8" t="inlineStr">
        <is>
          <t>Đúng như mong đợi</t>
        </is>
      </c>
      <c r="H10" s="7" t="inlineStr">
        <is>
          <t>Pass</t>
        </is>
      </c>
      <c r="I10" s="8" t="inlineStr">
        <is>
          <t>AC40 · EP (1) · BVA (min) · test_inferred_missed_after_checkpoint__AC40[True]</t>
        </is>
      </c>
      <c r="K10" s="9" t="inlineStr">
        <is>
          <t>Phản hồi API ở mobile</t>
        </is>
      </c>
      <c r="L10" s="10" t="inlineStr">
        <is>
          <t>có chua_xac_minh, taken_at null, inferred, tổng khớp
không có trường unverified (backend cũ)</t>
        </is>
      </c>
      <c r="M10" s="10" t="inlineStr">
        <is>
          <t>2
3</t>
        </is>
      </c>
      <c r="N10" s="10" t="inlineStr">
        <is>
          <t>chua_xac_minh có taken_at
chua_xac_minh với status_source = recorded
tổng không khớp</t>
        </is>
      </c>
      <c r="O10" s="10" t="inlineStr">
        <is>
          <t>6
7
8</t>
        </is>
      </c>
    </row>
    <row r="11" ht="41" customHeight="1">
      <c r="A11" s="7" t="inlineStr">
        <is>
          <t>TC-UNVERIFIED-03</t>
        </is>
      </c>
      <c r="B11" s="7" t="inlineStr">
        <is>
          <t>Suy ra bo_lo cho lịch tắt nhắc khi đã đồng bộ</t>
        </is>
      </c>
      <c r="C11" s="8" t="inlineStr">
        <is>
          <t>Lịch tắt nhắc; cp = D</t>
        </is>
      </c>
      <c r="D11" s="8" t="inlineStr">
        <is>
          <t>1. GET /adherence</t>
        </is>
      </c>
      <c r="E11" s="8" t="inlineStr">
        <is>
          <t>reminder_enabled = false</t>
        </is>
      </c>
      <c r="F11" s="8" t="inlineStr">
        <is>
          <t>bo_lo, inferred</t>
        </is>
      </c>
      <c r="G11" s="8" t="inlineStr">
        <is>
          <t>Đúng như mong đợi</t>
        </is>
      </c>
      <c r="H11" s="7" t="inlineStr">
        <is>
          <t>Pass</t>
        </is>
      </c>
      <c r="I11" s="8" t="inlineStr">
        <is>
          <t>AC40 · test_inferred_missed_after_checkpoint__AC40[False]</t>
        </is>
      </c>
    </row>
    <row r="12" ht="41" customHeight="1">
      <c r="A12" s="7" t="inlineStr">
        <is>
          <t>TC-UNVERIFIED-04</t>
        </is>
      </c>
      <c r="B12" s="7" t="inlineStr">
        <is>
          <t>Hiện bo_lo recorded sau khi Worker ghi</t>
        </is>
      </c>
      <c r="C12" s="8" t="inlineStr">
        <is>
          <t>Liều đang chua_xac_minh</t>
        </is>
      </c>
      <c r="D12" s="8" t="inlineStr">
        <is>
          <t>1. Worker ghi bo_lo
2. GET /adherence</t>
        </is>
      </c>
      <c r="E12" s="8" t="inlineStr">
        <is>
          <t>dose_logs bo_lo</t>
        </is>
      </c>
      <c r="F12" s="8" t="inlineStr">
        <is>
          <t>bo_lo, recorded</t>
        </is>
      </c>
      <c r="G12" s="8" t="inlineStr">
        <is>
          <t>Đúng như mong đợi</t>
        </is>
      </c>
      <c r="H12" s="7" t="inlineStr">
        <is>
          <t>Pass</t>
        </is>
      </c>
      <c r="I12" s="8" t="inlineStr">
        <is>
          <t>AC40 · test_recorded_after_worker__AC40</t>
        </is>
      </c>
    </row>
    <row r="13" ht="90.5" customHeight="1">
      <c r="A13" s="7" t="inlineStr">
        <is>
          <t>TC-UNVERIFIED-05</t>
        </is>
      </c>
      <c r="B13" s="7" t="inlineStr">
        <is>
          <t>Coi checkpoint sớm hơn hạn chót 1 micro giây là chưa xác minh (domain)</t>
        </is>
      </c>
      <c r="C13" s="8" t="inlineStr">
        <is>
          <t>Unit test</t>
        </is>
      </c>
      <c r="D13" s="8" t="inlineStr">
        <is>
          <t>1. dose_view với synced_at = D − 1 µs và None</t>
        </is>
      </c>
      <c r="E13" s="8" t="inlineStr">
        <is>
          <t>synced_at = D − 1 µs</t>
        </is>
      </c>
      <c r="F13" s="8" t="inlineStr">
        <is>
          <t>chua_xac_minh; với cp = D là bo_lo inferred</t>
        </is>
      </c>
      <c r="G13" s="8" t="inlineStr">
        <is>
          <t>Đúng như mong đợi</t>
        </is>
      </c>
      <c r="H13" s="7" t="inlineStr">
        <is>
          <t>Pass</t>
        </is>
      </c>
      <c r="I13" s="8" t="inlineStr">
        <is>
          <t>AC40 · BVA (min-1) · test_unverified_when_checkpoint_before_deadline__AC40, test_inferred_missed_when_checkpoint_at_deadline__AC40</t>
        </is>
      </c>
    </row>
    <row r="14" ht="74" customHeight="1">
      <c r="A14" s="7" t="inlineStr">
        <is>
          <t>TC-UNVERIFIED-06</t>
        </is>
      </c>
      <c r="B14" s="7" t="inlineStr">
        <is>
          <t>Khớp contract với biến thể chua_xac_minh</t>
        </is>
      </c>
      <c r="C14" s="8" t="inlineStr">
        <is>
          <t>Unit test contract</t>
        </is>
      </c>
      <c r="D14" s="8" t="inlineStr">
        <is>
          <t>1. Kiểm mọi ví dụ trong openapi.json
2. Gửi chua_xac_minh có taken_at hoặc recorded</t>
        </is>
      </c>
      <c r="E14" s="8" t="inlineStr">
        <is>
          <t>AdherenceDose, AdherenceSummary</t>
        </is>
      </c>
      <c r="F14" s="8" t="inlineStr">
        <is>
          <t>Ví dụ hợp lệ; tổng gồm unverified; patient_last_synced_at bắt buộc, giờ VN; biến thể sai bị từ chối</t>
        </is>
      </c>
      <c r="G14" s="8" t="inlineStr">
        <is>
          <t>Đúng như mong đợi</t>
        </is>
      </c>
      <c r="H14" s="7" t="inlineStr">
        <is>
          <t>Pass</t>
        </is>
      </c>
      <c r="I14" s="8" t="inlineStr">
        <is>
          <t>AC41 · test_unverified_variant_validates_on_wire__AC40_AC41, test_reject_unverified_with_taken_at_or_recorded__AC41</t>
        </is>
      </c>
    </row>
    <row r="15" ht="57.5" customHeight="1">
      <c r="A15" s="7" t="inlineStr">
        <is>
          <t>TC-UNVERIFIED-07</t>
        </is>
      </c>
      <c r="B15" s="7" t="inlineStr">
        <is>
          <t>Đọc phản hồi có chua_xac_minh ở hai màn lịch sử (mobile)</t>
        </is>
      </c>
      <c r="C15" s="8" t="inlineStr">
        <is>
          <t>Flutter unit test mapper 3.24 và 3.02</t>
        </is>
      </c>
      <c r="D15" s="8" t="inlineStr">
        <is>
          <t>1. Parse JSON có một liều chua_xac_minh, unverified = 1</t>
        </is>
      </c>
      <c r="E15" s="8" t="inlineStr">
        <is>
          <t>status = chua_xac_minh</t>
        </is>
      </c>
      <c r="F15" s="8" t="inlineStr">
        <is>
          <t>Liều có trạng thái unverified, nhãn 'Chưa xác minh', các liều khác như cũ, tổng khớp</t>
        </is>
      </c>
      <c r="G15" s="8" t="inlineStr">
        <is>
          <t>Đúng như mong đợi</t>
        </is>
      </c>
      <c r="H15" s="7" t="inlineStr">
        <is>
          <t>Pass</t>
        </is>
      </c>
      <c r="I15" s="8" t="inlineStr">
        <is>
          <t>AC50 · EP (2) · 'parses chua_xac_minh + unverified'</t>
        </is>
      </c>
    </row>
    <row r="16" ht="41" customHeight="1">
      <c r="A16" s="7" t="inlineStr">
        <is>
          <t>TC-UNVERIFIED-08</t>
        </is>
      </c>
      <c r="B16" s="7" t="inlineStr">
        <is>
          <t>Đọc phản hồi của backend cũ không có unverified (mobile)</t>
        </is>
      </c>
      <c r="C16" s="8" t="inlineStr">
        <is>
          <t>Flutter unit test</t>
        </is>
      </c>
      <c r="D16" s="8" t="inlineStr">
        <is>
          <t>1. Parse JSON không có trường unverified</t>
        </is>
      </c>
      <c r="E16" s="8" t="inlineStr">
        <is>
          <t>(không có unverified)</t>
        </is>
      </c>
      <c r="F16" s="8" t="inlineStr">
        <is>
          <t>unverified = 0, không lỗi</t>
        </is>
      </c>
      <c r="G16" s="8" t="inlineStr">
        <is>
          <t>Đúng như mong đợi</t>
        </is>
      </c>
      <c r="H16" s="7" t="inlineStr">
        <is>
          <t>Pass</t>
        </is>
      </c>
      <c r="I16" s="8" t="inlineStr">
        <is>
          <t>AC50 · EP (3) · 'missing unverified defaults to 0'</t>
        </is>
      </c>
    </row>
    <row r="17" ht="74" customHeight="1">
      <c r="A17" s="7" t="inlineStr">
        <is>
          <t>TC-UNVERIFIED-09</t>
        </is>
      </c>
      <c r="B17" s="7" t="inlineStr">
        <is>
          <t>Báo lỗi dữ liệu khi chua_xac_minh sai định dạng (mobile)</t>
        </is>
      </c>
      <c r="C17" s="8" t="inlineStr">
        <is>
          <t>Flutter unit test</t>
        </is>
      </c>
      <c r="D17" s="8" t="inlineStr">
        <is>
          <t>1. Parse chua_xac_minh có taken_at
2. chua_xac_minh với recorded
3. Tổng không khớp</t>
        </is>
      </c>
      <c r="E17" s="8" t="inlineStr">
        <is>
          <t>3 biến thể sai</t>
        </is>
      </c>
      <c r="F17" s="8" t="inlineStr">
        <is>
          <t>FormatException như hiện tại</t>
        </is>
      </c>
      <c r="G17" s="8" t="inlineStr">
        <is>
          <t>Đúng như mong đợi</t>
        </is>
      </c>
      <c r="H17" s="7" t="inlineStr">
        <is>
          <t>Pass</t>
        </is>
      </c>
      <c r="I17" s="8" t="inlineStr">
        <is>
          <t>AC50 · EP (6,7,8) · 'rejects chua_xac_minh with taken_at or recorded source', 'rejects total mismatch with unverified'</t>
        </is>
      </c>
    </row>
    <row r="18" ht="57.5" customHeight="1">
      <c r="A18" s="7" t="inlineStr">
        <is>
          <t>TC-UNVERIFIED-10</t>
        </is>
      </c>
      <c r="B18" s="7" t="inlineStr">
        <is>
          <t>Hiện nhãn 'Chưa xác minh' trên màn lịch sử của người thân trên máy thật</t>
        </is>
      </c>
      <c r="C18" s="8" t="inlineStr">
        <is>
          <t>Liều quá hạn chót, patient chưa đồng bộ (không mở app patient)</t>
        </is>
      </c>
      <c r="D18" s="8" t="inlineStr">
        <is>
          <t>1. Trên máy người thân mở lịch sử tuân thủ của patient hôm nay</t>
        </is>
      </c>
      <c r="E18" s="8" t="inlineStr">
        <is>
          <t>Liều 13:52</t>
        </is>
      </c>
      <c r="F18" s="8" t="inlineStr">
        <is>
          <t>Liều hiện nhãn 'Chưa xác minh', icon đám mây gạch chéo, màu trung tính; không tính vào tỷ lệ</t>
        </is>
      </c>
      <c r="G18" s="8" t="inlineStr"/>
      <c r="H18" s="7" t="inlineStr">
        <is>
          <t>Pending</t>
        </is>
      </c>
      <c r="I18" s="8" t="inlineStr">
        <is>
          <t>AC40 · AC50 · manual (backend đã trả chua_xac_minh, chờ người dùng xem trên app)</t>
        </is>
      </c>
    </row>
    <row r="19"/>
    <row r="20"/>
    <row r="21">
      <c r="G21" s="12" t="inlineStr">
        <is>
          <t>Pass</t>
        </is>
      </c>
      <c r="H21" s="13">
        <f>COUNTIF(H9:H18,"Pass")</f>
        <v/>
      </c>
    </row>
    <row r="22">
      <c r="G22" s="12" t="inlineStr">
        <is>
          <t>Fail</t>
        </is>
      </c>
      <c r="H22" s="13">
        <f>COUNTIF(H9:H18,"Fail")</f>
        <v/>
      </c>
    </row>
    <row r="23">
      <c r="G23" s="12" t="inlineStr">
        <is>
          <t>Pending</t>
        </is>
      </c>
      <c r="H23" s="13">
        <f>COUNTIF(H9:H18,"Pending")</f>
        <v/>
      </c>
    </row>
    <row r="24">
      <c r="G24" s="12" t="inlineStr">
        <is>
          <t>Total</t>
        </is>
      </c>
      <c r="H24" s="13">
        <f>SUM(H21:H23)</f>
        <v/>
      </c>
    </row>
  </sheetData>
  <autoFilter ref="A8:I18"/>
  <conditionalFormatting sqref="H9:H18">
    <cfRule type="cellIs" priority="1" operator="equal" dxfId="0">
      <formula>"Fail"</formula>
    </cfRule>
  </conditionalFormatting>
  <dataValidations count="1">
    <dataValidation sqref="H9:H18" showDropDown="0" showInputMessage="0" showErrorMessage="0" allowBlank="0" type="list">
      <formula1>"Pass,Fail,Pending"</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Chuẩn hóa dòng và gom cụm OCR (OCRNORM)</t>
        </is>
      </c>
    </row>
    <row r="3">
      <c r="A3" s="1" t="inlineStr">
        <is>
          <t>Created By</t>
        </is>
      </c>
      <c r="B3" s="2" t="inlineStr">
        <is>
          <t>phucnguyenngoc</t>
        </is>
      </c>
    </row>
    <row r="4">
      <c r="A4" s="1" t="inlineStr">
        <is>
          <t>Creation Date</t>
        </is>
      </c>
      <c r="B4" s="21" t="n">
        <v>46325</v>
      </c>
    </row>
    <row r="5">
      <c r="A5" s="1" t="inlineStr">
        <is>
          <t>Reviewed By</t>
        </is>
      </c>
      <c r="B5" s="2" t="inlineStr"/>
    </row>
    <row r="6">
      <c r="A6" s="1" t="inlineStr">
        <is>
          <t>Reviewed Date</t>
        </is>
      </c>
      <c r="B6" s="2" t="n"/>
    </row>
    <row r="7">
      <c r="K7" s="4" t="inlineStr">
        <is>
          <t>Equivalence Partitioning</t>
        </is>
      </c>
      <c r="Q7" s="4" t="inlineStr">
        <is>
          <t>Tổng hợp bằng chứng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TC-OCRNORM-01</t>
        </is>
      </c>
      <c r="B9" s="7" t="inlineStr">
        <is>
          <t>Chuẩn hóa tiếng Việt và giữ hai biểu diễn</t>
        </is>
      </c>
      <c r="C9" s="8" t="inlineStr">
        <is>
          <t>Checkout task 4.12; dependencies backend/.venv sẵn có; chạy từ backend. Ca integration cần Supabase local riêng đã reset, không dùng DB deploy/chung; dữ liệu do test tạo.</t>
        </is>
      </c>
      <c r="D9" s="8" t="inlineStr">
        <is>
          <t>1. Mở terminal tại backend.
2. Chạy .venv/Scripts/python.exe -m pytest -p no:cacheprovider -vv tests/unit/test_catalog_ocr_normalization.py::test_line_sources_and_clean_key.
3. Đối chiếu assertion với dữ liệu/kết quả dưới đây; lưu output vào evidence.</t>
        </is>
      </c>
      <c r="E9" s="8" t="inlineStr">
        <is>
          <t>THUỐC ĐỎ NFC/NFD, tab, LF/CRLF/CR</t>
        </is>
      </c>
      <c r="F9" s="8" t="inlineStr">
        <is>
          <t>clean=thuốc đỏ, key=thuoc do; idempotent; raw và nguồn dòng không đổi.</t>
        </is>
      </c>
      <c r="G9" s="8" t="inlineStr">
        <is>
          <t>1 invocation đạt toàn bộ assertion trong lượt test 30/10; không skip. evidence/test-refresh-unit.xml</t>
        </is>
      </c>
      <c r="H9" s="7" t="inlineStr">
        <is>
          <t>Pass</t>
        </is>
      </c>
      <c r="I9" s="8" t="inlineStr">
        <is>
          <t>AC1, AC2 · EP (1) · tests/unit/test_catalog_ocr_normalization.py::test_line_sources_and_clean_key</t>
        </is>
      </c>
      <c r="K9" s="9" t="inlineStr">
        <is>
          <t>text/dòng/cụm</t>
        </is>
      </c>
      <c r="L9" s="10" t="inlineStr">
        <is>
          <t>Unicode và nguồn dòng
Tên có chữ số/ký tự nghi ngờ
Grammar strength hợp lệ
Rỗng/nhiễu
Thuần không I/O
Whitelist/eligibility
Cụm/raw có nhãn</t>
        </is>
      </c>
      <c r="M9" s="10" t="inlineStr">
        <is>
          <t>1
2
3
4
5
6
7</t>
        </is>
      </c>
      <c r="N9" s="10" t="inlineStr">
        <is>
          <t>Strength sai/mơ hồ/ngoài grammar
Non-string</t>
        </is>
      </c>
      <c r="O9" s="10" t="inlineStr">
        <is>
          <t>8
9</t>
        </is>
      </c>
      <c r="Q9" s="10" t="inlineStr">
        <is>
          <t>Strength khác nhau?</t>
        </is>
      </c>
      <c r="R9" s="11" t="inlineStr">
        <is>
          <t>No</t>
        </is>
      </c>
      <c r="S9" s="11" t="inlineStr">
        <is>
          <t>Yes</t>
        </is>
      </c>
      <c r="T9" s="11" t="inlineStr">
        <is>
          <t>-</t>
        </is>
      </c>
      <c r="U9" s="11" t="inlineStr">
        <is>
          <t>Yes</t>
        </is>
      </c>
    </row>
    <row r="10" ht="123.5" customHeight="1">
      <c r="A10" s="7" t="inlineStr">
        <is>
          <t>TC-OCRNORM-03</t>
        </is>
      </c>
      <c r="B10" s="7" t="inlineStr">
        <is>
          <t>Giữ số trong tên và ký tự OCR</t>
        </is>
      </c>
      <c r="C10" s="8" t="inlineStr">
        <is>
          <t>Checkout task 4.12; dependencies backend/.venv sẵn có; chạy từ backend. Ca integration cần Supabase local riêng đã reset, không dùng DB deploy/chung; dữ liệu do test tạo.</t>
        </is>
      </c>
      <c r="D10" s="8" t="inlineStr">
        <is>
          <t>1. Mở terminal tại backend.
2. Chạy .venv/Scripts/python.exe -m pytest -p no:cacheprovider -vv tests/unit/test_catalog_ocr_normalization.py::test_names_and_confusables.
3. Đối chiếu assertion với dữ liệu/kết quả dưới đây; lưu output vào evidence.</t>
        </is>
      </c>
      <c r="E10" s="8" t="inlineStr">
        <is>
          <t>Vitamin B12; Vitamin D3; O0l1; Metforrnin</t>
        </is>
      </c>
      <c r="F10" s="8" t="inlineStr">
        <is>
          <t>Không sửa ký tự, không tách B12/D3 thành strength.</t>
        </is>
      </c>
      <c r="G10" s="8" t="inlineStr">
        <is>
          <t>7 invocation đạt toàn bộ assertion trong lượt test 30/10; không skip. evidence/test-refresh-unit.xml</t>
        </is>
      </c>
      <c r="H10" s="7" t="inlineStr">
        <is>
          <t>Pass</t>
        </is>
      </c>
      <c r="I10" s="8" t="inlineStr">
        <is>
          <t>AC3 · EP (2) · tests/unit/test_catalog_ocr_normalization.py::test_names_and_confusables</t>
        </is>
      </c>
      <c r="Q10" s="10" t="inlineStr">
        <is>
          <t>Nhóm chưa hiểu?</t>
        </is>
      </c>
      <c r="R10" s="11" t="inlineStr">
        <is>
          <t>No</t>
        </is>
      </c>
      <c r="S10" s="11" t="inlineStr">
        <is>
          <t>No</t>
        </is>
      </c>
      <c r="T10" s="11" t="inlineStr">
        <is>
          <t>Yes</t>
        </is>
      </c>
      <c r="U10" s="11" t="inlineStr">
        <is>
          <t>Yes/No</t>
        </is>
      </c>
    </row>
    <row r="11" ht="123.5" customHeight="1">
      <c r="A11" s="7" t="inlineStr">
        <is>
          <t>TC-OCRNORM-04</t>
        </is>
      </c>
      <c r="B11" s="7" t="inlineStr">
        <is>
          <t>Trích hàm lượng đơn dương</t>
        </is>
      </c>
      <c r="C11" s="8" t="inlineStr">
        <is>
          <t>Checkout task 4.12; dependencies backend/.venv sẵn có; chạy từ backend. Ca integration cần Supabase local riêng đã reset, không dùng DB deploy/chung; dữ liệu do test tạo.</t>
        </is>
      </c>
      <c r="D11" s="8" t="inlineStr">
        <is>
          <t>1. Mở terminal tại backend.
2. Chạy .venv/Scripts/python.exe -m pytest -p no:cacheprovider -vv tests/unit/test_catalog_ocr_normalization.py::test_strength_whole_spans.
3. Đối chiếu assertion với dữ liệu/kết quả dưới đây; lưu output vào evidence.</t>
        </is>
      </c>
      <c r="E11" s="8" t="inlineStr">
        <is>
          <t>500MG; 500 mg; 25 mcg</t>
        </is>
      </c>
      <c r="F11" s="8" t="inlineStr">
        <is>
          <t>500 mg hoặc 25 mcg; span/line_id đúng; tên còn thuoc mau.</t>
        </is>
      </c>
      <c r="G11" s="8" t="inlineStr">
        <is>
          <t>10 invocation đạt toàn bộ assertion trong lượt test 30/10; không skip. evidence/test-refresh-unit.xml</t>
        </is>
      </c>
      <c r="H11" s="7" t="inlineStr">
        <is>
          <t>Pass</t>
        </is>
      </c>
      <c r="I11" s="8" t="inlineStr">
        <is>
          <t>AC4, AC5 · EP (3) · tests/unit/test_catalog_ocr_normalization.py::test_strength_whole_spans</t>
        </is>
      </c>
      <c r="Q11" s="6" t="inlineStr">
        <is>
          <t>Action</t>
        </is>
      </c>
      <c r="R11" s="5" t="inlineStr">
        <is>
          <t>R1</t>
        </is>
      </c>
      <c r="S11" s="5" t="inlineStr">
        <is>
          <t>R2</t>
        </is>
      </c>
      <c r="T11" s="5" t="inlineStr">
        <is>
          <t>R3</t>
        </is>
      </c>
      <c r="U11" s="5" t="inlineStr">
        <is>
          <t>R4</t>
        </is>
      </c>
    </row>
    <row r="12" ht="123.5" customHeight="1">
      <c r="A12" s="7" t="inlineStr">
        <is>
          <t>TC-OCRNORM-05</t>
        </is>
      </c>
      <c r="B12" s="7" t="inlineStr">
        <is>
          <t>Chuẩn hóa decimal không đổi đơn vị</t>
        </is>
      </c>
      <c r="C12" s="8" t="inlineStr">
        <is>
          <t>Checkout task 4.12; dependencies backend/.venv sẵn có; chạy từ backend. Ca integration cần Supabase local riêng đã reset, không dùng DB deploy/chung; dữ liệu do test tạo.</t>
        </is>
      </c>
      <c r="D12" s="8" t="inlineStr">
        <is>
          <t>1. Mở terminal tại backend.
2. Chạy .venv/Scripts/python.exe -m pytest -p no:cacheprovider -vv tests/unit/test_catalog_ocr_normalization.py::test_strength_whole_spans.
3. Đối chiếu assertion với dữ liệu/kết quả dưới đây; lưu output vào evidence.</t>
        </is>
      </c>
      <c r="E12" s="8" t="inlineStr">
        <is>
          <t>0,5 g; 0.5g; 500.0mg</t>
        </is>
      </c>
      <c r="F12" s="8" t="inlineStr">
        <is>
          <t>0.5 g hoặc 500 mg; không quy đổi g sang mg.</t>
        </is>
      </c>
      <c r="G12" s="8" t="inlineStr">
        <is>
          <t>10 invocation đạt toàn bộ assertion trong lượt test 30/10; không skip. evidence/test-refresh-unit.xml</t>
        </is>
      </c>
      <c r="H12" s="7" t="inlineStr">
        <is>
          <t>Pass</t>
        </is>
      </c>
      <c r="I12" s="8" t="inlineStr">
        <is>
          <t>AC4, AC5 · EP (3) · tests/unit/test_catalog_ocr_normalization.py::test_strength_whole_spans</t>
        </is>
      </c>
      <c r="Q12" s="10" t="inlineStr">
        <is>
          <t>Gắn khi duy nhất một neo</t>
        </is>
      </c>
      <c r="R12" s="11" t="inlineStr">
        <is>
          <t>X</t>
        </is>
      </c>
      <c r="S12" s="11" t="inlineStr"/>
      <c r="T12" s="11" t="inlineStr"/>
      <c r="U12" s="11" t="inlineStr"/>
    </row>
    <row r="13" ht="123.5" customHeight="1">
      <c r="A13" s="7" t="inlineStr">
        <is>
          <t>TC-OCRNORM-06</t>
        </is>
      </c>
      <c r="B13" s="7" t="inlineStr">
        <is>
          <t>Giữ tử mẫu nồng độ</t>
        </is>
      </c>
      <c r="C13" s="8" t="inlineStr">
        <is>
          <t>Checkout task 4.12; dependencies backend/.venv sẵn có; chạy từ backend. Ca integration cần Supabase local riêng đã reset, không dùng DB deploy/chung; dữ liệu do test tạo.</t>
        </is>
      </c>
      <c r="D13" s="8" t="inlineStr">
        <is>
          <t>1. Mở terminal tại backend.
2. Chạy .venv/Scripts/python.exe -m pytest -p no:cacheprovider -vv tests/unit/test_catalog_ocr_normalization.py::test_strength_whole_spans.
3. Đối chiếu assertion với dữ liệu/kết quả dưới đây; lưu output vào evidence.</t>
        </is>
      </c>
      <c r="E13" s="8" t="inlineStr">
        <is>
          <t>5mg/ml; 250mg/5ml</t>
        </is>
      </c>
      <c r="F13" s="8" t="inlineStr">
        <is>
          <t>5 mg/ml và 250 mg/5 ml; một occurrence cả biểu thức.</t>
        </is>
      </c>
      <c r="G13" s="8" t="inlineStr">
        <is>
          <t>10 invocation đạt toàn bộ assertion trong lượt test 30/10; không skip. evidence/test-refresh-unit.xml</t>
        </is>
      </c>
      <c r="H13" s="7" t="inlineStr">
        <is>
          <t>Pass</t>
        </is>
      </c>
      <c r="I13" s="8" t="inlineStr">
        <is>
          <t>AC4, AC5 · EP (3) · tests/unit/test_catalog_ocr_normalization.py::test_strength_whole_spans</t>
        </is>
      </c>
      <c r="Q13" s="10" t="inlineStr">
        <is>
          <t>Giữ cụm xung đột</t>
        </is>
      </c>
      <c r="R13" s="11" t="inlineStr"/>
      <c r="S13" s="11" t="inlineStr">
        <is>
          <t>X</t>
        </is>
      </c>
      <c r="T13" s="11" t="inlineStr"/>
      <c r="U13" s="11" t="inlineStr"/>
    </row>
    <row r="14" ht="123.5" customHeight="1">
      <c r="A14" s="7" t="inlineStr">
        <is>
          <t>TC-OCRNORM-07</t>
        </is>
      </c>
      <c r="B14" s="7" t="inlineStr">
        <is>
          <t>Giữ thứ tự phối hợp</t>
        </is>
      </c>
      <c r="C14" s="8" t="inlineStr">
        <is>
          <t>Checkout task 4.12; dependencies backend/.venv sẵn có; chạy từ backend. Ca integration cần Supabase local riêng đã reset, không dùng DB deploy/chung; dữ liệu do test tạo.</t>
        </is>
      </c>
      <c r="D14" s="8" t="inlineStr">
        <is>
          <t>1. Mở terminal tại backend.
2. Chạy .venv/Scripts/python.exe -m pytest -p no:cacheprovider -vv tests/unit/test_catalog_ocr_normalization.py::test_strength_whole_spans.
3. Đối chiếu assertion với dữ liệu/kết quả dưới đây; lưu output vào evidence.</t>
        </is>
      </c>
      <c r="E14" s="8" t="inlineStr">
        <is>
          <t>500mg + 65mg</t>
        </is>
      </c>
      <c r="F14" s="8" t="inlineStr">
        <is>
          <t>500 mg + 65 mg; không đếm từng thành phần thành giá trị cạnh tranh.</t>
        </is>
      </c>
      <c r="G14" s="8" t="inlineStr">
        <is>
          <t>10 invocation đạt toàn bộ assertion trong lượt test 30/10; không skip. evidence/test-refresh-unit.xml</t>
        </is>
      </c>
      <c r="H14" s="7" t="inlineStr">
        <is>
          <t>Pass</t>
        </is>
      </c>
      <c r="I14" s="8" t="inlineStr">
        <is>
          <t>AC4, AC5 · EP (3) · tests/unit/test_catalog_ocr_normalization.py::test_strength_whole_spans</t>
        </is>
      </c>
      <c r="Q14" s="10" t="inlineStr">
        <is>
          <t>Giữ unparsed độc lập</t>
        </is>
      </c>
      <c r="R14" s="11" t="inlineStr"/>
      <c r="S14" s="11" t="inlineStr"/>
      <c r="T14" s="11" t="inlineStr">
        <is>
          <t>X</t>
        </is>
      </c>
      <c r="U14" s="11" t="inlineStr"/>
    </row>
    <row r="15" ht="123.5" customHeight="1">
      <c r="A15" s="7" t="inlineStr">
        <is>
          <t>TC-OCRNORM-08</t>
        </is>
      </c>
      <c r="B15" s="7" t="inlineStr">
        <is>
          <t>Giữ biểu thức phần trăm</t>
        </is>
      </c>
      <c r="C15" s="8" t="inlineStr">
        <is>
          <t>Checkout task 4.12; dependencies backend/.venv sẵn có; chạy từ backend. Ca integration cần Supabase local riêng đã reset, không dùng DB deploy/chung; dữ liệu do test tạo.</t>
        </is>
      </c>
      <c r="D15" s="8" t="inlineStr">
        <is>
          <t>1. Mở terminal tại backend.
2. Chạy .venv/Scripts/python.exe -m pytest -p no:cacheprovider -vv tests/unit/test_catalog_ocr_normalization.py::test_strength_whole_spans.
3. Đối chiếu assertion với dữ liệu/kết quả dưới đây; lưu output vào evidence.</t>
        </is>
      </c>
      <c r="E15" s="8" t="inlineStr">
        <is>
          <t>0,9%</t>
        </is>
      </c>
      <c r="F15" s="8" t="inlineStr">
        <is>
          <t>0.9 %; giữ nguồn và span.</t>
        </is>
      </c>
      <c r="G15" s="8" t="inlineStr">
        <is>
          <t>10 invocation đạt toàn bộ assertion trong lượt test 30/10; không skip. evidence/test-refresh-unit.xml</t>
        </is>
      </c>
      <c r="H15" s="7" t="inlineStr">
        <is>
          <t>Pass</t>
        </is>
      </c>
      <c r="I15" s="8" t="inlineStr">
        <is>
          <t>AC4, AC5 · EP (3) · tests/unit/test_catalog_ocr_normalization.py::test_strength_whole_spans</t>
        </is>
      </c>
      <c r="Q15" s="10" t="inlineStr">
        <is>
          <t>Giữ mọi giá trị/count</t>
        </is>
      </c>
      <c r="R15" s="11" t="inlineStr"/>
      <c r="S15" s="11" t="inlineStr"/>
      <c r="T15" s="11" t="inlineStr"/>
      <c r="U15" s="11" t="inlineStr">
        <is>
          <t>X</t>
        </is>
      </c>
    </row>
    <row r="16" ht="123.5" customHeight="1">
      <c r="A16" s="7" t="inlineStr">
        <is>
          <t>TC-OCRNORM-09</t>
        </is>
      </c>
      <c r="B16" s="7" t="inlineStr">
        <is>
          <t>Giữ nhóm không dương chưa hiểu</t>
        </is>
      </c>
      <c r="C16" s="8" t="inlineStr">
        <is>
          <t>Checkout task 4.12; dependencies backend/.venv sẵn có; chạy từ backend. Ca integration cần Supabase local riêng đã reset, không dùng DB deploy/chung; dữ liệu do test tạo.</t>
        </is>
      </c>
      <c r="D16" s="8" t="inlineStr">
        <is>
          <t>1. Mở terminal tại backend.
2. Chạy .venv/Scripts/python.exe -m pytest -p no:cacheprovider -vv tests/unit/test_catalog_ocr_normalization.py::test_invalid_unsupported_whole_group.
3. Đối chiếu assertion với dữ liệu/kết quả dưới đây; lưu output vào evidence.</t>
        </is>
      </c>
      <c r="E16" s="8" t="inlineStr">
        <is>
          <t>-5mg; 0mg; 0.0mg; +5mg</t>
        </is>
      </c>
      <c r="F16" s="8" t="inlineStr">
        <is>
          <t>Không lấy một nhóm con; unparsed có nguồn, name_key giữ nhóm, không đoán/sửa.</t>
        </is>
      </c>
      <c r="G16" s="8" t="inlineStr">
        <is>
          <t>46 invocation đạt toàn bộ assertion trong lượt test 30/10; không skip. evidence/test-refresh-unit.xml</t>
        </is>
      </c>
      <c r="H16" s="7" t="inlineStr">
        <is>
          <t>Pass</t>
        </is>
      </c>
      <c r="I16" s="8" t="inlineStr">
        <is>
          <t>AC6 · EP (8) · BVA (âm/0/dương: không có upper bound) · tests/unit/test_catalog_ocr_normalization.py::test_invalid_unsupported_whole_group</t>
        </is>
      </c>
    </row>
    <row r="17" ht="123.5" customHeight="1">
      <c r="A17" s="7" t="inlineStr">
        <is>
          <t>TC-OCRNORM-10</t>
        </is>
      </c>
      <c r="B17" s="7" t="inlineStr">
        <is>
          <t>Giữ số OCR sai và dấu phân nhóm</t>
        </is>
      </c>
      <c r="C17" s="8" t="inlineStr">
        <is>
          <t>Checkout task 4.12; dependencies backend/.venv sẵn có; chạy từ backend. Ca integration cần Supabase local riêng đã reset, không dùng DB deploy/chung; dữ liệu do test tạo.</t>
        </is>
      </c>
      <c r="D17" s="8" t="inlineStr">
        <is>
          <t>1. Mở terminal tại backend.
2. Chạy .venv/Scripts/python.exe -m pytest -p no:cacheprovider -vv tests/unit/test_catalog_ocr_normalization.py::test_invalid_unsupported_whole_group.
3. Đối chiếu assertion với dữ liệu/kết quả dưới đây; lưu output vào evidence.</t>
        </is>
      </c>
      <c r="E17" s="8" t="inlineStr">
        <is>
          <t>5OOmg; 1e3mg; 1,000 mg; 5.5.5mg</t>
        </is>
      </c>
      <c r="F17" s="8" t="inlineStr">
        <is>
          <t>Không lấy một nhóm con; unparsed có nguồn, name_key giữ nhóm, không đoán/sửa.</t>
        </is>
      </c>
      <c r="G17" s="8" t="inlineStr">
        <is>
          <t>46 invocation đạt toàn bộ assertion trong lượt test 30/10; không skip. evidence/test-refresh-unit.xml</t>
        </is>
      </c>
      <c r="H17" s="7" t="inlineStr">
        <is>
          <t>Pass</t>
        </is>
      </c>
      <c r="I17" s="8" t="inlineStr">
        <is>
          <t>AC6 · EP (8) · BVA (âm/0/dương: không có upper bound) · tests/unit/test_catalog_ocr_normalization.py::test_invalid_unsupported_whole_group</t>
        </is>
      </c>
    </row>
    <row r="18" ht="123.5" customHeight="1">
      <c r="A18" s="7" t="inlineStr">
        <is>
          <t>TC-OCRNORM-11</t>
        </is>
      </c>
      <c r="B18" s="7" t="inlineStr">
        <is>
          <t>Giữ toàn biểu thức liên kết hỏng</t>
        </is>
      </c>
      <c r="C18" s="8" t="inlineStr">
        <is>
          <t>Checkout task 4.12; dependencies backend/.venv sẵn có; chạy từ backend. Ca integration cần Supabase local riêng đã reset, không dùng DB deploy/chung; dữ liệu do test tạo.</t>
        </is>
      </c>
      <c r="D18" s="8" t="inlineStr">
        <is>
          <t>1. Mở terminal tại backend.
2. Chạy .venv/Scripts/python.exe -m pytest -p no:cacheprovider -vv tests/unit/test_catalog_ocr_normalization.py::test_invalid_unsupported_whole_group.
3. Đối chiếu assertion với dữ liệu/kết quả dưới đây; lưu output vào evidence.</t>
        </is>
      </c>
      <c r="E18" s="8" t="inlineStr">
        <is>
          <t>500mg + 5OOmg; 250mg/0ml; 250mg/</t>
        </is>
      </c>
      <c r="F18" s="8" t="inlineStr">
        <is>
          <t>Không lấy một nhóm con; unparsed có nguồn, name_key giữ nhóm, không đoán/sửa.</t>
        </is>
      </c>
      <c r="G18" s="8" t="inlineStr">
        <is>
          <t>46 invocation đạt toàn bộ assertion trong lượt test 30/10; không skip. evidence/test-refresh-unit.xml</t>
        </is>
      </c>
      <c r="H18" s="7" t="inlineStr">
        <is>
          <t>Pass</t>
        </is>
      </c>
      <c r="I18" s="8" t="inlineStr">
        <is>
          <t>AC6 · EP (8) · BVA (âm/0/dương: không có upper bound) · tests/unit/test_catalog_ocr_normalization.py::test_invalid_unsupported_whole_group</t>
        </is>
      </c>
    </row>
    <row r="19" ht="123.5" customHeight="1">
      <c r="A19" s="7" t="inlineStr">
        <is>
          <t>TC-OCRNORM-12</t>
        </is>
      </c>
      <c r="B19" s="7" t="inlineStr">
        <is>
          <t>Giữ đơn vị ngoài grammar</t>
        </is>
      </c>
      <c r="C19" s="8" t="inlineStr">
        <is>
          <t>Checkout task 4.12; dependencies backend/.venv sẵn có; chạy từ backend. Ca integration cần Supabase local riêng đã reset, không dùng DB deploy/chung; dữ liệu do test tạo.</t>
        </is>
      </c>
      <c r="D19" s="8" t="inlineStr">
        <is>
          <t>1. Mở terminal tại backend.
2. Chạy .venv/Scripts/python.exe -m pytest -p no:cacheprovider -vv tests/unit/test_catalog_ocr_normalization.py::test_invalid_unsupported_whole_group.
3. Đối chiếu assertion với dữ liệu/kết quả dưới đây; lưu output vào evidence.</t>
        </is>
      </c>
      <c r="E19" s="8" t="inlineStr">
        <is>
          <t>50 IU; 25µg; 5kg; 5 g/ml</t>
        </is>
      </c>
      <c r="F19" s="8" t="inlineStr">
        <is>
          <t>Không lấy một nhóm con; unparsed có nguồn, name_key giữ nhóm, không đoán/sửa.</t>
        </is>
      </c>
      <c r="G19" s="8" t="inlineStr">
        <is>
          <t>46 invocation đạt toàn bộ assertion trong lượt test 30/10; không skip. evidence/test-refresh-unit.xml</t>
        </is>
      </c>
      <c r="H19" s="7" t="inlineStr">
        <is>
          <t>Pass</t>
        </is>
      </c>
      <c r="I19" s="8" t="inlineStr">
        <is>
          <t>AC6 · EP (8) · BVA (âm/0/dương: không có upper bound) · tests/unit/test_catalog_ocr_normalization.py::test_invalid_unsupported_whole_group</t>
        </is>
      </c>
    </row>
    <row r="20" ht="123.5" customHeight="1">
      <c r="A20" s="7" t="inlineStr">
        <is>
          <t>TC-OCRNORM-17</t>
        </is>
      </c>
      <c r="B20" s="7" t="inlineStr">
        <is>
          <t>Giữ cấu trúc rỗng và không query</t>
        </is>
      </c>
      <c r="C20" s="8" t="inlineStr">
        <is>
          <t>Checkout task 4.12; dependencies backend/.venv sẵn có; chạy từ backend. Ca integration cần Supabase local riêng đã reset, không dùng DB deploy/chung; dữ liệu do test tạo.</t>
        </is>
      </c>
      <c r="D20" s="8" t="inlineStr">
        <is>
          <t>1. Mở terminal tại backend.
2. Chạy .venv/Scripts/python.exe -m pytest -p no:cacheprovider -vv tests/unit/test_catalog_ocr_normalization.py::test_empty_and_noise_no_query.
3. Đối chiếu assertion với dữ liệu/kết quả dưới đây; lưu output vào evidence.</t>
        </is>
      </c>
      <c r="E20" s="8" t="inlineStr">
        <is>
          <t>(blank); whitespace; ®™•; newline; 5mg; hop 10 vi</t>
        </is>
      </c>
      <c r="F20" s="8" t="inlineStr">
        <is>
          <t>Không line/cụm eligible; raw rỗng trả tuple rỗng; newline giữ hai dòng.</t>
        </is>
      </c>
      <c r="G20" s="8" t="inlineStr">
        <is>
          <t>6 invocation đạt toàn bộ assertion trong lượt test 30/10; không skip. evidence/test-refresh-unit.xml</t>
        </is>
      </c>
      <c r="H20" s="7" t="inlineStr">
        <is>
          <t>Pass</t>
        </is>
      </c>
      <c r="I20" s="8" t="inlineStr">
        <is>
          <t>AC15 · EP (4) · tests/unit/test_catalog_ocr_normalization.py::test_empty_and_noise_no_query</t>
        </is>
      </c>
    </row>
    <row r="21" ht="123.5" customHeight="1">
      <c r="A21" s="7" t="inlineStr">
        <is>
          <t>TC-OCRNORM-18</t>
        </is>
      </c>
      <c r="B21" s="7" t="inlineStr">
        <is>
          <t>Từ chối non-string không echo</t>
        </is>
      </c>
      <c r="C21" s="8" t="inlineStr">
        <is>
          <t>Checkout task 4.12; dependencies backend/.venv sẵn có; chạy từ backend. Ca integration cần Supabase local riêng đã reset, không dùng DB deploy/chung; dữ liệu do test tạo.</t>
        </is>
      </c>
      <c r="D21" s="8" t="inlineStr">
        <is>
          <t>1. Mở terminal tại backend.
2. Chạy .venv/Scripts/python.exe -m pytest -p no:cacheprovider -vv tests/unit/test_catalog_ocr_normalization.py::test_non_string_rejected_without_echo.
3. Đối chiếu assertion với dữ liệu/kết quả dưới đây; lưu output vào evidence.</t>
        </is>
      </c>
      <c r="E21" s="8" t="inlineStr">
        <is>
          <t>None; 123; bytes/list private-marker</t>
        </is>
      </c>
      <c r="F21" s="8" t="inlineStr">
        <is>
          <t>TypeError: OCR text must be a string; không lộ marker.</t>
        </is>
      </c>
      <c r="G21" s="8" t="inlineStr">
        <is>
          <t>4 invocation đạt toàn bộ assertion trong lượt test 30/10; không skip. evidence/test-refresh-unit.xml</t>
        </is>
      </c>
      <c r="H21" s="7" t="inlineStr">
        <is>
          <t>Pass</t>
        </is>
      </c>
      <c r="I21" s="8" t="inlineStr">
        <is>
          <t>AC15 · EP (9) · tests/unit/test_catalog_ocr_normalization.py::test_non_string_rejected_without_echo</t>
        </is>
      </c>
    </row>
    <row r="22" ht="123.5" customHeight="1">
      <c r="A22" s="7" t="inlineStr">
        <is>
          <t>TC-OCRNORM-19</t>
        </is>
      </c>
      <c r="B22" s="7" t="inlineStr">
        <is>
          <t>Giữ normalizer thuần và không log</t>
        </is>
      </c>
      <c r="C22" s="8" t="inlineStr">
        <is>
          <t>Checkout task 4.12; dependencies backend/.venv sẵn có; chạy từ backend. Ca integration cần Supabase local riêng đã reset, không dùng DB deploy/chung; dữ liệu do test tạo.</t>
        </is>
      </c>
      <c r="D22" s="8" t="inlineStr">
        <is>
          <t>1. Mở terminal tại backend.
2. Chạy .venv/Scripts/python.exe -m pytest -p no:cacheprovider -vv tests/unit/test_catalog_ocr_normalization.py::test_no_ocr_io_log_or_writes.
3. Đối chiếu assertion với dữ liệu/kết quả dưới đây; lưu output vào evidence.</t>
        </is>
      </c>
      <c r="E22" s="8" t="inlineStr">
        <is>
          <t>synthetic-private-marker 500mg lặp hai dòng</t>
        </is>
      </c>
      <c r="F22" s="8" t="inlineStr">
        <is>
          <t>Không open/socket/log; count2; không xuất marker.</t>
        </is>
      </c>
      <c r="G22" s="8" t="inlineStr">
        <is>
          <t>1 invocation đạt toàn bộ assertion trong lượt test 30/10; không skip. evidence/test-refresh-unit.xml</t>
        </is>
      </c>
      <c r="H22" s="7" t="inlineStr">
        <is>
          <t>Pass</t>
        </is>
      </c>
      <c r="I22" s="8" t="inlineStr">
        <is>
          <t>AC21 · EP (5) · tests/unit/test_catalog_ocr_normalization.py::test_no_ocr_io_log_or_writes</t>
        </is>
      </c>
    </row>
    <row r="23" ht="123.5" customHeight="1">
      <c r="A23" s="7" t="inlineStr">
        <is>
          <t>TC-OCRNORM-21</t>
        </is>
      </c>
      <c r="B23" s="7" t="inlineStr">
        <is>
          <t>Giữ tên thật không có strength</t>
        </is>
      </c>
      <c r="C23" s="8" t="inlineStr">
        <is>
          <t>Checkout task 4.12; dependencies backend/.venv sẵn có; chạy từ backend. Ca integration cần Supabase local riêng đã reset, không dùng DB deploy/chung; dữ liệu do test tạo.</t>
        </is>
      </c>
      <c r="D23" s="8" t="inlineStr">
        <is>
          <t>1. Mở terminal tại backend.
2. Chạy .venv/Scripts/python.exe -m pytest -p no:cacheprovider -vv tests/unit/test_catalog_ocr_normalization.py::test_names_and_confusables.
3. Đối chiếu assertion với dữ liệu/kết quả dưới đây; lưu output vào evidence.</t>
        </is>
      </c>
      <c r="E23" s="8" t="inlineStr">
        <is>
          <t>Vitamin B12; Long; Log; Ong; O0l1</t>
        </is>
      </c>
      <c r="F23" s="8" t="inlineStr">
        <is>
          <t>Tên/ký tự giữ nguyên theo key; không tạo strength đoán.</t>
        </is>
      </c>
      <c r="G23" s="8" t="inlineStr">
        <is>
          <t>7 invocation đạt toàn bộ assertion trong lượt test 30/10; không skip. evidence/test-refresh-unit.xml</t>
        </is>
      </c>
      <c r="H23" s="7" t="inlineStr">
        <is>
          <t>Pass</t>
        </is>
      </c>
      <c r="I23" s="8" t="inlineStr">
        <is>
          <t>AC3 · EP (2) · tests/unit/test_catalog_ocr_normalization.py::test_names_and_confusables</t>
        </is>
      </c>
    </row>
    <row r="24" ht="123.5" customHeight="1">
      <c r="A24" s="7" t="inlineStr">
        <is>
          <t>TC-OCRNORM-22</t>
        </is>
      </c>
      <c r="B24" s="7" t="inlineStr">
        <is>
          <t>Giữ mọi dòng và khoảng nguồn</t>
        </is>
      </c>
      <c r="C24" s="8" t="inlineStr">
        <is>
          <t>Checkout task 4.12; dependencies backend/.venv sẵn có; chạy từ backend. Ca integration cần Supabase local riêng đã reset, không dùng DB deploy/chung; dữ liệu do test tạo.</t>
        </is>
      </c>
      <c r="D24" s="8" t="inlineStr">
        <is>
          <t>1. Mở terminal tại backend.
2. Chạy .venv/Scripts/python.exe -m pytest -p no:cacheprovider -vv tests/unit/test_catalog_ocr_normalization.py::test_line_sources_and_clean_key.
3. Đối chiếu assertion với dữ liệu/kết quả dưới đây; lưu output vào evidence.</t>
        </is>
      </c>
      <c r="E24" s="8" t="inlineStr">
        <is>
          <t>THUỐC ĐỎ CRLF, dòng trống, hai Metformin CR/LF, trống cuối</t>
        </is>
      </c>
      <c r="F24" s="8" t="inlineStr">
        <is>
          <t>Năm line_id theo thứ tự; ghép raw+line_ending tái tạo nguyên input; offset chính xác.</t>
        </is>
      </c>
      <c r="G24" s="8" t="inlineStr">
        <is>
          <t>1 invocation đạt toàn bộ assertion trong lượt test 30/10; không skip. evidence/test-refresh-unit.xml</t>
        </is>
      </c>
      <c r="H24" s="7" t="inlineStr">
        <is>
          <t>Pass</t>
        </is>
      </c>
      <c r="I24" s="8" t="inlineStr">
        <is>
          <t>AC1, AC2 · EP (1) · tests/unit/test_catalog_ocr_normalization.py::test_line_sources_and_clean_key</t>
        </is>
      </c>
    </row>
    <row r="25" ht="156.5" customHeight="1">
      <c r="A25" s="7" t="inlineStr">
        <is>
          <t>TC-OCRNORM-23</t>
        </is>
      </c>
      <c r="B25" s="7" t="inlineStr">
        <is>
          <t>Lọc whitelist sau khi trích</t>
        </is>
      </c>
      <c r="C25" s="8" t="inlineStr">
        <is>
          <t>Checkout task 4.12; dependencies backend/.venv sẵn có; chạy từ backend. Ca integration cần Supabase local riêng đã reset, không dùng DB deploy/chung; dữ liệu do test tạo.</t>
        </is>
      </c>
      <c r="D25" s="8" t="inlineStr">
        <is>
          <t>1. Mở terminal tại backend.
2. Chạy .venv/Scripts/python.exe -m pytest -p no:cacheprovider -vv tests/unit/test_catalog_ocr_normalization.py::test_whitelist_and_eligibility tests/unit/test_catalog_ocr_normalization.py::test_partial_registration_patterns_are_not_removed.
3. Đối chiếu assertion với dữ liệu/kết quả dưới đây; lưu output vào evidence.</t>
        </is>
      </c>
      <c r="E25" s="8" t="inlineStr">
        <is>
          <t>Metformin 500mg viên nén hộp 10 vỉ; SDK: VD-13882-11; Vienna Sirolex VD-X</t>
        </is>
      </c>
      <c r="F25" s="8" t="inlineStr">
        <is>
          <t>metformin eligible; 500mg đã trích; dòng SDK rỗng không query; tên giống noise được bảo vệ.</t>
        </is>
      </c>
      <c r="G25" s="8" t="inlineStr">
        <is>
          <t>17 invocation đạt toàn bộ assertion trong lượt test 30/10; không skip. evidence/test-refresh-unit.xml</t>
        </is>
      </c>
      <c r="H25" s="7" t="inlineStr">
        <is>
          <t>Pass</t>
        </is>
      </c>
      <c r="I25" s="8" t="inlineStr">
        <is>
          <t>AC7, AC8 · EP (6) · tests/unit/test_catalog_ocr_normalization.py::test_whitelist_and_eligibility; tests/unit/test_catalog_ocr_normalization.py::test_partial_registration_patterns_are_not_removed</t>
        </is>
      </c>
    </row>
    <row r="26" ht="123.5" customHeight="1">
      <c r="A26" s="7" t="inlineStr">
        <is>
          <t>TC-OCRNORM-24</t>
        </is>
      </c>
      <c r="B26" s="7" t="inlineStr">
        <is>
          <t>Giữ mảnh ngắn với reason</t>
        </is>
      </c>
      <c r="C26" s="8" t="inlineStr">
        <is>
          <t>Checkout task 4.12; dependencies backend/.venv sẵn có; chạy từ backend. Ca integration cần Supabase local riêng đã reset, không dùng DB deploy/chung; dữ liệu do test tạo.</t>
        </is>
      </c>
      <c r="D26" s="8" t="inlineStr">
        <is>
          <t>1. Mở terminal tại backend.
2. Chạy .venv/Scripts/python.exe -m pytest -p no:cacheprovider -vv tests/unit/test_catalog_ocr_normalization.py::test_whitelist_and_eligibility.
3. Đối chiếu assertion với dữ liệu/kết quả dưới đây; lưu output vào evidence.</t>
        </is>
      </c>
      <c r="E26" s="8" t="inlineStr">
        <is>
          <t>Met.; Metform.; B12; D3; 5mg; Vitamin D3 5mg</t>
        </is>
      </c>
      <c r="F26" s="8" t="inlineStr">
        <is>
          <t>Mảnh thiếu context không query; không mở rộng; Vitamin D3 query với số tên còn nguyên.</t>
        </is>
      </c>
      <c r="G26" s="8" t="inlineStr">
        <is>
          <t>13 invocation đạt toàn bộ assertion trong lượt test 30/10; không skip. evidence/test-refresh-unit.xml</t>
        </is>
      </c>
      <c r="H26" s="7" t="inlineStr">
        <is>
          <t>Pass</t>
        </is>
      </c>
      <c r="I26" s="8" t="inlineStr">
        <is>
          <t>AC3, AC8 · EP (6) · tests/unit/test_catalog_ocr_normalization.py::test_whitelist_and_eligibility</t>
        </is>
      </c>
    </row>
    <row r="27" ht="123.5" customHeight="1">
      <c r="A27" s="7" t="inlineStr">
        <is>
          <t>TC-OCRNORM-25</t>
        </is>
      </c>
      <c r="B27" s="7" t="inlineStr">
        <is>
          <t>Giữ nhóm hợp lệ độc lập cạnh nhóm sai</t>
        </is>
      </c>
      <c r="C27" s="8" t="inlineStr">
        <is>
          <t>Checkout task 4.12; dependencies backend/.venv sẵn có; chạy từ backend. Ca integration cần Supabase local riêng đã reset, không dùng DB deploy/chung; dữ liệu do test tạo.</t>
        </is>
      </c>
      <c r="D27" s="8" t="inlineStr">
        <is>
          <t>1. Mở terminal tại backend.
2. Chạy .venv/Scripts/python.exe -m pytest -p no:cacheprovider -vv tests/unit/test_catalog_ocr_normalization.py::test_valid_and_corrupted_groups_remain_separate.
3. Đối chiếu assertion với dữ liệu/kết quả dưới đây; lưu output vào evidence.</t>
        </is>
      </c>
      <c r="E27" s="8" t="inlineStr">
        <is>
          <t>500mg O.5g; l0 mg 500mg; 5OOmg</t>
        </is>
      </c>
      <c r="F27" s="8" t="inlineStr">
        <is>
          <t>Giữ 500mg hợp lệ nếu độc lập, unparsed riêng và name_key còn nhóm sai; không tính phiếu cho đoán.</t>
        </is>
      </c>
      <c r="G27" s="8" t="inlineStr">
        <is>
          <t>15 invocation đạt toàn bộ assertion trong lượt test 30/10; không skip. evidence/test-refresh-unit.xml</t>
        </is>
      </c>
      <c r="H27" s="7" t="inlineStr">
        <is>
          <t>Pass</t>
        </is>
      </c>
      <c r="I27" s="8" t="inlineStr">
        <is>
          <t>AC6, AC14 · EP (8) · Decision Table (R3) · tests/unit/test_catalog_ocr_normalization.py::test_valid_and_corrupted_groups_remain_separate</t>
        </is>
      </c>
    </row>
    <row r="28" ht="123.5" customHeight="1">
      <c r="A28" s="7" t="inlineStr">
        <is>
          <t>TC-OCRNORM-26</t>
        </is>
      </c>
      <c r="B28" s="7" t="inlineStr">
        <is>
          <t>Giữ count và đại diện theo hỗ trợ</t>
        </is>
      </c>
      <c r="C28" s="8" t="inlineStr">
        <is>
          <t>Checkout task 4.12; dependencies backend/.venv sẵn có; chạy từ backend. Ca integration cần Supabase local riêng đã reset, không dùng DB deploy/chung; dữ liệu do test tạo.</t>
        </is>
      </c>
      <c r="D28" s="8" t="inlineStr">
        <is>
          <t>1. Mở terminal tại backend.
2. Chạy .venv/Scripts/python.exe -m pytest -p no:cacheprovider -vv tests/unit/test_catalog_ocr_clusters.py::test_exact_repeats_counts_order_and_representative.
3. Đối chiếu assertion với dữ liệu/kết quả dưới đây; lưu output vào evidence.</t>
        </is>
      </c>
      <c r="E28" s="8" t="inlineStr">
        <is>
          <t>Metformin; METFORMIN; Metformin bydrock.; Aspirin</t>
        </is>
      </c>
      <c r="F28" s="8" t="inlineStr">
        <is>
          <t>Production có count2 cho metformin; thử T0.65 thì đại diện metformin vẫn thắng dòng dài, count3.</t>
        </is>
      </c>
      <c r="G28" s="8" t="inlineStr">
        <is>
          <t>1 invocation đạt toàn bộ assertion trong lượt test 30/10; không skip. evidence/test-refresh-unit.xml</t>
        </is>
      </c>
      <c r="H28" s="7" t="inlineStr">
        <is>
          <t>Pass</t>
        </is>
      </c>
      <c r="I28" s="8" t="inlineStr">
        <is>
          <t>AC9, AC11 · EP (7) · tests/unit/test_catalog_ocr_clusters.py::test_exact_repeats_counts_order_and_representative</t>
        </is>
      </c>
    </row>
    <row r="29" ht="123.5" customHeight="1">
      <c r="A29" s="7" t="inlineStr">
        <is>
          <t>TC-OCRNORM-27</t>
        </is>
      </c>
      <c r="B29" s="7" t="inlineStr">
        <is>
          <t>Kiểm biên ratio có tính bằng</t>
        </is>
      </c>
      <c r="C29" s="8" t="inlineStr">
        <is>
          <t>Checkout task 4.12; dependencies backend/.venv sẵn có; chạy từ backend. Ca integration cần Supabase local riêng đã reset, không dùng DB deploy/chung; dữ liệu do test tạo.</t>
        </is>
      </c>
      <c r="D29" s="8" t="inlineStr">
        <is>
          <t>1. Mở terminal tại backend.
2. Chạy .venv/Scripts/python.exe -m pytest -p no:cacheprovider -vv tests/unit/test_catalog_ocr_clusters.py::test_ratio_cutoff_below_equal_above.
3. Đối chiếu assertion với dữ liệu/kết quả dưới đây; lưu output vào evidence.</t>
        </is>
      </c>
      <c r="E29" s="8" t="inlineStr">
        <is>
          <t>abcdefghij / abcdefgxij; ratio=0.9; T=0.899/0.900/0.901</t>
        </is>
      </c>
      <c r="F29" s="8" t="inlineStr">
        <is>
          <t>Gom ở T dưới/bằng ratio, giữ riêng khi T trên; không nhầm ngưỡng với confidence thuốc.</t>
        </is>
      </c>
      <c r="G29" s="8" t="inlineStr">
        <is>
          <t>3 invocation đạt toàn bộ assertion trong lượt test 30/10; không skip. evidence/test-refresh-unit.xml</t>
        </is>
      </c>
      <c r="H29" s="7" t="inlineStr">
        <is>
          <t>Pass</t>
        </is>
      </c>
      <c r="I29" s="8" t="inlineStr">
        <is>
          <t>AC10 · BVA (dưới/bằng/trên ngưỡng ratio) · tests/unit/test_catalog_ocr_clusters.py::test_ratio_cutoff_below_equal_above</t>
        </is>
      </c>
    </row>
    <row r="30" ht="123.5" customHeight="1">
      <c r="A30" s="7" t="inlineStr">
        <is>
          <t>TC-OCRNORM-28</t>
        </is>
      </c>
      <c r="B30" s="7" t="inlineStr">
        <is>
          <t>Chặn nối cụm qua cầu trung gian</t>
        </is>
      </c>
      <c r="C30" s="8" t="inlineStr">
        <is>
          <t>Checkout task 4.12; dependencies backend/.venv sẵn có; chạy từ backend. Ca integration cần Supabase local riêng đã reset, không dùng DB deploy/chung; dữ liệu do test tạo.</t>
        </is>
      </c>
      <c r="D30" s="8" t="inlineStr">
        <is>
          <t>1. Mở terminal tại backend.
2. Chạy .venv/Scripts/python.exe -m pytest -p no:cacheprovider -vv tests/unit/test_catalog_ocr_clusters.py::test_complete_link_cannot_chain.
3. Đối chiếu assertion với dữ liệu/kết quả dưới đây; lưu output vào evidence.</t>
        </is>
      </c>
      <c r="E30" s="8" t="inlineStr">
        <is>
          <t>aaaaaaaaaa / aaaaaaaabb / aaaaaabbbb, T0.8</t>
        </is>
      </c>
      <c r="F30" s="8" t="inlineStr">
        <is>
          <t>Cụm (1,2) và (3); B-C không kéo A-C vào cùng cụm.</t>
        </is>
      </c>
      <c r="G30" s="8" t="inlineStr">
        <is>
          <t>1 invocation đạt toàn bộ assertion trong lượt test 30/10; không skip. evidence/test-refresh-unit.xml</t>
        </is>
      </c>
      <c r="H30" s="7" t="inlineStr">
        <is>
          <t>Pass</t>
        </is>
      </c>
      <c r="I30" s="8" t="inlineStr">
        <is>
          <t>AC10 · EP (7) · tests/unit/test_catalog_ocr_clusters.py::test_complete_link_cannot_chain</t>
        </is>
      </c>
    </row>
    <row r="31" ht="123.5" customHeight="1">
      <c r="A31" s="7" t="inlineStr">
        <is>
          <t>TC-OCRNORM-29</t>
        </is>
      </c>
      <c r="B31" s="7" t="inlineStr">
        <is>
          <t>Chặn dòng thiếu strength nối hai cụm xung đột</t>
        </is>
      </c>
      <c r="C31" s="8" t="inlineStr">
        <is>
          <t>Checkout task 4.12; dependencies backend/.venv sẵn có; chạy từ backend. Ca integration cần Supabase local riêng đã reset, không dùng DB deploy/chung; dữ liệu do test tạo.</t>
        </is>
      </c>
      <c r="D31" s="8" t="inlineStr">
        <is>
          <t>1. Mở terminal tại backend.
2. Chạy .venv/Scripts/python.exe -m pytest -p no:cacheprovider -vv tests/unit/test_catalog_ocr_clusters.py::test_missing_strength_never_bridges_conflict.
3. Đối chiếu assertion với dữ liệu/kết quả dưới đây; lưu output vào evidence.</t>
        </is>
      </c>
      <c r="E31" s="8" t="inlineStr">
        <is>
          <t>Candesartan Krka16mg / 160mg / thiếu strength; sáu hoán vị</t>
        </is>
      </c>
      <c r="F31" s="8" t="inlineStr">
        <is>
          <t>Luôn ba singleton, sum count3; không gộp 16 với160.</t>
        </is>
      </c>
      <c r="G31" s="8" t="inlineStr">
        <is>
          <t>6 invocation đạt toàn bộ assertion trong lượt test 30/10; không skip. evidence/test-refresh-unit.xml</t>
        </is>
      </c>
      <c r="H31" s="7" t="inlineStr">
        <is>
          <t>Pass</t>
        </is>
      </c>
      <c r="I31" s="8" t="inlineStr">
        <is>
          <t>AC10 · Decision Table (R2) · tests/unit/test_catalog_ocr_clusters.py::test_missing_strength_never_bridges_conflict</t>
        </is>
      </c>
    </row>
    <row r="32" ht="123.5" customHeight="1">
      <c r="A32" s="7" t="inlineStr">
        <is>
          <t>TC-OCRNORM-30</t>
        </is>
      </c>
      <c r="B32" s="7" t="inlineStr">
        <is>
          <t>Gắn dòng thiếu strength khi chỉ có một neo</t>
        </is>
      </c>
      <c r="C32" s="8" t="inlineStr">
        <is>
          <t>Checkout task 4.12; dependencies backend/.venv sẵn có; chạy từ backend. Ca integration cần Supabase local riêng đã reset, không dùng DB deploy/chung; dữ liệu do test tạo.</t>
        </is>
      </c>
      <c r="D32" s="8" t="inlineStr">
        <is>
          <t>1. Mở terminal tại backend.
2. Chạy .venv/Scripts/python.exe -m pytest -p no:cacheprovider -vv tests/unit/test_catalog_ocr_clusters.py::test_unique_missing_strength_attachment_and_unknown_vote.
3. Đối chiếu assertion với dữ liệu/kết quả dưới đây; lưu output vào evidence.</t>
        </is>
      </c>
      <c r="E32" s="8" t="inlineStr">
        <is>
          <t>Metformin500mg / Metformin / Metformin5OOmg / 500mg</t>
        </is>
      </c>
      <c r="F32" s="8" t="inlineStr">
        <is>
          <t>Dòng1,2 chung cụm; strength500 count1 ở cụm; dòng strength-only ở document, không ghép tên.</t>
        </is>
      </c>
      <c r="G32" s="8" t="inlineStr">
        <is>
          <t>1 invocation đạt toàn bộ assertion trong lượt test 30/10; không skip. evidence/test-refresh-unit.xml</t>
        </is>
      </c>
      <c r="H32" s="7" t="inlineStr">
        <is>
          <t>Pass</t>
        </is>
      </c>
      <c r="I32" s="8" t="inlineStr">
        <is>
          <t>AC10, AC12, AC14 · Decision Table (R1) · tests/unit/test_catalog_ocr_clusters.py::test_unique_missing_strength_attachment_and_unknown_vote</t>
        </is>
      </c>
    </row>
    <row r="33" ht="123.5" customHeight="1">
      <c r="A33" s="7" t="inlineStr">
        <is>
          <t>TC-OCRNORM-31</t>
        </is>
      </c>
      <c r="B33" s="7" t="inlineStr">
        <is>
          <t>Chặn substring và chữ số khác nhau</t>
        </is>
      </c>
      <c r="C33" s="8" t="inlineStr">
        <is>
          <t>Checkout task 4.12; dependencies backend/.venv sẵn có; chạy từ backend. Ca integration cần Supabase local riêng đã reset, không dùng DB deploy/chung; dữ liệu do test tạo.</t>
        </is>
      </c>
      <c r="D33" s="8" t="inlineStr">
        <is>
          <t>1. Mở terminal tại backend.
2. Chạy .venv/Scripts/python.exe -m pytest -p no:cacheprovider -vv tests/unit/test_catalog_ocr_clusters.py::test_digits_substring_suffix_and_unanchored_fragments_stay_separate.
3. Đối chiếu assertion với dữ liệu/kết quả dưới đây; lưu output vào evidence.</t>
        </is>
      </c>
      <c r="E33" s="8" t="inlineStr">
        <is>
          <t>Vitamin B12/D3; Candesartan16/160; formin/Metformin; Met./Metformin</t>
        </is>
      </c>
      <c r="F33" s="8" t="inlineStr">
        <is>
          <t>Mỗi cặp giữ riêng, không mở rộng mảnh hoặc suy tên.</t>
        </is>
      </c>
      <c r="G33" s="8" t="inlineStr">
        <is>
          <t>5 invocation đạt toàn bộ assertion trong lượt test 30/10; không skip. evidence/test-refresh-unit.xml</t>
        </is>
      </c>
      <c r="H33" s="7" t="inlineStr">
        <is>
          <t>Pass</t>
        </is>
      </c>
      <c r="I33" s="8" t="inlineStr">
        <is>
          <t>AC8, AC10 · EP (7) · tests/unit/test_catalog_ocr_clusters.py::test_digits_substring_suffix_and_unanchored_fragments_stay_separate</t>
        </is>
      </c>
    </row>
    <row r="34" ht="123.5" customHeight="1">
      <c r="A34" s="7" t="inlineStr">
        <is>
          <t>TC-OCRNORM-32</t>
        </is>
      </c>
      <c r="B34" s="7" t="inlineStr">
        <is>
          <t>Kiểm prefix có neo và biên 65%</t>
        </is>
      </c>
      <c r="C34" s="8" t="inlineStr">
        <is>
          <t>Checkout task 4.12; dependencies backend/.venv sẵn có; chạy từ backend. Ca integration cần Supabase local riêng đã reset, không dùng DB deploy/chung; dữ liệu do test tạo.</t>
        </is>
      </c>
      <c r="D34" s="8" t="inlineStr">
        <is>
          <t>1. Mở terminal tại backend.
2. Chạy .venv/Scripts/python.exe -m pytest -p no:cacheprovider -vv tests/unit/test_catalog_ocr_clusters.py::test_fragment_prefix_guard_and_full_anchor.
3. Đối chiếu assertion với dữ liệu/kết quả dưới đây; lưu output vào evidence.</t>
        </is>
      </c>
      <c r="E34" s="8" t="inlineStr">
        <is>
          <t>Metform./Metformin; prefix13/20,12/20; suffix13/20</t>
        </is>
      </c>
      <c r="F34" s="8" t="inlineStr">
        <is>
          <t>Metform. nhập với neo; 13/20 đủ65%, 12/20 không đủ; suffix không nhập dù dài.</t>
        </is>
      </c>
      <c r="G34" s="8" t="inlineStr">
        <is>
          <t>1 invocation đạt toàn bộ assertion trong lượt test 30/10; không skip. evidence/test-refresh-unit.xml</t>
        </is>
      </c>
      <c r="H34" s="7" t="inlineStr">
        <is>
          <t>Pass</t>
        </is>
      </c>
      <c r="I34" s="8" t="inlineStr">
        <is>
          <t>AC8, AC10 · BVA (12/20 dưới,13/20 bằng65%; vẫn phải có neo và đạt ratio) · tests/unit/test_catalog_ocr_clusters.py::test_fragment_prefix_guard_and_full_anchor</t>
        </is>
      </c>
    </row>
    <row r="35" ht="123.5" customHeight="1">
      <c r="A35" s="7" t="inlineStr">
        <is>
          <t>TC-OCRNORM-33</t>
        </is>
      </c>
      <c r="B35" s="7" t="inlineStr">
        <is>
          <t>Giữ cụm nhỏ và không nhân thành viên</t>
        </is>
      </c>
      <c r="C35" s="8" t="inlineStr">
        <is>
          <t>Checkout task 4.12; dependencies backend/.venv sẵn có; chạy từ backend. Ca integration cần Supabase local riêng đã reset, không dùng DB deploy/chung; dữ liệu do test tạo.</t>
        </is>
      </c>
      <c r="D35" s="8" t="inlineStr">
        <is>
          <t>1. Mở terminal tại backend.
2. Chạy .venv/Scripts/python.exe -m pytest -p no:cacheprovider -vv tests/unit/test_catalog_ocr_clusters.py::test_every_line_at_most_once_small_clusters_retained.
3. Đối chiếu assertion với dữ liệu/kết quả dưới đây; lưu output vào evidence.</t>
        </is>
      </c>
      <c r="E35" s="8" t="inlineStr">
        <is>
          <t>Metformin/Metformim/Metformin/Aspirin/B12/500mg/trống</t>
        </is>
      </c>
      <c r="F35" s="8" t="inlineStr">
        <is>
          <t>Mỗi dòng tên tối đa một cụm; giữ cụm không query; sort count giảm ổn định.</t>
        </is>
      </c>
      <c r="G35" s="8" t="inlineStr">
        <is>
          <t>1 invocation đạt toàn bộ assertion trong lượt test 30/10; không skip. evidence/test-refresh-unit.xml</t>
        </is>
      </c>
      <c r="H35" s="7" t="inlineStr">
        <is>
          <t>Pass</t>
        </is>
      </c>
      <c r="I35" s="8" t="inlineStr">
        <is>
          <t>AC9, AC11 · EP (7) · tests/unit/test_catalog_ocr_clusters.py::test_every_line_at_most_once_small_clusters_retained</t>
        </is>
      </c>
    </row>
    <row r="36" ht="123.5" customHeight="1">
      <c r="A36" s="7" t="inlineStr">
        <is>
          <t>TC-OCRNORM-34</t>
        </is>
      </c>
      <c r="B36" s="7" t="inlineStr">
        <is>
          <t>Giữ thiểu số, hòa và occurrence lặp</t>
        </is>
      </c>
      <c r="C36" s="8" t="inlineStr">
        <is>
          <t>Checkout task 4.12; dependencies backend/.venv sẵn có; chạy từ backend. Ca integration cần Supabase local riêng đã reset, không dùng DB deploy/chung; dữ liệu do test tạo.</t>
        </is>
      </c>
      <c r="D36" s="8" t="inlineStr">
        <is>
          <t>1. Mở terminal tại backend.
2. Chạy .venv/Scripts/python.exe -m pytest -p no:cacheprovider -vv tests/unit/test_catalog_ocr_normalization.py::test_evidence_retains_minority_unknown_and_repeated_occurrences.
3. Đối chiếu assertion với dữ liệu/kết quả dưới đây; lưu output vào evidence.</t>
        </is>
      </c>
      <c r="E36" s="8" t="inlineStr">
        <is>
          <t>4 dòng500mg,1 dòng850mg,1 dòng500mg500.0mg,1 dòng5OOmg; hòa500/850</t>
        </is>
      </c>
      <c r="F36" s="8" t="inlineStr">
        <is>
          <t>500 count5 nhưng6 occurrence; 850 count1; conflict/unparsed độc lập; hòa giữ hai giá trị; không winner.</t>
        </is>
      </c>
      <c r="G36" s="8" t="inlineStr">
        <is>
          <t>1 invocation đạt toàn bộ assertion trong lượt test 30/10; không skip. evidence/test-refresh-unit.xml</t>
        </is>
      </c>
      <c r="H36" s="7" t="inlineStr">
        <is>
          <t>Pass</t>
        </is>
      </c>
      <c r="I36" s="8" t="inlineStr">
        <is>
          <t>AC12, AC13, AC14 · Decision Table (R4) · tests/unit/test_catalog_ocr_normalization.py::test_evidence_retains_minority_unknown_and_repeated_occurrences</t>
        </is>
      </c>
    </row>
    <row r="37" ht="123.5" customHeight="1">
      <c r="A37" s="7" t="inlineStr">
        <is>
          <t>TC-OCRNORM-35</t>
        </is>
      </c>
      <c r="B37" s="7" t="inlineStr">
        <is>
          <t>Giữ nhiều giá trị trong cùng dòng</t>
        </is>
      </c>
      <c r="C37" s="8" t="inlineStr">
        <is>
          <t>Checkout task 4.12; dependencies backend/.venv sẵn có; chạy từ backend. Ca integration cần Supabase local riêng đã reset, không dùng DB deploy/chung; dữ liệu do test tạo.</t>
        </is>
      </c>
      <c r="D37" s="8" t="inlineStr">
        <is>
          <t>1. Mở terminal tại backend.
2. Chạy .venv/Scripts/python.exe -m pytest -p no:cacheprovider -vv tests/unit/test_catalog_ocr_clusters.py::test_equal_name_different_signatures_and_ambiguous_line.
3. Đối chiếu assertion với dữ liệu/kết quả dưới đây; lưu output vào evidence.</t>
        </is>
      </c>
      <c r="E37" s="8" t="inlineStr">
        <is>
          <t>Metformin500mg / Metformin500mg850mg / Metformin850mg</t>
        </is>
      </c>
      <c r="F37" s="8" t="inlineStr">
        <is>
          <t>Ba signature/cụm riêng; có has_conflict và has_ambiguous_line.</t>
        </is>
      </c>
      <c r="G37" s="8" t="inlineStr">
        <is>
          <t>1 invocation đạt toàn bộ assertion trong lượt test 30/10; không skip. evidence/test-refresh-unit.xml</t>
        </is>
      </c>
      <c r="H37" s="7" t="inlineStr">
        <is>
          <t>Pass</t>
        </is>
      </c>
      <c r="I37" s="8" t="inlineStr">
        <is>
          <t>AC6, AC10, AC14 · EP (8) · tests/unit/test_catalog_ocr_clusters.py::test_equal_name_different_signatures_and_ambiguous_line</t>
        </is>
      </c>
    </row>
    <row r="38" ht="123.5" customHeight="1">
      <c r="A38" s="7" t="inlineStr">
        <is>
          <t>TC-OCRNORM-36</t>
        </is>
      </c>
      <c r="B38" s="7" t="inlineStr">
        <is>
          <t>Đếm phối hợp theo toàn biểu thức</t>
        </is>
      </c>
      <c r="C38" s="8" t="inlineStr">
        <is>
          <t>Checkout task 4.12; dependencies backend/.venv sẵn có; chạy từ backend. Ca integration cần Supabase local riêng đã reset, không dùng DB deploy/chung; dữ liệu do test tạo.</t>
        </is>
      </c>
      <c r="D38" s="8" t="inlineStr">
        <is>
          <t>1. Mở terminal tại backend.
2. Chạy .venv/Scripts/python.exe -m pytest -p no:cacheprovider -vv tests/unit/test_catalog_ocr_normalization.py::test_combination_is_one_vote_with_ordered_parts_and_uncertain_tail.
3. Đối chiếu assertion với dữ liệu/kết quả dưới đây; lưu output vào evidence.</t>
        </is>
      </c>
      <c r="E38" s="8" t="inlineStr">
        <is>
          <t>500mg+65mg / 65mg+500mg / 500mg+5OOmg</t>
        </is>
      </c>
      <c r="F38" s="8" t="inlineStr">
        <is>
          <t>Giữ thứ tự parts; hai canonical khác nhau; nhóm hỏng không thành phiếu.</t>
        </is>
      </c>
      <c r="G38" s="8" t="inlineStr">
        <is>
          <t>1 invocation đạt toàn bộ assertion trong lượt test 30/10; không skip. evidence/test-refresh-unit.xml</t>
        </is>
      </c>
      <c r="H38" s="7" t="inlineStr">
        <is>
          <t>Pass</t>
        </is>
      </c>
      <c r="I38" s="8" t="inlineStr">
        <is>
          <t>AC5, AC12, AC14 · EP (3) · tests/unit/test_catalog_ocr_normalization.py::test_combination_is_one_vote_with_ordered_parts_and_uncertain_tail</t>
        </is>
      </c>
    </row>
    <row r="39" ht="173" customHeight="1">
      <c r="A39" s="7" t="inlineStr">
        <is>
          <t>TC-OCRNORM-37</t>
        </is>
      </c>
      <c r="B39" s="7" t="inlineStr">
        <is>
          <t>Chạy regression raw thật có nhãn</t>
        </is>
      </c>
      <c r="C39" s="8" t="inlineStr">
        <is>
          <t>Checkout task 4.12; dependencies backend/.venv sẵn có; chạy từ backend. Ca integration cần Supabase local riêng đã reset, không dùng DB deploy/chung; dữ liệu do test tạo.</t>
        </is>
      </c>
      <c r="D39" s="8" t="inlineStr">
        <is>
          <t>1. Mở terminal tại backend.
2. Chạy .venv/Scripts/python.exe -m pytest -p no:cacheprovider -vv tests/unit/test_catalog_ocr_clusters.py::test_labelled_real_raw_regression tests/unit/test_catalog_ocr_clusters.py::test_calibrated_threshold_and_provenance_are_fixed tests/unit/test_catalog_ocr_clusters.py::test_synthetic_labelled_fixture.
3. Đối chiếu assertion với dữ liệu/kết quả dưới đây; lưu output vào evidence.</t>
        </is>
      </c>
      <c r="E39" s="8" t="inlineStr">
        <is>
          <t>Bốn cặp raw từ hai run, source SHA/line IDs trong fixture</t>
        </is>
      </c>
      <c r="F39" s="8" t="inlineStr">
        <is>
          <t>Đúng bốn nhãn owner_confirmed; T0.86 cố định; không gọi tập nhỏ là accuracy ngoài tập.</t>
        </is>
      </c>
      <c r="G39" s="8" t="inlineStr">
        <is>
          <t>6 invocation đạt toàn bộ assertion trong lượt test 30/10; không skip. evidence/test-refresh-unit.xml</t>
        </is>
      </c>
      <c r="H39" s="7" t="inlineStr">
        <is>
          <t>Pass</t>
        </is>
      </c>
      <c r="I39" s="8" t="inlineStr">
        <is>
          <t>AC23 · EP (7) · tests/unit/test_catalog_ocr_clusters.py::test_labelled_real_raw_regression; tests/unit/test_catalog_ocr_clusters.py::test_calibrated_threshold_and_provenance_are_fixed; tests/unit/test_catalog_ocr_clusters.py::test_synthetic_labelled_fixture</t>
        </is>
      </c>
    </row>
    <row r="40" ht="107" customHeight="1">
      <c r="A40" s="7" t="inlineStr">
        <is>
          <t>TC-OCRNORM-38</t>
        </is>
      </c>
      <c r="B40" s="7" t="inlineStr">
        <is>
          <t>Từ chối threshold ngoài miền</t>
        </is>
      </c>
      <c r="C40" s="8" t="inlineStr">
        <is>
          <t>Checkout task 4.12; dependencies backend/.venv sẵn có; chạy từ backend. Ca integration cần Supabase local riêng đã reset, không dùng DB deploy/chung; dữ liệu do test tạo.</t>
        </is>
      </c>
      <c r="D40" s="8" t="inlineStr">
        <is>
          <t>1. Mở terminal tại backend.
2. Chạy .venv/Scripts/python.exe -m pytest -p no:cacheprovider -vv tests/unit/test_catalog_ocr_clusters.py::test_invalid_threshold.
3. Đối chiếu assertion với dữ liệu/kết quả dưới đây; lưu output vào evidence.</t>
        </is>
      </c>
      <c r="E40" s="8" t="inlineStr">
        <is>
          <t>T=-0.1 và1.1</t>
        </is>
      </c>
      <c r="F40" s="8" t="inlineStr">
        <is>
          <t>ValueError; không âm thầm clamp ngưỡng.</t>
        </is>
      </c>
      <c r="G40" s="8" t="inlineStr">
        <is>
          <t>2 invocation đạt toàn bộ assertion trong lượt test 30/10; không skip. evidence/test-refresh-unit.xml</t>
        </is>
      </c>
      <c r="H40" s="7" t="inlineStr">
        <is>
          <t>Pass</t>
        </is>
      </c>
      <c r="I40" s="8" t="inlineStr">
        <is>
          <t>AC10 · BVA (ngoài0..1) · tests/unit/test_catalog_ocr_clusters.py::test_invalid_threshold</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U3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Tra cứu catalog bằng index DB (CATINDEX)</t>
        </is>
      </c>
    </row>
    <row r="3">
      <c r="A3" s="1" t="inlineStr">
        <is>
          <t>Created By</t>
        </is>
      </c>
      <c r="B3" s="2" t="inlineStr">
        <is>
          <t>phucnguyenngoc</t>
        </is>
      </c>
    </row>
    <row r="4">
      <c r="A4" s="1" t="inlineStr">
        <is>
          <t>Creation Date</t>
        </is>
      </c>
      <c r="B4" s="21" t="n">
        <v>46325</v>
      </c>
    </row>
    <row r="5">
      <c r="A5" s="1" t="inlineStr">
        <is>
          <t>Reviewed By</t>
        </is>
      </c>
      <c r="B5" s="2" t="inlineStr"/>
    </row>
    <row r="6">
      <c r="A6" s="1" t="inlineStr">
        <is>
          <t>Reviewed Date</t>
        </is>
      </c>
      <c r="B6" s="2" t="n"/>
    </row>
    <row r="7">
      <c r="K7" s="4" t="inlineStr">
        <is>
          <t>Equivalence Partitioning</t>
        </is>
      </c>
      <c r="Q7" s="4" t="inlineStr">
        <is>
          <t>Lookup</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56.5" customHeight="1">
      <c r="A9" s="7" t="inlineStr">
        <is>
          <t>TC-CATINDEX-07</t>
        </is>
      </c>
      <c r="B9" s="7" t="inlineStr">
        <is>
          <t>Truyền lỗi từng nhánh và iterator</t>
        </is>
      </c>
      <c r="C9" s="8" t="inlineStr">
        <is>
          <t>Checkout task 4.12; dependencies backend/.venv sẵn có; chạy từ backend. Ca integration cần Supabase local riêng đã reset, không dùng DB deploy/chung; dữ liệu do test tạo.</t>
        </is>
      </c>
      <c r="D9" s="8" t="inlineStr">
        <is>
          <t>1. Mở terminal tại backend.
2. Chạy .venv/Scripts/python.exe -m pytest -p no:cacheprovider -vv tests/unit/test_catalog_index.py::test_any_branch_error_propagates_without_partial_or_fallback tests/unit/test_catalog_index.py::test_sql_iterator_error_is_not_swallowed.
3. Đối chiếu assertion với dữ liệu/kết quả dưới đây; lưu output vào evidence.</t>
        </is>
      </c>
      <c r="E9" s="8" t="inlineStr">
        <is>
          <t>Reader lỗi ở name/raw_active_ingredient/alias; iterator lỗi sau hit</t>
        </is>
      </c>
      <c r="F9" s="8" t="inlineStr">
        <is>
          <t>Exception truyền lên toàn lượt, không partial/rỗng/cache.</t>
        </is>
      </c>
      <c r="G9" s="8" t="inlineStr">
        <is>
          <t>4 invocation đạt toàn bộ assertion trong lượt test 30/10; không skip. evidence/test-refresh-unit.xml</t>
        </is>
      </c>
      <c r="H9" s="7" t="inlineStr">
        <is>
          <t>Pass</t>
        </is>
      </c>
      <c r="I9" s="8" t="inlineStr">
        <is>
          <t>AC19 · Decision Table (R3) · tests/unit/test_catalog_index.py::test_any_branch_error_propagates_without_partial_or_fallback; tests/unit/test_catalog_index.py::test_sql_iterator_error_is_not_swallowed</t>
        </is>
      </c>
      <c r="K9" s="9" t="inlineStr">
        <is>
          <t>query/catalog</t>
        </is>
      </c>
      <c r="L9" s="10" t="inlineStr">
        <is>
          <t>Facade/read-only/hồi quy
Catalog có link/index/budget
Literal đặc biệt
Không eligible</t>
        </is>
      </c>
      <c r="M9" s="10" t="inlineStr">
        <is>
          <t>1
2
3
4</t>
        </is>
      </c>
      <c r="N9" s="10" t="inlineStr"/>
      <c r="O9" s="10" t="inlineStr"/>
      <c r="Q9" s="10" t="inlineStr">
        <is>
          <t>Dữ liệu đã commit?</t>
        </is>
      </c>
      <c r="R9" s="11" t="inlineStr">
        <is>
          <t>Yes</t>
        </is>
      </c>
      <c r="S9" s="11" t="inlineStr">
        <is>
          <t>Yes</t>
        </is>
      </c>
      <c r="T9" s="11" t="inlineStr">
        <is>
          <t>-</t>
        </is>
      </c>
      <c r="U9" s="11" t="inlineStr">
        <is>
          <t>Yes</t>
        </is>
      </c>
    </row>
    <row r="10" ht="123.5" customHeight="1">
      <c r="A10" s="7" t="inlineStr">
        <is>
          <t>TC-CATINDEX-08</t>
        </is>
      </c>
      <c r="B10" s="7" t="inlineStr">
        <is>
          <t>Dùng cùng facade cho hai caller</t>
        </is>
      </c>
      <c r="C10" s="8" t="inlineStr">
        <is>
          <t>Checkout task 4.12; dependencies backend/.venv sẵn có; chạy từ backend. Ca integration cần Supabase local riêng đã reset, không dùng DB deploy/chung; dữ liệu do test tạo.</t>
        </is>
      </c>
      <c r="D10" s="8" t="inlineStr">
        <is>
          <t>1. Mở terminal tại backend.
2. Chạy .venv/Scripts/python.exe -m pytest -p no:cacheprovider -vv tests/unit/test_catalog_index.py::test_two_facade_callers_fresh_uow_no_snapshot.
3. Đối chiếu assertion với dữ liệu/kết quả dưới đây; lưu output vào evidence.</t>
        </is>
      </c>
      <c r="E10" s="8" t="inlineStr">
        <is>
          <t>Hai UoW mô phỏng4.13/4.15, reader thay dữ liệu giữa lượt</t>
        </is>
      </c>
      <c r="F10" s="8" t="inlineStr">
        <is>
          <t>Cùng normalized DTO/quy tắc, kết quả mới theo lượt; không snapshot xuyên request.</t>
        </is>
      </c>
      <c r="G10" s="8" t="inlineStr">
        <is>
          <t>1 invocation đạt toàn bộ assertion trong lượt test 30/10; không skip. evidence/test-refresh-unit.xml</t>
        </is>
      </c>
      <c r="H10" s="7" t="inlineStr">
        <is>
          <t>Pass</t>
        </is>
      </c>
      <c r="I10" s="8" t="inlineStr">
        <is>
          <t>AC22, AC19 · EP (1) · tests/unit/test_catalog_index.py::test_two_facade_callers_fresh_uow_no_snapshot</t>
        </is>
      </c>
      <c r="Q10" s="10" t="inlineStr">
        <is>
          <t>Lỗi đọc?</t>
        </is>
      </c>
      <c r="R10" s="11" t="inlineStr">
        <is>
          <t>No</t>
        </is>
      </c>
      <c r="S10" s="11" t="inlineStr">
        <is>
          <t>No</t>
        </is>
      </c>
      <c r="T10" s="11" t="inlineStr">
        <is>
          <t>Yes</t>
        </is>
      </c>
      <c r="U10" s="11" t="inlineStr">
        <is>
          <t>No</t>
        </is>
      </c>
    </row>
    <row r="11" ht="123.5" customHeight="1">
      <c r="A11" s="7" t="inlineStr">
        <is>
          <t>TC-CATINDEX-09</t>
        </is>
      </c>
      <c r="B11" s="7" t="inlineStr">
        <is>
          <t>Giữ lookup không ghi và không builder</t>
        </is>
      </c>
      <c r="C11" s="8" t="inlineStr">
        <is>
          <t>Checkout task 4.12; dependencies backend/.venv sẵn có; chạy từ backend. Ca integration cần Supabase local riêng đã reset, không dùng DB deploy/chung; dữ liệu do test tạo.</t>
        </is>
      </c>
      <c r="D11" s="8" t="inlineStr">
        <is>
          <t>1. Mở terminal tại backend.
2. Chạy .venv/Scripts/python.exe -m pytest -p no:cacheprovider -vv tests/unit/test_catalog_index.py::test_lookup_never_calls_writers_or_catalog_builder.
3. Đối chiếu assertion với dữ liệu/kết quả dưới đây; lưu output vào evidence.</t>
        </is>
      </c>
      <c r="E11" s="8" t="inlineStr">
        <is>
          <t>Synthetic marker, guard các writer/loader/builder</t>
        </is>
      </c>
      <c r="F11" s="8" t="inlineStr">
        <is>
          <t>Không log/lưu/ghi; không gọi đường index Python toàn catalog.</t>
        </is>
      </c>
      <c r="G11" s="8" t="inlineStr">
        <is>
          <t>1 invocation đạt toàn bộ assertion trong lượt test 30/10; không skip. evidence/test-refresh-unit.xml</t>
        </is>
      </c>
      <c r="H11" s="7" t="inlineStr">
        <is>
          <t>Pass</t>
        </is>
      </c>
      <c r="I11" s="8" t="inlineStr">
        <is>
          <t>AC21 · EP (1) · tests/unit/test_catalog_index.py::test_lookup_never_calls_writers_or_catalog_builder</t>
        </is>
      </c>
      <c r="Q11" s="6" t="inlineStr">
        <is>
          <t>Action</t>
        </is>
      </c>
      <c r="R11" s="5" t="inlineStr">
        <is>
          <t>R1</t>
        </is>
      </c>
      <c r="S11" s="5" t="inlineStr">
        <is>
          <t>R2</t>
        </is>
      </c>
      <c r="T11" s="5" t="inlineStr">
        <is>
          <t>R3</t>
        </is>
      </c>
      <c r="U11" s="5" t="inlineStr">
        <is>
          <t>R4</t>
        </is>
      </c>
    </row>
    <row r="12" ht="123.5" customHeight="1">
      <c r="A12" s="7" t="inlineStr">
        <is>
          <t>TC-CATINDEX-12</t>
        </is>
      </c>
      <c r="B12" s="7" t="inlineStr">
        <is>
          <t>Thấy commit thuốc ở giao dịch kế tiếp</t>
        </is>
      </c>
      <c r="C12" s="8" t="inlineStr">
        <is>
          <t>Checkout task 4.12; dependencies backend/.venv sẵn có; chạy từ backend. Ca integration cần Supabase local riêng đã reset, không dùng DB deploy/chung; dữ liệu do test tạo.</t>
        </is>
      </c>
      <c r="D12" s="8" t="inlineStr">
        <is>
          <t>1. Mở terminal tại backend.
2. Chạy .venv/Scripts/python.exe -m pytest -p no:cacheprovider -vv tests/integration/test_catalog_index.py::test_medication_commits_visible_and_old_result_immutable__AC19.
3. Đối chiếu assertion với dữ liệu/kết quả dưới đây; lưu output vào evidence.</t>
        </is>
      </c>
      <c r="E12" s="8" t="inlineStr">
        <is>
          <t>Thêm thuốc, sửa raw/strength/form, soft-delete/restore</t>
        </is>
      </c>
      <c r="F12" s="8" t="inlineStr">
        <is>
          <t>UoW mới thấy mọi thay đổi ngay; object cũ không đổi/frozen.</t>
        </is>
      </c>
      <c r="G12" s="8" t="inlineStr">
        <is>
          <t>1 invocation đạt toàn bộ assertion trong lượt test 30/10; không skip. evidence/test-refresh-integration.xml</t>
        </is>
      </c>
      <c r="H12" s="7" t="inlineStr">
        <is>
          <t>Pass</t>
        </is>
      </c>
      <c r="I12" s="8" t="inlineStr">
        <is>
          <t>AC19 · Decision Table (R1) · tests/integration/test_catalog_index.py::test_medication_commits_visible_and_old_result_immutable__AC19</t>
        </is>
      </c>
      <c r="Q12" s="10" t="inlineStr">
        <is>
          <t>Thấy thay đổi ở lượt mới</t>
        </is>
      </c>
      <c r="R12" s="11" t="inlineStr">
        <is>
          <t>X</t>
        </is>
      </c>
      <c r="S12" s="11" t="inlineStr"/>
      <c r="T12" s="11" t="inlineStr"/>
      <c r="U12" s="11" t="inlineStr"/>
    </row>
    <row r="13" ht="123.5" customHeight="1">
      <c r="A13" s="7" t="inlineStr">
        <is>
          <t>TC-CATINDEX-14</t>
        </is>
      </c>
      <c r="B13" s="7" t="inlineStr">
        <is>
          <t>Truyền lỗi DB thật sau từng nhánh</t>
        </is>
      </c>
      <c r="C13" s="8" t="inlineStr">
        <is>
          <t>Checkout task 4.12; dependencies backend/.venv sẵn có; chạy từ backend. Ca integration cần Supabase local riêng đã reset, không dùng DB deploy/chung; dữ liệu do test tạo.</t>
        </is>
      </c>
      <c r="D13" s="8" t="inlineStr">
        <is>
          <t>1. Mở terminal tại backend.
2. Chạy .venv/Scripts/python.exe -m pytest -p no:cacheprovider -vv tests/integration/test_catalog_index.py::test_each_read_branch_failure_raises_without_partial_or_stale__AC19.
3. Đối chiếu assertion với dữ liệu/kết quả dưới đây; lưu output vào evidence.</t>
        </is>
      </c>
      <c r="E13" s="8" t="inlineStr">
        <is>
          <t>Ngắt đúng PID connection riêng trước nhánh0/1/2 sau lượt thành công</t>
        </is>
      </c>
      <c r="F13" s="8" t="inlineStr">
        <is>
          <t>DBAPIError ở từng vị trí; không trả kết quả một phần hoặc snapshot cũ.</t>
        </is>
      </c>
      <c r="G13" s="8" t="inlineStr">
        <is>
          <t>3 invocation đạt toàn bộ assertion trong lượt test 30/10; không skip. evidence/test-refresh-integration.xml</t>
        </is>
      </c>
      <c r="H13" s="7" t="inlineStr">
        <is>
          <t>Pass</t>
        </is>
      </c>
      <c r="I13" s="8" t="inlineStr">
        <is>
          <t>AC19 · Decision Table (R3) · tests/integration/test_catalog_index.py::test_each_read_branch_failure_raises_without_partial_or_stale__AC19</t>
        </is>
      </c>
      <c r="Q13" s="10" t="inlineStr">
        <is>
          <t>Giữ link/nguồn chính xác</t>
        </is>
      </c>
      <c r="R13" s="11" t="inlineStr"/>
      <c r="S13" s="11" t="inlineStr">
        <is>
          <t>X</t>
        </is>
      </c>
      <c r="T13" s="11" t="inlineStr"/>
      <c r="U13" s="11" t="inlineStr"/>
    </row>
    <row r="14" ht="107" customHeight="1">
      <c r="A14" s="7" t="inlineStr">
        <is>
          <t>TC-CATINDEX-15</t>
        </is>
      </c>
      <c r="B14" s="7" t="inlineStr">
        <is>
          <t>Giữ ingest Unicode và ranh giới module</t>
        </is>
      </c>
      <c r="C14" s="8" t="inlineStr">
        <is>
          <t>Checkout task 4.12; dependencies backend/.venv sẵn có; chạy từ backend. Ca integration cần Supabase local riêng đã reset, không dùng DB deploy/chung; dữ liệu do test tạo.</t>
        </is>
      </c>
      <c r="D14" s="8" t="inlineStr">
        <is>
          <t>1. Mở terminal tại backend.
2. Chạy .venv/Scripts/python.exe -m pytest -p no:cacheprovider -vv tests/unit/test_catalog_sync.py tests/architecture.
3. Đối chiếu assertion với dữ liệu/kết quả dưới đây; lưu output vào evidence.</t>
        </is>
      </c>
      <c r="E14" s="8" t="inlineStr">
        <is>
          <t>DAV source NFC/còn dấu/hoa thường; toàn architecture suite</t>
        </is>
      </c>
      <c r="F14" s="8" t="inlineStr">
        <is>
          <t>Ingest regression và architecture pass, không import sai hoặc đổi source hiển thị.</t>
        </is>
      </c>
      <c r="G14" s="8" t="inlineStr">
        <is>
          <t>18 invocation đạt toàn bộ assertion trong lượt test 30/10; không skip. evidence/test-refresh-unit.xml</t>
        </is>
      </c>
      <c r="H14" s="7" t="inlineStr">
        <is>
          <t>Pass</t>
        </is>
      </c>
      <c r="I14" s="8" t="inlineStr">
        <is>
          <t>AC20 · EP (1) · tests/unit/test_catalog_sync.py; tests/architecture</t>
        </is>
      </c>
      <c r="Q14" s="10" t="inlineStr">
        <is>
          <t>Truyền lỗi không partial</t>
        </is>
      </c>
      <c r="R14" s="11" t="inlineStr"/>
      <c r="S14" s="11" t="inlineStr"/>
      <c r="T14" s="11" t="inlineStr">
        <is>
          <t>X</t>
        </is>
      </c>
      <c r="U14" s="11" t="inlineStr"/>
    </row>
    <row r="15" ht="107" customHeight="1">
      <c r="A15" s="7" t="inlineStr">
        <is>
          <t>TC-CATINDEX-16</t>
        </is>
      </c>
      <c r="B15" s="7" t="inlineStr">
        <is>
          <t>Giữ hai route search cũ</t>
        </is>
      </c>
      <c r="C15" s="8" t="inlineStr">
        <is>
          <t>Checkout task 4.12; dependencies backend/.venv sẵn có; chạy từ backend. Ca integration cần Supabase local riêng đã reset, không dùng DB deploy/chung; dữ liệu do test tạo.</t>
        </is>
      </c>
      <c r="D15" s="8" t="inlineStr">
        <is>
          <t>1. Mở terminal tại backend.
2. Chạy .venv/Scripts/python.exe -m pytest -p no:cacheprovider -vv tests/integration/test_catalog_search.py.
3. Đối chiếu assertion với dữ liệu/kết quả dưới đây; lưu output vào evidence.</t>
        </is>
      </c>
      <c r="E15" s="8" t="inlineStr">
        <is>
          <t>/catalog/medications và /medications/search; q/limit/Unicode/wildcard/whitespace</t>
        </is>
      </c>
      <c r="F15" s="8" t="inlineStr">
        <is>
          <t>Toàn 43 test search giữ response/thứ tự/active/shape; không đổi expected.</t>
        </is>
      </c>
      <c r="G15" s="8" t="inlineStr">
        <is>
          <t>43 invocation đạt toàn bộ assertion trong lượt test 30/10; không skip. evidence/test-refresh-integration.xml</t>
        </is>
      </c>
      <c r="H15" s="7" t="inlineStr">
        <is>
          <t>Pass</t>
        </is>
      </c>
      <c r="I15" s="8" t="inlineStr">
        <is>
          <t>AC20 · EP (1) · tests/integration/test_catalog_search.py</t>
        </is>
      </c>
      <c r="Q15" s="10" t="inlineStr">
        <is>
          <t>Giới hạn riêng query/source</t>
        </is>
      </c>
      <c r="R15" s="11" t="inlineStr"/>
      <c r="S15" s="11" t="inlineStr"/>
      <c r="T15" s="11" t="inlineStr"/>
      <c r="U15" s="11" t="inlineStr">
        <is>
          <t>X</t>
        </is>
      </c>
    </row>
    <row r="16" ht="156.5" customHeight="1">
      <c r="A16" s="7" t="inlineStr">
        <is>
          <t>TC-CATINDEX-19</t>
        </is>
      </c>
      <c r="B16" s="7" t="inlineStr">
        <is>
          <t>Giữ mọi nguồn và ID, raw/null trong DB</t>
        </is>
      </c>
      <c r="C16" s="8" t="inlineStr">
        <is>
          <t>Checkout task 4.12; dependencies backend/.venv sẵn có; chạy từ backend. Ca integration cần Supabase local riêng đã reset, không dùng DB deploy/chung; dữ liệu do test tạo.</t>
        </is>
      </c>
      <c r="D16" s="8" t="inlineStr">
        <is>
          <t>1. Mở terminal tại backend.
2. Chạy .venv/Scripts/python.exe -m pytest -p no:cacheprovider -vv tests/integration/test_catalog_index.py::test_sources_preserve_raw_nulls_ids_and_explicit_links__AC17_AC21 tests/unit/test_catalog_index.py::test_candidate_mapping_and_all_sources_preserve_raw_ids_nulls.
3. Đối chiếu assertion với dữ liệu/kết quả dưới đây; lưu output vào evidence.</t>
        </is>
      </c>
      <c r="E16" s="8" t="inlineStr">
        <is>
          <t>Hai ID cùng THUỐC ĐỎ khác strength/form; raw ingredient; hai alias; thuốc gỡ; alias không link</t>
        </is>
      </c>
      <c r="F16" s="8" t="inlineStr">
        <is>
          <t>Chỉ active qua link thật; giữ null/raw/ID, mọi alias_id/text/aid và nguồn name/ingredient/alias.</t>
        </is>
      </c>
      <c r="G16" s="8" t="inlineStr">
        <is>
          <t>2 invocation đạt toàn bộ assertion trong lượt test 30/10; không skip. evidence/test-refresh-integration.xml, evidence/test-refresh-unit.xml</t>
        </is>
      </c>
      <c r="H16" s="7" t="inlineStr">
        <is>
          <t>Pass</t>
        </is>
      </c>
      <c r="I16" s="8" t="inlineStr">
        <is>
          <t>AC17, AC21 · EP (2) · Decision Table (R2) · tests/integration/test_catalog_index.py::test_sources_preserve_raw_nulls_ids_and_explicit_links__AC17_AC21; tests/unit/test_catalog_index.py::test_candidate_mapping_and_all_sources_preserve_raw_ids_nulls</t>
        </is>
      </c>
    </row>
    <row r="17" ht="123.5" customHeight="1">
      <c r="A17" s="7" t="inlineStr">
        <is>
          <t>TC-CATINDEX-20</t>
        </is>
      </c>
      <c r="B17" s="7" t="inlineStr">
        <is>
          <t>Escape literal và bind SQL ở ba nhánh</t>
        </is>
      </c>
      <c r="C17" s="8" t="inlineStr">
        <is>
          <t>Checkout task 4.12; dependencies backend/.venv sẵn có; chạy từ backend. Ca integration cần Supabase local riêng đã reset, không dùng DB deploy/chung; dữ liệu do test tạo.</t>
        </is>
      </c>
      <c r="D17" s="8" t="inlineStr">
        <is>
          <t>1. Mở terminal tại backend.
2. Chạy .venv/Scripts/python.exe -m pytest -p no:cacheprovider -vv tests/integration/test_catalog_index.py::test_literal_wildcards_and_sql_text_are_bound__AC17_AC21.
3. Đối chiếu assertion với dữ liệu/kết quả dưới đây; lưu output vào evidence.</t>
        </is>
      </c>
      <c r="E17" s="8" t="inlineStr">
        <is>
          <t>percent%; under_score; back\slash; quote apostrophe OR TRUE--</t>
        </is>
      </c>
      <c r="F17" s="8" t="inlineStr">
        <is>
          <t>Đúng ID literal, không mở wildcard/injection; query_key đã normalize lowercase.</t>
        </is>
      </c>
      <c r="G17" s="8" t="inlineStr">
        <is>
          <t>12 invocation đạt toàn bộ assertion trong lượt test 30/10; không skip. evidence/test-refresh-integration.xml</t>
        </is>
      </c>
      <c r="H17" s="7" t="inlineStr">
        <is>
          <t>Pass</t>
        </is>
      </c>
      <c r="I17" s="8" t="inlineStr">
        <is>
          <t>AC17, AC21 · EP (3) · tests/integration/test_catalog_index.py::test_literal_wildcards_and_sql_text_are_bound__AC17_AC21</t>
        </is>
      </c>
    </row>
    <row r="18" ht="123.5" customHeight="1">
      <c r="A18" s="7" t="inlineStr">
        <is>
          <t>TC-CATINDEX-21</t>
        </is>
      </c>
      <c r="B18" s="7" t="inlineStr">
        <is>
          <t>Kiểm biên200 distinct ID từng nguồn</t>
        </is>
      </c>
      <c r="C18" s="8" t="inlineStr">
        <is>
          <t>Checkout task 4.12; dependencies backend/.venv sẵn có; chạy từ backend. Ca integration cần Supabase local riêng đã reset, không dùng DB deploy/chung; dữ liệu do test tạo.</t>
        </is>
      </c>
      <c r="D18" s="8" t="inlineStr">
        <is>
          <t>1. Mở terminal tại backend.
2. Chạy .venv/Scripts/python.exe -m pytest -p no:cacheprovider -vv tests/integration/test_catalog_index.py::test_distinct_id_budget_retains_all_alias_sources__AC18.
3. Đối chiếu assertion với dữ liệu/kết quả dưới đây; lưu output vào evidence.</t>
        </is>
      </c>
      <c r="E18" s="8" t="inlineStr">
        <is>
          <t>199/200/201 ID cho name/ingredient/alias, mỗi ID hai alias</t>
        </is>
      </c>
      <c r="F18" s="8" t="inlineStr">
        <is>
          <t>Trả min(N,200) distinct ID; truncated chỉ khi201; không mất nguồn alias của ID được chọn.</t>
        </is>
      </c>
      <c r="G18" s="8" t="inlineStr">
        <is>
          <t>9 invocation đạt toàn bộ assertion trong lượt test 30/10; không skip. evidence/test-refresh-integration.xml</t>
        </is>
      </c>
      <c r="H18" s="7" t="inlineStr">
        <is>
          <t>Pass</t>
        </is>
      </c>
      <c r="I18" s="8" t="inlineStr">
        <is>
          <t>AC18 · BVA (max-1/max/max+1:199/200/201) · EP (2) · tests/integration/test_catalog_index.py::test_distinct_id_budget_retains_all_alias_sources__AC18</t>
        </is>
      </c>
    </row>
    <row r="19" ht="156.5" customHeight="1">
      <c r="A19" s="7" t="inlineStr">
        <is>
          <t>TC-CATINDEX-22</t>
        </is>
      </c>
      <c r="B19" s="7" t="inlineStr">
        <is>
          <t>Giữ cụm nhỏ và dedup truy vấn trong lượt</t>
        </is>
      </c>
      <c r="C19" s="8" t="inlineStr">
        <is>
          <t>Checkout task 4.12; dependencies backend/.venv sẵn có; chạy từ backend. Ca integration cần Supabase local riêng đã reset, không dùng DB deploy/chung; dữ liệu do test tạo.</t>
        </is>
      </c>
      <c r="D19" s="8" t="inlineStr">
        <is>
          <t>1. Mở terminal tại backend.
2. Chạy .venv/Scripts/python.exe -m pytest -p no:cacheprovider -vv tests/integration/test_catalog_index.py::test_large_small_clusters_query_dedup_preserves_sources__AC18 tests/unit/test_catalog_index.py::test_independent_cluster_queries_and_deduplication.
3. Đối chiếu assertion với dữ liệu/kết quả dưới đây; lưu output vào evidence.</t>
        </is>
      </c>
      <c r="E19" s="8" t="inlineStr">
        <is>
          <t>60 thuốc cụm lớn,1 cụm nhỏ; tên trùng khác16/160mg</t>
        </is>
      </c>
      <c r="F19" s="8" t="inlineStr">
        <is>
          <t>Giữ mọi cụm và line_ids/count; sáu SELECT/WITH có bound pattern/probe201, không SELECT toàn catalog.</t>
        </is>
      </c>
      <c r="G19" s="8" t="inlineStr">
        <is>
          <t>2 invocation đạt toàn bộ assertion trong lượt test 30/10; không skip. evidence/test-refresh-integration.xml, evidence/test-refresh-unit.xml</t>
        </is>
      </c>
      <c r="H19" s="7" t="inlineStr">
        <is>
          <t>Pass</t>
        </is>
      </c>
      <c r="I19" s="8" t="inlineStr">
        <is>
          <t>AC18 · EP (2) · tests/integration/test_catalog_index.py::test_large_small_clusters_query_dedup_preserves_sources__AC18; tests/unit/test_catalog_index.py::test_independent_cluster_queries_and_deduplication</t>
        </is>
      </c>
    </row>
    <row r="20" ht="140" customHeight="1">
      <c r="A20" s="7" t="inlineStr">
        <is>
          <t>TC-CATINDEX-23</t>
        </is>
      </c>
      <c r="B20" s="7" t="inlineStr">
        <is>
          <t>Không query với input không đủ thông tin</t>
        </is>
      </c>
      <c r="C20" s="8" t="inlineStr">
        <is>
          <t>Checkout task 4.12; dependencies backend/.venv sẵn có; chạy từ backend. Ca integration cần Supabase local riêng đã reset, không dùng DB deploy/chung; dữ liệu do test tạo.</t>
        </is>
      </c>
      <c r="D20" s="8" t="inlineStr">
        <is>
          <t>1. Mở terminal tại backend.
2. Chạy .venv/Scripts/python.exe -m pytest -p no:cacheprovider -vv tests/integration/test_catalog_index.py::test_ineligible_inputs_issue_no_catalog_read__AC15_AC21 tests/unit/test_catalog_index.py::test_ineligible_no_read.
3. Đối chiếu assertion với dữ liệu/kết quả dưới đây; lưu output vào evidence.</t>
        </is>
      </c>
      <c r="E20" s="8" t="inlineStr">
        <is>
          <t>(blank),whitespace,SDK,5mg,Met.</t>
        </is>
      </c>
      <c r="F20" s="8" t="inlineStr">
        <is>
          <t>0 câu SQL đọc catalog, coverage rỗng; vẫn giữ normalized nguồn.</t>
        </is>
      </c>
      <c r="G20" s="8" t="inlineStr">
        <is>
          <t>8 invocation đạt toàn bộ assertion trong lượt test 30/10; không skip. evidence/test-refresh-integration.xml, evidence/test-refresh-unit.xml</t>
        </is>
      </c>
      <c r="H20" s="7" t="inlineStr">
        <is>
          <t>Pass</t>
        </is>
      </c>
      <c r="I20" s="8" t="inlineStr">
        <is>
          <t>AC15, AC21 · EP (4) · tests/integration/test_catalog_index.py::test_ineligible_inputs_issue_no_catalog_read__AC15_AC21; tests/unit/test_catalog_index.py::test_ineligible_no_read</t>
        </is>
      </c>
    </row>
    <row r="21" ht="123.5" customHeight="1">
      <c r="A21" s="7" t="inlineStr">
        <is>
          <t>TC-CATINDEX-24</t>
        </is>
      </c>
      <c r="B21" s="7" t="inlineStr">
        <is>
          <t>Thấy commit alias và liên kết không rebuild</t>
        </is>
      </c>
      <c r="C21" s="8" t="inlineStr">
        <is>
          <t>Checkout task 4.12; dependencies backend/.venv sẵn có; chạy từ backend. Ca integration cần Supabase local riêng đã reset, không dùng DB deploy/chung; dữ liệu do test tạo.</t>
        </is>
      </c>
      <c r="D21" s="8" t="inlineStr">
        <is>
          <t>1. Mở terminal tại backend.
2. Chạy .venv/Scripts/python.exe -m pytest -p no:cacheprovider -vv tests/integration/test_catalog_index.py::test_alias_and_link_commits_visible_next_transaction__AC19.
3. Đối chiếu assertion với dữ liệu/kết quả dưới đây; lưu output vào evidence.</t>
        </is>
      </c>
      <c r="E21" s="8" t="inlineStr">
        <is>
          <t>Thêm alias chưa link, thêm link,sửa alias,gỡ link,thêm lại,xóa alias</t>
        </is>
      </c>
      <c r="F21" s="8" t="inlineStr">
        <is>
          <t>Chưa link không match; thêm link match;sửa text thấy text mới; gỡ link/xóa alias không match.</t>
        </is>
      </c>
      <c r="G21" s="8" t="inlineStr">
        <is>
          <t>1 invocation đạt toàn bộ assertion trong lượt test 30/10; không skip. evidence/test-refresh-integration.xml</t>
        </is>
      </c>
      <c r="H21" s="7" t="inlineStr">
        <is>
          <t>Pass</t>
        </is>
      </c>
      <c r="I21" s="8" t="inlineStr">
        <is>
          <t>AC19 · Decision Table (R1) · tests/integration/test_catalog_index.py::test_alias_and_link_commits_visible_next_transaction__AC19</t>
        </is>
      </c>
    </row>
    <row r="22" ht="123.5" customHeight="1">
      <c r="A22" s="7" t="inlineStr">
        <is>
          <t>TC-CATINDEX-25</t>
        </is>
      </c>
      <c r="B22" s="7" t="inlineStr">
        <is>
          <t>Kiểm ba expression GIN hợp lệ và khả dụng</t>
        </is>
      </c>
      <c r="C22" s="8" t="inlineStr">
        <is>
          <t>Checkout task 4.12; dependencies backend/.venv sẵn có; chạy từ backend. Ca integration cần Supabase local riêng đã reset, không dùng DB deploy/chung; dữ liệu do test tạo.</t>
        </is>
      </c>
      <c r="D22" s="8" t="inlineStr">
        <is>
          <t>1. Mở terminal tại backend.
2. Chạy .venv/Scripts/python.exe -m pytest -p no:cacheprovider -vv tests/integration/test_catalog_index.py::test_expression_indexes_ready_and_used_in_eligibility_probe__AC16.
3. Đối chiếu assertion với dữ liệu/kết quả dưới đây; lưu output vào evidence.</t>
        </is>
      </c>
      <c r="E22" s="8" t="inlineStr">
        <is>
          <t>Index name/ingredient/alias; EXPLAIN JSON sau ANALYZE/flush pending list</t>
        </is>
      </c>
      <c r="F22" s="8" t="inlineStr">
        <is>
          <t>Ba index valid/ready và GIN đúng expression; rollback-only probe dùng index tương ứng, không benchmark.</t>
        </is>
      </c>
      <c r="G22" s="8" t="inlineStr">
        <is>
          <t>1 invocation đạt toàn bộ assertion trong lượt test 30/10; không skip. evidence/test-refresh-integration.xml</t>
        </is>
      </c>
      <c r="H22" s="7" t="inlineStr">
        <is>
          <t>Pass</t>
        </is>
      </c>
      <c r="I22" s="8" t="inlineStr">
        <is>
          <t>AC16 · EP (2) · tests/integration/test_catalog_index.py::test_expression_indexes_ready_and_used_in_eligibility_probe__AC16</t>
        </is>
      </c>
    </row>
    <row r="23" ht="123.5" customHeight="1">
      <c r="A23" s="7" t="inlineStr">
        <is>
          <t>TC-CATINDEX-26</t>
        </is>
      </c>
      <c r="B23" s="7" t="inlineStr">
        <is>
          <t>Kiểm lookup read-only và quyền client đóng</t>
        </is>
      </c>
      <c r="C23" s="8" t="inlineStr">
        <is>
          <t>Checkout task 4.12; dependencies backend/.venv sẵn có; chạy từ backend. Ca integration cần Supabase local riêng đã reset, không dùng DB deploy/chung; dữ liệu do test tạo.</t>
        </is>
      </c>
      <c r="D23" s="8" t="inlineStr">
        <is>
          <t>1. Mở terminal tại backend.
2. Chạy .venv/Scripts/python.exe -m pytest -p no:cacheprovider -vv tests/integration/test_catalog_index.py::test_read_only_lookup_and_client_grants_remain_closed__AC21.
3. Đối chiếu assertion với dữ liệu/kết quả dưới đây; lưu output vào evidence.</t>
        </is>
      </c>
      <c r="E23" s="8" t="inlineStr">
        <is>
          <t>api_role READ ONLY; anon/authenticated trên3 bảng catalog</t>
        </is>
      </c>
      <c r="F23" s="8" t="inlineStr">
        <is>
          <t>Lookup thành công không ghi; hai client role không SELECT được bảng.</t>
        </is>
      </c>
      <c r="G23" s="8" t="inlineStr">
        <is>
          <t>1 invocation đạt toàn bộ assertion trong lượt test 30/10; không skip. evidence/test-refresh-integration.xml</t>
        </is>
      </c>
      <c r="H23" s="7" t="inlineStr">
        <is>
          <t>Pass</t>
        </is>
      </c>
      <c r="I23" s="8" t="inlineStr">
        <is>
          <t>AC21 · EP (1) · tests/integration/test_catalog_index.py::test_read_only_lookup_and_client_grants_remain_closed__AC21</t>
        </is>
      </c>
    </row>
    <row r="24" ht="123.5" customHeight="1">
      <c r="A24" s="7" t="inlineStr">
        <is>
          <t>TC-CATINDEX-27</t>
        </is>
      </c>
      <c r="B24" s="7" t="inlineStr">
        <is>
          <t>Báo truncated riêng không bỏ cụm nhỏ</t>
        </is>
      </c>
      <c r="C24" s="8" t="inlineStr">
        <is>
          <t>Checkout task 4.12; dependencies backend/.venv sẵn có; chạy từ backend. Ca integration cần Supabase local riêng đã reset, không dùng DB deploy/chung; dữ liệu do test tạo.</t>
        </is>
      </c>
      <c r="D24" s="8" t="inlineStr">
        <is>
          <t>1. Mở terminal tại backend.
2. Chạy .venv/Scripts/python.exe -m pytest -p no:cacheprovider -vv tests/unit/test_catalog_index.py::test_truncation_is_per_query_and_source_and_keeps_small_cluster.
3. Đối chiếu assertion với dữ liệu/kết quả dưới đây; lưu output vào evidence.</t>
        </is>
      </c>
      <c r="E24" s="8" t="inlineStr">
        <is>
          <t>Fake reader trả truncated theo từng query/source</t>
        </is>
      </c>
      <c r="F24" s="8" t="inlineStr">
        <is>
          <t>Coverage giữ truncated riêng; cụm nhỏ không bị cap toàn cục.</t>
        </is>
      </c>
      <c r="G24" s="8" t="inlineStr">
        <is>
          <t>1 invocation đạt toàn bộ assertion trong lượt test 30/10; không skip. evidence/test-refresh-unit.xml</t>
        </is>
      </c>
      <c r="H24" s="7" t="inlineStr">
        <is>
          <t>Pass</t>
        </is>
      </c>
      <c r="I24" s="8" t="inlineStr">
        <is>
          <t>AC18 · Decision Table (R4) · tests/unit/test_catalog_index.py::test_truncation_is_per_query_and_source_and_keeps_small_cluster</t>
        </is>
      </c>
    </row>
    <row r="25" ht="123.5" customHeight="1">
      <c r="A25" s="7" t="inlineStr">
        <is>
          <t>TC-CATINDEX-28</t>
        </is>
      </c>
      <c r="B25" s="7" t="inlineStr">
        <is>
          <t>Áp dụng migration mới trên baseline có dữ liệu</t>
        </is>
      </c>
      <c r="C25" s="8" t="inlineStr">
        <is>
          <t>Checkout task 4.12; dependencies backend/.venv sẵn có; chạy từ backend. Ca integration cần Supabase local riêng đã reset, không dùng DB deploy/chung; dữ liệu do test tạo.</t>
        </is>
      </c>
      <c r="D25" s="8" t="inlineStr">
        <is>
          <t>1. Tại gốc superproject, chạy backend/.venv/Scripts/python.exe work/4.12-ocr-text-normalization-catalog-index/scratch/test_refresh_upgrade.py.
2. Đối chiếu log test-refresh-migration-upgrade-final.log và JSON: passed=true, payload4, relations75, policies74, functions9.</t>
        </is>
      </c>
      <c r="E25" s="8" t="inlineStr">
        <is>
          <t>DB clone toàn schema local trừ alias index mới; thuốc/hoạt chất/alias/link tổng hợp</t>
        </is>
      </c>
      <c r="F25" s="8" t="inlineStr">
        <is>
          <t>Dữ liệu/ACL/RLS/policies/EXECUTE không đổi; GIN valid/ready; xóa DB thử đúng tên.</t>
        </is>
      </c>
      <c r="G25" s="8" t="inlineStr">
        <is>
          <t>Thực thi thành công trong lượt test 30/10; payload/ACL/RLS/policies/EXECUTE giữ nguyên. evidence/test-refresh-migration-upgrade-final.log</t>
        </is>
      </c>
      <c r="H25" s="7" t="inlineStr">
        <is>
          <t>Pass</t>
        </is>
      </c>
      <c r="I25" s="8" t="inlineStr">
        <is>
          <t>AC16, AC21 · EP (2) ·  · script upgrade local; evidence/test-refresh-migration-upgrade-final.log</t>
        </is>
      </c>
    </row>
    <row r="26" ht="107" customHeight="1">
      <c r="A26" s="7" t="inlineStr">
        <is>
          <t>TC-CATINDEX-29</t>
        </is>
      </c>
      <c r="B26" s="7" t="inlineStr">
        <is>
          <t>Áp dụng toàn migration từ DB sạch</t>
        </is>
      </c>
      <c r="C26" s="8" t="inlineStr">
        <is>
          <t>Checkout task 4.12; dependencies backend/.venv sẵn có; chạy từ backend. Ca integration cần Supabase local riêng đã reset, không dùng DB deploy/chung; dữ liệu do test tạo.</t>
        </is>
      </c>
      <c r="D26" s="8" t="inlineStr">
        <is>
          <t>1. Tại backend, kiểm project_id DrugTime-backend và chỉ DB local riêng.
2. Chạy supabase start rồi supabase db reset --local.
3. Kiểm log áp dụng đủ migration, exit0 và fixture integration AC16.</t>
        </is>
      </c>
      <c r="E26" s="8" t="inlineStr">
        <is>
          <t>Supabase local DrugTime-backend; migration tới20261030025813</t>
        </is>
      </c>
      <c r="F26" s="8" t="inlineStr">
        <is>
          <t>supabase db reset --local exit0, index alias được tạo; không sửa migration cũ.</t>
        </is>
      </c>
      <c r="G26" s="8" t="inlineStr">
        <is>
          <t>Thực thi thành công trong lượt test 30/10; Áp dụng toàn migration sạch tới index alias mới. evidence/test-refresh-db-reset.log</t>
        </is>
      </c>
      <c r="H26" s="7" t="inlineStr">
        <is>
          <t>Pass</t>
        </is>
      </c>
      <c r="I26" s="8" t="inlineStr">
        <is>
          <t>AC16 · EP (2) ·  · CLI local; evidence/test-refresh-db-reset.log</t>
        </is>
      </c>
    </row>
    <row r="27"/>
    <row r="28"/>
    <row r="29">
      <c r="G29" s="12" t="inlineStr">
        <is>
          <t>Pass</t>
        </is>
      </c>
      <c r="H29" s="13">
        <f>COUNTIF(H9:H26,"Pass")</f>
        <v/>
      </c>
    </row>
    <row r="30">
      <c r="G30" s="12" t="inlineStr">
        <is>
          <t>Fail</t>
        </is>
      </c>
      <c r="H30" s="13">
        <f>COUNTIF(H9:H26,"Fail")</f>
        <v/>
      </c>
    </row>
    <row r="31">
      <c r="G31" s="12" t="inlineStr">
        <is>
          <t>Pending</t>
        </is>
      </c>
      <c r="H31" s="13">
        <f>COUNTIF(H9:H26,"Pending")</f>
        <v/>
      </c>
    </row>
    <row r="32">
      <c r="G32" s="12" t="inlineStr">
        <is>
          <t>Total</t>
        </is>
      </c>
      <c r="H32" s="13">
        <f>SUM(H29:H31)</f>
        <v/>
      </c>
    </row>
  </sheetData>
  <autoFilter ref="A8:I26"/>
  <conditionalFormatting sqref="H9:H26">
    <cfRule type="cellIs" priority="1" operator="equal" dxfId="0">
      <formula>"Fail"</formula>
    </cfRule>
  </conditionalFormatting>
  <dataValidations count="1">
    <dataValidation sqref="H9:H26" showDropDown="0" showInputMessage="0" showErrorMessage="0" allowBlank="0" type="list">
      <formula1>"Pass,Fail,Pending"</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thân'!$H$47+'Landing page'!$H$43+'Yêu cầu liên kết người thân'!$H$72+'Theo dõi người thân (app)'!$H$46+'Link mời người thân'!$H$24+'Khung điều hướng app'!$H$16+'Duyệt yêu cầu liên kết'!$H$38+'Người giám sát'!$H$39+'Bỏ lỡ liều có xác minh'!$H$60+'Checkpoint đồng bộ liều'!$H$31+'Lịch sử chưa xác minh'!$H$21</f>
        <v/>
      </c>
      <c r="D3" s="11">
        <f>'Chọn thuốc danh mục'!$H$63+'Hồi quy xác nhận liều'!$H$12+'Cảnh báo người thân'!$H$84+'FCM token Android'!$H$24+'Redeem flow E2E'!$H$34+'Lịch sử tuân thủ người thân'!$H$64+'Chuẩn hóa OCR'!$H$43+'Index danh mục'!$H$29</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thân'!$H$48+'Landing page'!$H$44+'Yêu cầu liên kết người thân'!$H$73+'Theo dõi người thân (app)'!$H$47+'Link mời người thân'!$H$25+'Khung điều hướng app'!$H$17+'Duyệt yêu cầu liên kết'!$H$39+'Người giám sát'!$H$40+'Bỏ lỡ liều có xác minh'!$H$61+'Checkpoint đồng bộ liều'!$H$32+'Lịch sử chưa xác minh'!$H$22</f>
        <v/>
      </c>
      <c r="D4" s="11">
        <f>'Chọn thuốc danh mục'!$H$64+'Hồi quy xác nhận liều'!$H$13+'Cảnh báo người thân'!$H$85+'FCM token Android'!$H$25+'Redeem flow E2E'!$H$35+'Lịch sử tuân thủ người thân'!$H$65+'Chuẩn hóa OCR'!$H$44+'Index danh mục'!$H$30</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thân'!$H$49+'Landing page'!$H$45+'Yêu cầu liên kết người thân'!$H$74+'Theo dõi người thân (app)'!$H$48+'Link mời người thân'!$H$26+'Khung điều hướng app'!$H$18+'Duyệt yêu cầu liên kết'!$H$40+'Người giám sát'!$H$41+'Bỏ lỡ liều có xác minh'!$H$62+'Checkpoint đồng bộ liều'!$H$33+'Lịch sử chưa xác minh'!$H$23</f>
        <v/>
      </c>
      <c r="D6" s="11">
        <f>'Chọn thuốc danh mục'!$H$65+'Hồi quy xác nhận liều'!$H$14+'Cảnh báo người thân'!$H$86+'FCM token Android'!$H$26+'Redeem flow E2E'!$H$36+'Lịch sử tuân thủ người thân'!$H$66+'Chuẩn hóa OCR'!$H$45+'Index danh mục'!$H$31</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239" customHeight="1">
      <c r="A19" s="11" t="inlineStr">
        <is>
          <t>Tìm và chọn thuốc khi nhập thuốc</t>
        </is>
      </c>
      <c r="B19" s="10" t="inlineStr">
        <is>
          <t>UI chọn/xác nhận mock OCR 4.16; hồi quy tìm danh mục API/DB thật của 3.05; chưa tích hợp OCR 4.13/search 4.15.</t>
        </is>
      </c>
      <c r="C19" s="11" t="inlineStr">
        <is>
          <t>Chọn thuốc danh mục</t>
        </is>
      </c>
      <c r="D19" s="18">
        <f>IFERROR(('Chọn thuốc danh mục'!$H$66-'Chọn thuốc danh mục'!$H$65)/'Chọn thuốc danh mục'!$H$66,0)</f>
        <v/>
      </c>
      <c r="E19" s="18">
        <f>IFERROR('Chọn thuốc danh mục'!$H$63/'Chọn thuốc danh mục'!$H$66,0)</f>
        <v/>
      </c>
      <c r="F19" s="18">
        <f>IFERROR('Chọn thuốc danh mục'!$H$64/'Chọn thuốc danh mục'!$H$66,0)</f>
        <v/>
      </c>
      <c r="G19" s="11" t="inlineStr">
        <is>
          <t>High</t>
        </is>
      </c>
      <c r="H19" s="10" t="inlineStr">
        <is>
          <t>2026-10-28: 50 Pass, 2 Fail, 0 Pending. TC25/26/29: 43 pytest pass trên PostgreSQL local; TC27: 5 query Android + API/DB thật pass, không tạo bản ghi; TC52: người dùng xác nhận thao tác và TalkBack hoạt động bình thường. TC28 và TC51 cùng một lỗi layout màn nhỏ/chữ lớn. Các case khác giữ kết quả phiên 27/10; không coi là đã chạy lại hôm nay. 2026-10-28: người dùng chấp nhận lỗi layout Medium và hoãn sửa trong task 4.16; giữ Fail theo bằng chứng. Quyết định: evidence/test-layout-risk-acceptance.log.</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22" ht="156.5" customHeight="1">
      <c r="A22" s="11" t="inlineStr">
        <is>
          <t>Gửi yêu cầu liên kết người thân</t>
        </is>
      </c>
      <c r="B22"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22" s="11" t="inlineStr">
        <is>
          <t>Yêu cầu liên kết người thân</t>
        </is>
      </c>
      <c r="D22" s="18">
        <f>IFERROR(('Yêu cầu liên kết người thân'!$H$75-'Yêu cầu liên kết người thân'!$H$74)/'Yêu cầu liên kết người thân'!$H$75,0)</f>
        <v/>
      </c>
      <c r="E22" s="18">
        <f>IFERROR('Yêu cầu liên kết người thân'!$H$72/'Yêu cầu liên kết người thân'!$H$75,0)</f>
        <v/>
      </c>
      <c r="F22" s="18">
        <f>IFERROR('Yêu cầu liên kết người thân'!$H$73/'Yêu cầu liên kết người thân'!$H$75,0)</f>
        <v/>
      </c>
      <c r="G22" s="11" t="inlineStr">
        <is>
          <t>High</t>
        </is>
      </c>
      <c r="H22"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22" s="11" t="inlineStr">
        <is>
          <t>zannguyen</t>
        </is>
      </c>
    </row>
    <row r="23" ht="107" customHeight="1">
      <c r="A23" s="11" t="inlineStr">
        <is>
          <t>Theo dõi người thân bằng QR, mã hoặc link (mobile)</t>
        </is>
      </c>
      <c r="B23" s="10" t="inlineStr">
        <is>
          <t>Người thân quét QR, nhập mã hoặc mở link mời để gửi yêu cầu liên kết tới patient (POST /family/link-requests).</t>
        </is>
      </c>
      <c r="C23" s="11" t="inlineStr">
        <is>
          <t>Theo dõi người thân (app)</t>
        </is>
      </c>
      <c r="D23" s="18">
        <f>IFERROR(('Theo dõi người thân (app)'!$H$49-'Theo dõi người thân (app)'!$H$48)/'Theo dõi người thân (app)'!$H$49,0)</f>
        <v/>
      </c>
      <c r="E23" s="18">
        <f>IFERROR('Theo dõi người thân (app)'!$H$46/'Theo dõi người thân (app)'!$H$49,0)</f>
        <v/>
      </c>
      <c r="F23" s="18">
        <f>IFERROR('Theo dõi người thân (app)'!$H$47/'Theo dõi người thân (app)'!$H$49,0)</f>
        <v/>
      </c>
      <c r="G23" s="11" t="inlineStr">
        <is>
          <t>High</t>
        </is>
      </c>
      <c r="H23" s="10" t="inlineStr">
        <is>
          <t>Toàn bộ test tự động (widget/unit) pass trong phiên 2026-10-20. Các ca cần camera, thiết bị Android thật và backend chạy thật còn Pending.</t>
        </is>
      </c>
      <c r="I23" s="11" t="inlineStr">
        <is>
          <t>zannguyen</t>
        </is>
      </c>
    </row>
    <row r="24" ht="90.5" customHeight="1">
      <c r="A24" s="11" t="inlineStr">
        <is>
          <t>Gửi và mở link mời người thân</t>
        </is>
      </c>
      <c r="B24" s="10" t="inlineStr">
        <is>
          <t>Patient chia sẻ link mời cố định https://&lt;host&gt;/link#code=&lt;mã&gt;; trang /link trên landing và App Links mở app.</t>
        </is>
      </c>
      <c r="C24" s="11" t="inlineStr">
        <is>
          <t>Link mời người thân</t>
        </is>
      </c>
      <c r="D24" s="18">
        <f>IFERROR(('Link mời người thân'!$H$27-'Link mời người thân'!$H$26)/'Link mời người thân'!$H$27,0)</f>
        <v/>
      </c>
      <c r="E24" s="18">
        <f>IFERROR('Link mời người thân'!$H$24/'Link mời người thân'!$H$27,0)</f>
        <v/>
      </c>
      <c r="F24" s="18">
        <f>IFERROR('Link mời người thân'!$H$25/'Link mời người thân'!$H$27,0)</f>
        <v/>
      </c>
      <c r="G24" s="11" t="inlineStr">
        <is>
          <t>High</t>
        </is>
      </c>
      <c r="H24" s="10" t="inlineStr">
        <is>
          <t>Phần app và hàm thuần của landing đã test tự động; kiểm trang trên trình duyệt, App Links và Zalo cần landing lên production và thiết bị thật (Pending).</t>
        </is>
      </c>
      <c r="I24" s="11" t="inlineStr">
        <is>
          <t>zannguyen</t>
        </is>
      </c>
    </row>
    <row r="25" ht="90.5" customHeight="1">
      <c r="A25" s="11" t="inlineStr">
        <is>
          <t>Khung điều hướng: tab Hồ sơ và Người thân</t>
        </is>
      </c>
      <c r="B25" s="10" t="inlineStr">
        <is>
          <t>Tab Hồ sơ dùng màn Hồ sơ thật (sửa lỗi sau merge 3.11); bỏ trang UI Catalog; tab Người thân dùng FamilyTabScreen.</t>
        </is>
      </c>
      <c r="C25" s="11" t="inlineStr">
        <is>
          <t>Khung điều hướng app</t>
        </is>
      </c>
      <c r="D25" s="18">
        <f>IFERROR(('Khung điều hướng app'!$H$19-'Khung điều hướng app'!$H$18)/'Khung điều hướng app'!$H$19,0)</f>
        <v/>
      </c>
      <c r="E25" s="18">
        <f>IFERROR('Khung điều hướng app'!$H$16/'Khung điều hướng app'!$H$19,0)</f>
        <v/>
      </c>
      <c r="F25" s="18">
        <f>IFERROR('Khung điều hướng app'!$H$17/'Khung điều hướng app'!$H$19,0)</f>
        <v/>
      </c>
      <c r="G25" s="11" t="inlineStr">
        <is>
          <t>Medium</t>
        </is>
      </c>
      <c r="H25" s="10" t="inlineStr">
        <is>
          <t>Toàn bộ pass; test Đăng xuất từng fail trên main nay pass.</t>
        </is>
      </c>
      <c r="I25" s="11" t="inlineStr">
        <is>
          <t>zannguyen</t>
        </is>
      </c>
    </row>
    <row r="26" ht="107" customHeight="1">
      <c r="A26" s="11" t="inlineStr">
        <is>
          <t>Duyệt yêu cầu liên kết người thân</t>
        </is>
      </c>
      <c r="B26" s="10" t="inlineStr">
        <is>
          <t>Patient xem yêu cầu theo dõi đang chờ, chấp thuận kèm xác nhận đồng ý chia sẻ (PB16/3.17) hoặc từ chối; BS-04 chặn gửi lại sau 5 lần bị từ chối. Backend /family/links*, mobile tab Người thân.</t>
        </is>
      </c>
      <c r="C26" s="11" t="inlineStr">
        <is>
          <t>Duyệt yêu cầu liên kết</t>
        </is>
      </c>
      <c r="D26" s="18">
        <f>IFERROR(('Duyệt yêu cầu liên kết'!$H$41-'Duyệt yêu cầu liên kết'!$H$40)/'Duyệt yêu cầu liên kết'!$H$41,0)</f>
        <v/>
      </c>
      <c r="E26" s="18">
        <f>IFERROR('Duyệt yêu cầu liên kết'!$H$38/'Duyệt yêu cầu liên kết'!$H$41,0)</f>
        <v/>
      </c>
      <c r="F26" s="18">
        <f>IFERROR('Duyệt yêu cầu liên kết'!$H$39/'Duyệt yêu cầu liên kết'!$H$41,0)</f>
        <v/>
      </c>
      <c r="G26" s="11" t="inlineStr">
        <is>
          <t>High</t>
        </is>
      </c>
      <c r="H26" s="10" t="inlineStr">
        <is>
          <t>Toàn bộ test tự động (tích hợp Postgres thật, unit, widget) pass trong phiên 2026-10-21. Còn Pending: 2 điểm biên độ dài document_version chưa có test riêng và 2 kịch bản chạy tay trên hai thiết bị (AC23).</t>
        </is>
      </c>
      <c r="I26" s="11" t="inlineStr">
        <is>
          <t>zannguyen</t>
        </is>
      </c>
    </row>
    <row r="27" ht="123.5" customHeight="1">
      <c r="A27" s="11" t="inlineStr">
        <is>
          <t>Quản lý người giám sát</t>
        </is>
      </c>
      <c r="B27" s="10" t="inlineStr">
        <is>
          <t>Patient xem người giám sát đã chấp thuận, bật/tắt chia sẻ từng người và hủy liên kết; quyết định có hiệu lực ngay ở request kế tiếp. Backend /family/caregivers, /family/links/{id}/sharing|revoke, migration audit; mobile Hồ sơ &gt; Người giám sát.</t>
        </is>
      </c>
      <c r="C27" s="11" t="inlineStr">
        <is>
          <t>Người giám sát</t>
        </is>
      </c>
      <c r="D27" s="18">
        <f>IFERROR(('Người giám sát'!$H$42-'Người giám sát'!$H$41)/'Người giám sát'!$H$42,0)</f>
        <v/>
      </c>
      <c r="E27" s="18">
        <f>IFERROR('Người giám sát'!$H$39/'Người giám sát'!$H$42,0)</f>
        <v/>
      </c>
      <c r="F27" s="18">
        <f>IFERROR('Người giám sát'!$H$40/'Người giám sát'!$H$42,0)</f>
        <v/>
      </c>
      <c r="G27" s="11" t="inlineStr">
        <is>
          <t>High</t>
        </is>
      </c>
      <c r="H27" s="10" t="inlineStr">
        <is>
          <t>Toàn bộ test tự động (tích hợp Postgres thật gồm phân quyền chéo, hiệu lực ngay, chạy đua; unit; widget) pass trong phiên 2026-10-21. Còn Pending: kịch bản chạy tay trên hai thiết bị (AC23).</t>
        </is>
      </c>
      <c r="I27" s="11" t="inlineStr">
        <is>
          <t>zannguyen</t>
        </is>
      </c>
    </row>
    <row r="28" ht="90.5" customHeight="1">
      <c r="A28" s="11" t="inlineStr">
        <is>
          <t>Cảnh báo người thân</t>
        </is>
      </c>
      <c r="B28" s="10" t="inlineStr">
        <is>
          <t>Hộp thư, PEP, snapshot, badge và mở cảnh báo người thân.</t>
        </is>
      </c>
      <c r="C28" s="11" t="inlineStr">
        <is>
          <t>Cảnh báo người thân</t>
        </is>
      </c>
      <c r="D28" s="18">
        <f>IFERROR(('Cảnh báo người thân'!$H$87-'Cảnh báo người thân'!$H$86)/'Cảnh báo người thân'!$H$87,0)</f>
        <v/>
      </c>
      <c r="E28" s="18">
        <f>IFERROR('Cảnh báo người thân'!$H$84/'Cảnh báo người thân'!$H$87,0)</f>
        <v/>
      </c>
      <c r="F28" s="18">
        <f>IFERROR('Cảnh báo người thân'!$H$85/'Cảnh báo người thân'!$H$87,0)</f>
        <v/>
      </c>
      <c r="G28" s="11" t="inlineStr">
        <is>
          <t>High</t>
        </is>
      </c>
      <c r="H28" s="10" t="inlineStr">
        <is>
          <t>Có lỗi validation 503 thay 422; FCM/OS/iOS thật còn Pending.</t>
        </is>
      </c>
      <c r="I28" s="11" t="inlineStr">
        <is>
          <t>phucnguyenngoc</t>
        </is>
      </c>
    </row>
    <row r="29" ht="90.5" customHeight="1">
      <c r="A29" s="11" t="inlineStr">
        <is>
          <t>FCM token Android</t>
        </is>
      </c>
      <c r="B29" s="10" t="inlineStr">
        <is>
          <t>Đăng ký, refresh, ownership, cleanup và tranh chấp token Android.</t>
        </is>
      </c>
      <c r="C29" s="11" t="inlineStr">
        <is>
          <t>FCM token Android</t>
        </is>
      </c>
      <c r="D29" s="18">
        <f>IFERROR(('FCM token Android'!$H$27-'FCM token Android'!$H$26)/'FCM token Android'!$H$27,0)</f>
        <v/>
      </c>
      <c r="E29" s="18">
        <f>IFERROR('FCM token Android'!$H$24/'FCM token Android'!$H$27,0)</f>
        <v/>
      </c>
      <c r="F29" s="18">
        <f>IFERROR('FCM token Android'!$H$25/'FCM token Android'!$H$27,0)</f>
        <v/>
      </c>
      <c r="G29" s="11" t="inlineStr">
        <is>
          <t>High</t>
        </is>
      </c>
      <c r="H29" s="10" t="inlineStr">
        <is>
          <t>API local pass; chưa nghiệm thu AC8 từ DELETE đơn lẻ.</t>
        </is>
      </c>
      <c r="I29" s="11" t="inlineStr">
        <is>
          <t>phucnguyenngoc</t>
        </is>
      </c>
    </row>
    <row r="30" ht="90.5" customHeight="1">
      <c r="A30" s="11" t="inlineStr">
        <is>
          <t>Kiểm thử xuyên hệ thống gửi yêu cầu liên kết</t>
        </is>
      </c>
      <c r="B30" s="10" t="inlineStr">
        <is>
          <t>Nhập mã hoặc quét QR gửi yêu cầu pending, giới hạn và phân quyền sau redeem.</t>
        </is>
      </c>
      <c r="C30" s="11" t="inlineStr">
        <is>
          <t>Redeem flow E2E</t>
        </is>
      </c>
      <c r="D30" s="18">
        <f>IFERROR(('Redeem flow E2E'!$H$37-'Redeem flow E2E'!$H$36)/'Redeem flow E2E'!$H$37,0)</f>
        <v/>
      </c>
      <c r="E30" s="18">
        <f>IFERROR('Redeem flow E2E'!$H$34/'Redeem flow E2E'!$H$37,0)</f>
        <v/>
      </c>
      <c r="F30" s="18">
        <f>IFERROR('Redeem flow E2E'!$H$35/'Redeem flow E2E'!$H$37,0)</f>
        <v/>
      </c>
      <c r="G30" s="11" t="inlineStr">
        <is>
          <t>High</t>
        </is>
      </c>
      <c r="H30" s="10" t="inlineStr">
        <is>
          <t>Android LM_G710: nhập mã, double tap, retry và QR sai đã đạt UI/API/DB. QR hợp lệ Fail F1; camera thật Pending. Phase 401 đạt khi chạy lại sau một lần timeout.</t>
        </is>
      </c>
      <c r="I30" s="11" t="inlineStr">
        <is>
          <t>phucnguyenngoc</t>
        </is>
      </c>
    </row>
    <row r="31" ht="140" customHeight="1">
      <c r="A31" s="11" t="inlineStr">
        <is>
          <t>Lịch sử tuân thủ cho người thân</t>
        </is>
      </c>
      <c r="B31" s="10" t="inlineStr">
        <is>
          <t>PB21: lịch sử, quyền truy cập, thu hồi, audit, tỷ lệ và dữ liệu phiên.</t>
        </is>
      </c>
      <c r="C31" s="11" t="inlineStr">
        <is>
          <t>Lịch sử tuân thủ người thân</t>
        </is>
      </c>
      <c r="D31" s="18">
        <f>IFERROR(('Lịch sử tuân thủ người thân'!$H$67-'Lịch sử tuân thủ người thân'!$H$66)/'Lịch sử tuân thủ người thân'!$H$67,0)</f>
        <v/>
      </c>
      <c r="E31" s="18">
        <f>IFERROR('Lịch sử tuân thủ người thân'!$H$64/'Lịch sử tuân thủ người thân'!$H$67,0)</f>
        <v/>
      </c>
      <c r="F31" s="18">
        <f>IFERROR('Lịch sử tuân thủ người thân'!$H$65/'Lịch sử tuân thủ người thân'!$H$67,0)</f>
        <v/>
      </c>
      <c r="G31" s="11" t="inlineStr">
        <is>
          <t>High</t>
        </is>
      </c>
      <c r="H31" s="10" t="inlineStr">
        <is>
          <t>P7: history integration 66 Pass/2 Fail; BUG-3.25-01 còn mở. Runner unit 19 Pass; host HTTP/DB/audit đạt. Android linked/revoke/cross_patient có Pass, revoke hai lần Pass sau handshake Fail đầu chưa rõ nguyên nhân. OS/cache bền/selector UI và AC8 còn Pending; BUG-3.25-02 giữ widget retest trước.</t>
        </is>
      </c>
      <c r="I31" s="11" t="inlineStr">
        <is>
          <t>phucnguyenngoc</t>
        </is>
      </c>
    </row>
    <row r="32" ht="156.5" customHeight="1">
      <c r="A32" s="11" t="inlineStr">
        <is>
          <t>Phát hiện liều bỏ lỡ có xác minh</t>
        </is>
      </c>
      <c r="B32" s="10" t="inlineStr">
        <is>
          <t>Worker quét liều quá hạn chót (giờ uống + 120'), chỉ ghi bo_lo và báo người thân khi checkpoint đồng bộ của patient &gt;= hạn chót; chưa xác minh thì vào hàng chờ và gửi push ẩn sync_request (task 3.19).</t>
        </is>
      </c>
      <c r="C32" s="11" t="inlineStr">
        <is>
          <t>Bỏ lỡ liều có xác minh</t>
        </is>
      </c>
      <c r="D32" s="18">
        <f>IFERROR(('Bỏ lỡ liều có xác minh'!$H$63-'Bỏ lỡ liều có xác minh'!$H$62)/'Bỏ lỡ liều có xác minh'!$H$63,0)</f>
        <v/>
      </c>
      <c r="E32" s="18">
        <f>IFERROR('Bỏ lỡ liều có xác minh'!$H$60/'Bỏ lỡ liều có xác minh'!$H$63,0)</f>
        <v/>
      </c>
      <c r="F32" s="18">
        <f>IFERROR('Bỏ lỡ liều có xác minh'!$H$61/'Bỏ lỡ liều có xác minh'!$H$63,0)</f>
        <v/>
      </c>
      <c r="G32" s="11" t="inlineStr">
        <is>
          <t>High</t>
        </is>
      </c>
      <c r="H32" s="10" t="inlineStr">
        <is>
          <t>Toàn bộ test tự động (Postgres thật, Worker chạy bằng worker_role, push qua notifier giả) pass. Thử trên máy thật với FCM thật đạt (AC39, AC43). Lỗi High 'người thân bị 403 khi đọc cảnh báo' tìm thấy khi thử máy thật ở giai đoạn implement, đã sửa trước giai đoạn test và có test hồi quy (TC-MISSVERIFY-47). AC48 chờ cấu hình Render.</t>
        </is>
      </c>
      <c r="I32" s="11" t="inlineStr">
        <is>
          <t>zannguyen</t>
        </is>
      </c>
    </row>
    <row r="33" ht="123.5" customHeight="1">
      <c r="A33" s="11" t="inlineStr">
        <is>
          <t>Checkpoint đồng bộ liều</t>
        </is>
      </c>
      <c r="B33" s="10" t="inlineStr">
        <is>
          <t>POST /doses/sync-checkpoints: điện thoại patient báo đã gửi hết hàng chờ xác nhận liều; server ghi giờ server, không lùi. App gửi checkpoint sau khi hàng chờ có kết quả cuối, khi mở/quay lại app, mỗi 15' và khi nhận push sync_request (task 3.19).</t>
        </is>
      </c>
      <c r="C33" s="11" t="inlineStr">
        <is>
          <t>Checkpoint đồng bộ liều</t>
        </is>
      </c>
      <c r="D33" s="18">
        <f>IFERROR(('Checkpoint đồng bộ liều'!$H$34-'Checkpoint đồng bộ liều'!$H$33)/'Checkpoint đồng bộ liều'!$H$34,0)</f>
        <v/>
      </c>
      <c r="E33" s="18">
        <f>IFERROR('Checkpoint đồng bộ liều'!$H$31/'Checkpoint đồng bộ liều'!$H$34,0)</f>
        <v/>
      </c>
      <c r="F33" s="18">
        <f>IFERROR('Checkpoint đồng bộ liều'!$H$32/'Checkpoint đồng bộ liều'!$H$34,0)</f>
        <v/>
      </c>
      <c r="G33" s="11" t="inlineStr">
        <is>
          <t>High</t>
        </is>
      </c>
      <c r="H33" s="10" t="inlineStr">
        <is>
          <t>Toàn bộ test tích hợp (api_role, PEP thật) và test Flutter pass; grant theo role đúng thiết kế. Không có lỗi sản phẩm.</t>
        </is>
      </c>
      <c r="I33" s="11" t="inlineStr">
        <is>
          <t>zannguyen</t>
        </is>
      </c>
    </row>
    <row r="34" ht="107" customHeight="1">
      <c r="A34" s="11" t="inlineStr">
        <is>
          <t>Lịch sử: liều chưa xác minh</t>
        </is>
      </c>
      <c r="B34" s="10" t="inlineStr">
        <is>
          <t>GET /adherence trả status chua_xac_minh cho liều quá hạn chót mà patient chưa đồng bộ sau hạn chót, không tính vào tỷ lệ, kèm patient_last_synced_at; hai màn lịch sử mobile đọc được trạng thái mới (task 3.19).</t>
        </is>
      </c>
      <c r="C34" s="11" t="inlineStr">
        <is>
          <t>Lịch sử chưa xác minh</t>
        </is>
      </c>
      <c r="D34" s="18">
        <f>IFERROR(('Lịch sử chưa xác minh'!$H$24-'Lịch sử chưa xác minh'!$H$23)/'Lịch sử chưa xác minh'!$H$24,0)</f>
        <v/>
      </c>
      <c r="E34" s="18">
        <f>IFERROR('Lịch sử chưa xác minh'!$H$21/'Lịch sử chưa xác minh'!$H$24,0)</f>
        <v/>
      </c>
      <c r="F34" s="18">
        <f>IFERROR('Lịch sử chưa xác minh'!$H$22/'Lịch sử chưa xác minh'!$H$24,0)</f>
        <v/>
      </c>
      <c r="G34" s="11" t="inlineStr">
        <is>
          <t>Medium</t>
        </is>
      </c>
      <c r="H34" s="10" t="inlineStr">
        <is>
          <t>Test tích hợp, unit backend và Flutter pass. Hiển thị trên máy thật chưa có người xác nhận (Pending).</t>
        </is>
      </c>
      <c r="I34" s="11" t="inlineStr">
        <is>
          <t>zannguyen</t>
        </is>
      </c>
    </row>
    <row r="35" ht="74" customHeight="1">
      <c r="A35" s="11" t="inlineStr">
        <is>
          <t>Chuẩn hóa dòng và gom cụm OCR</t>
        </is>
      </c>
      <c r="B35" s="10" t="inlineStr">
        <is>
          <t>Chuẩn hóa dòng và gom cụm OCR</t>
        </is>
      </c>
      <c r="C35" s="11" t="inlineStr">
        <is>
          <t>Chuẩn hóa OCR</t>
        </is>
      </c>
      <c r="D35" s="18">
        <f>IFERROR(('Chuẩn hóa OCR'!$H$46-'Chuẩn hóa OCR'!$H$45)/'Chuẩn hóa OCR'!$H$46,0)</f>
        <v/>
      </c>
      <c r="E35" s="18">
        <f>IFERROR('Chuẩn hóa OCR'!$H$43/'Chuẩn hóa OCR'!$H$46,0)</f>
        <v/>
      </c>
      <c r="F35" s="18">
        <f>IFERROR('Chuẩn hóa OCR'!$H$44/'Chuẩn hóa OCR'!$H$46,0)</f>
        <v/>
      </c>
      <c r="G35" s="11" t="inlineStr">
        <is>
          <t>High</t>
        </is>
      </c>
      <c r="H35" s="10" t="inlineStr">
        <is>
          <t>Kết quả của lượt test 30/10 theo 23 AC mới; toàn suite còn lỗi nền tách riêng trong 05.</t>
        </is>
      </c>
      <c r="I35" s="11" t="inlineStr">
        <is>
          <t>phucnguyenngoc</t>
        </is>
      </c>
    </row>
    <row r="36" ht="74" customHeight="1">
      <c r="A36" s="11" t="inlineStr">
        <is>
          <t>Tra cứu catalog bằng index DB</t>
        </is>
      </c>
      <c r="B36" s="10" t="inlineStr">
        <is>
          <t>Tra cứu catalog bằng index DB</t>
        </is>
      </c>
      <c r="C36" s="11" t="inlineStr">
        <is>
          <t>Index danh mục</t>
        </is>
      </c>
      <c r="D36" s="18">
        <f>IFERROR(('Index danh mục'!$H$32-'Index danh mục'!$H$31)/'Index danh mục'!$H$32,0)</f>
        <v/>
      </c>
      <c r="E36" s="18">
        <f>IFERROR('Index danh mục'!$H$29/'Index danh mục'!$H$32,0)</f>
        <v/>
      </c>
      <c r="F36" s="18">
        <f>IFERROR('Index danh mục'!$H$30/'Index danh mục'!$H$32,0)</f>
        <v/>
      </c>
      <c r="G36" s="11" t="inlineStr">
        <is>
          <t>High</t>
        </is>
      </c>
      <c r="H36" s="10" t="inlineStr">
        <is>
          <t>Kết quả của lượt test 30/10 theo 23 AC mới; toàn suite còn lỗi nền tách riêng trong 05.</t>
        </is>
      </c>
      <c r="I36" s="11" t="inlineStr">
        <is>
          <t>phucnguyenngoc</t>
        </is>
      </c>
    </row>
    <row r="59">
      <c r="A59" s="19" t="inlineStr">
        <is>
          <t>Bug Report</t>
        </is>
      </c>
    </row>
    <row r="60">
      <c r="A60" s="20" t="inlineStr">
        <is>
          <t>Bug ID</t>
        </is>
      </c>
      <c r="B60" s="20" t="inlineStr">
        <is>
          <t>Description</t>
        </is>
      </c>
      <c r="C60" s="20" t="inlineStr">
        <is>
          <t>Steps to Reproduce</t>
        </is>
      </c>
      <c r="D60" s="20" t="inlineStr">
        <is>
          <t>Input Data</t>
        </is>
      </c>
      <c r="E60" s="20" t="inlineStr">
        <is>
          <t>Expected Result</t>
        </is>
      </c>
      <c r="F60" s="20" t="inlineStr">
        <is>
          <t>Actual Result</t>
        </is>
      </c>
      <c r="G60" s="20" t="inlineStr">
        <is>
          <t>Severity</t>
        </is>
      </c>
      <c r="H60" s="20" t="inlineStr">
        <is>
          <t>Name of Tester</t>
        </is>
      </c>
      <c r="I60" s="20" t="inlineStr">
        <is>
          <t>Logs</t>
        </is>
      </c>
    </row>
    <row r="61" ht="123.5" customHeight="1">
      <c r="A61" s="22" t="inlineStr">
        <is>
          <t>BUG-LOGIN-08</t>
        </is>
      </c>
      <c r="B61" s="22" t="inlineStr">
        <is>
          <t>Gửi số điện thoại có ký tự xuống dòng ở cuối</t>
        </is>
      </c>
      <c r="C61" s="22" t="inlineStr">
        <is>
          <t>1. POST /auth/mobile/otp {phone: "0900000001\n"}
2. POST /auth/mobile/verify {phone: "0900000001\n", token: 123456}</t>
        </is>
      </c>
      <c r="D61" s="22" t="inlineStr">
        <is>
          <t>phone: 0900000001 + ký tự \n</t>
        </is>
      </c>
      <c r="E61" s="22" t="inlineStr">
        <is>
          <t>422 {"detail":"invalid_phone"} (theo AC6 của 01-requirement)</t>
        </is>
      </c>
      <c r="F61" s="22" t="inlineStr">
        <is>
          <t>OTP 204, verify 200 và cấp phiên (backend bỏ ký tự trắng hai đầu)</t>
        </is>
      </c>
      <c r="G61" s="22" t="inlineStr">
        <is>
          <t>Low</t>
        </is>
      </c>
      <c r="H61" s="22" t="inlineStr">
        <is>
          <t>zannguyen</t>
        </is>
      </c>
      <c r="I61"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62" ht="123.5" customHeight="1">
      <c r="A62" s="22" t="inlineStr">
        <is>
          <t>BUG-LOGIN-11</t>
        </is>
      </c>
      <c r="B62" s="22" t="inlineStr">
        <is>
          <t>Gửi số điện thoại viết bằng chữ số Unicode</t>
        </is>
      </c>
      <c r="C62" s="22" t="inlineStr">
        <is>
          <t>1. POST /auth/mobile/otp {phone}
2. POST /auth/mobile/verify {phone, token: 123456}</t>
        </is>
      </c>
      <c r="D62" s="22" t="inlineStr">
        <is>
          <t>+８４９０００００００１ (full-width) | +٨٤٩٠٠٠٠٠٠٠١ (chữ số Ả Rập)</t>
        </is>
      </c>
      <c r="E62" s="22" t="inlineStr">
        <is>
          <t>422 {"detail":"invalid_phone"}, không gọi Supabase</t>
        </is>
      </c>
      <c r="F62" s="22" t="inlineStr">
        <is>
          <t>OTP 503 {"detail":"auth_provider_unavailable"}, verify 401 {"detail":"Invalid credentials"} — request đã tới Supabase</t>
        </is>
      </c>
      <c r="G62" s="22" t="inlineStr">
        <is>
          <t>Low</t>
        </is>
      </c>
      <c r="H62" s="22" t="inlineStr">
        <is>
          <t>zannguyen</t>
        </is>
      </c>
      <c r="I62"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63" ht="189.5" customHeight="1">
      <c r="A63" s="22" t="inlineStr">
        <is>
          <t>BUG-LOGIN-25</t>
        </is>
      </c>
      <c r="B63" s="22" t="inlineStr">
        <is>
          <t>Lưu họ tên có ký tự NUL</t>
        </is>
      </c>
      <c r="C63" s="22" t="inlineStr">
        <is>
          <t>1. POST /auth/profile {ho_ten: "abc\u0000def", ngày sinh, giới tính hợp lệ}</t>
        </is>
      </c>
      <c r="D63" s="22" t="inlineStr">
        <is>
          <t>ho_ten: abc\u0000def</t>
        </is>
      </c>
      <c r="E63" s="22" t="inlineStr">
        <is>
          <t>Không 5xx (từ chối 422 hoặc lưu được); không lộ chi tiết nội bộ</t>
        </is>
      </c>
      <c r="F63" s="22" t="inlineStr">
        <is>
          <t>500 Internal Server Error</t>
        </is>
      </c>
      <c r="G63" s="22" t="inlineStr">
        <is>
          <t>Medium</t>
        </is>
      </c>
      <c r="H63" s="22" t="inlineStr">
        <is>
          <t>zannguyen</t>
        </is>
      </c>
      <c r="I63"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64" ht="90.5" customHeight="1">
      <c r="A64" s="22" t="inlineStr">
        <is>
          <t>BUG-LOGIN-30</t>
        </is>
      </c>
      <c r="B64" s="22" t="inlineStr">
        <is>
          <t>Lưu họ tên dài 256 ký tự</t>
        </is>
      </c>
      <c r="C64" s="22" t="inlineStr">
        <is>
          <t>1. POST /auth/profile {ho_ten: A*256}</t>
        </is>
      </c>
      <c r="D64" s="22" t="inlineStr">
        <is>
          <t>A*256</t>
        </is>
      </c>
      <c r="E64" s="22" t="inlineStr">
        <is>
          <t>422; hồ sơ không đổi (giới hạn 255 theo Q4 của 01-requirement)</t>
        </is>
      </c>
      <c r="F64" s="22" t="inlineStr">
        <is>
          <t>204, đã lưu</t>
        </is>
      </c>
      <c r="G64" s="22" t="inlineStr">
        <is>
          <t>Low</t>
        </is>
      </c>
      <c r="H64" s="22" t="inlineStr">
        <is>
          <t>zannguyen</t>
        </is>
      </c>
      <c r="I64" s="22" t="inlineStr">
        <is>
          <t>Không có giới hạn độ dài họ tên: `_validate_profile` (sign_in.py) chỉ kiểm rỗng; cột users.full_name kiểu text không giới hạn
Log: evidence/test-integration.log</t>
        </is>
      </c>
    </row>
    <row r="65" ht="90.5" customHeight="1">
      <c r="A65" s="22" t="inlineStr">
        <is>
          <t>BUG-LOGIN-32</t>
        </is>
      </c>
      <c r="B65" s="22" t="inlineStr">
        <is>
          <t>Lưu ngày sinh trước 1900-01-01</t>
        </is>
      </c>
      <c r="C65" s="22" t="inlineStr">
        <is>
          <t>1. POST /auth/profile {ngay_sinh}</t>
        </is>
      </c>
      <c r="D65" s="22" t="inlineStr">
        <is>
          <t>1899-12-31 | 0001-01-01</t>
        </is>
      </c>
      <c r="E65" s="22" t="inlineStr">
        <is>
          <t>422; hồ sơ không đổi (cận dưới 1900-01-01 theo Q4)</t>
        </is>
      </c>
      <c r="F65" s="22" t="inlineStr">
        <is>
          <t>204 ở cả hai giá trị, đã lưu</t>
        </is>
      </c>
      <c r="G65" s="22" t="inlineStr">
        <is>
          <t>Low</t>
        </is>
      </c>
      <c r="H65" s="22" t="inlineStr">
        <is>
          <t>zannguyen</t>
        </is>
      </c>
      <c r="I65" s="22" t="inlineStr">
        <is>
          <t>`_validate_birth_date` (sign_in.py:229–231) chỉ chặn ngày tương lai, không có cận dưới. App mobile đã giới hạn date picker từ 1900 nên chỉ gặp khi gọi API trực tiếp
Log: evidence/test-integration.log</t>
        </is>
      </c>
    </row>
    <row r="66" ht="123.5" customHeight="1">
      <c r="A66" s="22" t="inlineStr">
        <is>
          <t>BUG-LOGIN-35</t>
        </is>
      </c>
      <c r="B66" s="22" t="inlineStr">
        <is>
          <t>Lưu ngày sinh là hôm nay lúc 00:30 giờ Việt Nam</t>
        </is>
      </c>
      <c r="C66" s="22" t="inlineStr">
        <is>
          <t>1. POST /auth/profile {ngay_sinh: "2026-10-08"}</t>
        </is>
      </c>
      <c r="D66" s="22" t="inlineStr">
        <is>
          <t>ngay_sinh: 2026-10-08</t>
        </is>
      </c>
      <c r="E66" s="22" t="inlineStr">
        <is>
          <t>204 (hôm nay theo giờ Asia/Ho_Chi_Minh — bất biến 7)</t>
        </is>
      </c>
      <c r="F66" s="22" t="inlineStr">
        <is>
          <t>422 {"detail":"invalid_date_of_birth"}</t>
        </is>
      </c>
      <c r="G66" s="22" t="inlineStr">
        <is>
          <t>Medium</t>
        </is>
      </c>
      <c r="H66" s="22" t="inlineStr">
        <is>
          <t>zannguyen</t>
        </is>
      </c>
      <c r="I66"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67" ht="173" customHeight="1">
      <c r="A67" s="22" t="inlineStr">
        <is>
          <t>BUG-LOGIN-42</t>
        </is>
      </c>
      <c r="B67" s="22" t="inlineStr">
        <is>
          <t>Chạm lại ô OTP sau khi nhập sai để sửa mã</t>
        </is>
      </c>
      <c r="C67" s="22" t="inlineStr">
        <is>
          <t>1. Chạm vào ô mã OTP
2. Theo dõi request backend nhận được</t>
        </is>
      </c>
      <c r="D67" s="22" t="inlineStr">
        <is>
          <t>Ô đang chứa 000000</t>
        </is>
      </c>
      <c r="E67" s="22" t="inlineStr">
        <is>
          <t>Không gửi xác thực cho tới khi người dùng nhập mã mới đủ 6 số</t>
        </is>
      </c>
      <c r="F67" s="22" t="inlineStr">
        <is>
          <t>Backend nhận thêm một POST /auth/mobile/verify 401 với mã cũ ngay khi chạm ô (chuỗi request: otp 204, verify 401, verify 401, verify 200)</t>
        </is>
      </c>
      <c r="G67" s="22" t="inlineStr">
        <is>
          <t>Low</t>
        </is>
      </c>
      <c r="H67" s="22" t="inlineStr">
        <is>
          <t>zannguyen</t>
        </is>
      </c>
      <c r="I67"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68" ht="222.5" customHeight="1">
      <c r="A68" s="22" t="inlineStr">
        <is>
          <t>BUG-LINKCODE-28</t>
        </is>
      </c>
      <c r="B68" s="22" t="inlineStr">
        <is>
          <t>Toàn bộ unit test, architecture test và ruff toàn repo pass</t>
        </is>
      </c>
      <c r="C68" s="22" t="inlineStr">
        <is>
          <t>1. pytest tests/unit tests/architecture -q
2. ruff check .
3. So với baseline trước khi sửa code</t>
        </is>
      </c>
      <c r="D68" s="22" t="inlineStr">
        <is>
          <t>-</t>
        </is>
      </c>
      <c r="E68" s="22" t="inlineStr">
        <is>
          <t>pytest và ruff đều pass</t>
        </is>
      </c>
      <c r="F68"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68" s="22" t="inlineStr">
        <is>
          <t>Low</t>
        </is>
      </c>
      <c r="H68" s="22" t="inlineStr">
        <is>
          <t>zannguyen</t>
        </is>
      </c>
      <c r="I68"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row r="69" ht="305" customHeight="1">
      <c r="A69" s="22" t="inlineStr">
        <is>
          <t>BUG-MEDPICK-28</t>
        </is>
      </c>
      <c r="B69" s="22" t="inlineStr">
        <is>
          <t>Đọc và chọn thuốc trên thiết bị với cỡ chữ lớn và bàn phím</t>
        </is>
      </c>
      <c r="C69" s="22" t="inlineStr">
        <is>
          <t>1. Mở form và sheet; bật cỡ chữ lớn trong cấu hình thiết bị.
2. Kiểm hướng dẫn, loading, không kết quả, lỗi và retry.
3. Tìm thuốc, cuộn và chọn kết quả; kiểm form.
4. Sau khi chạm thuốc, kiểm tra vùng Thông tin thuốc đã chọn; bấm Xác nhận thuốc để trả về form.
5. Khôi phục cỡ chữ ban đầu sau test.</t>
        </is>
      </c>
      <c r="D69" s="22" t="inlineStr">
        <is>
          <t>Điện thoại LM G710 Android 13; cỡ chữ lớn; bàn phím mở</t>
        </is>
      </c>
      <c r="E69" s="22" t="inlineStr">
        <is>
          <t>Nội dung đọc/cuộn được; bàn phím không che thao tác; chọn trả đúng thuốc về form. Chạm dòng chỉ chọn; chỉ Xác nhận thuốc mới đóng sheet và trả lựa chọn.</t>
        </is>
      </c>
      <c r="F69" s="22" t="inlineStr">
        <is>
          <t>2026-10-28: Fail trên LM G710 Android 13, viewport 360×616 dp, text scale 1.5; keyboard thật 325.5 dp. Hướng dẫn/loading/503 một lần/retry/no-result/query99 và chọn từ API/DB local đã chạy. Chạm item đã chọn, nhưng vùng xem lại chỉ 21.34 dp &lt; một dòng metadata 35 dp. Không đủ đọc một dòng trước xác nhận; regression exit 1. Cấu hình thiết bị được khôi phục.</t>
        </is>
      </c>
      <c r="G69" s="22" t="inlineStr">
        <is>
          <t>Medium</t>
        </is>
      </c>
      <c r="H69" s="22" t="inlineStr">
        <is>
          <t>phucnguyenngoc</t>
        </is>
      </c>
      <c r="I69" s="22" t="inlineStr">
        <is>
          <t>Cùng nguyên nhân với BUG-MEDPICK-51: DrugCatalogSheet dùng constraints.maxHeight * 0.92 sau khi trừ keyboard; header và CTA chiếm chiều cao cố định, ListView xem lại còn quá thấp trên màn nhỏ/chữ lớn. Có cách tránh bằng đóng bàn phím hoặc giảm cỡ chữ. 2026-10-28: người dùng chấp nhận lỗi layout Medium và hoãn sửa trong task 4.16; giữ Fail theo bằng chứng. Quyết định: evidence/test-layout-risk-acceptance.log.
Log: evidence/test-pending-TC28-android-confirmed.log; evidence/pending-28-selected-review.png; evidence/test-layout-risk-acceptance.log</t>
        </is>
      </c>
    </row>
    <row r="70" ht="288.5" customHeight="1">
      <c r="A70" s="22" t="inlineStr">
        <is>
          <t>BUG-MEDPICK-51</t>
        </is>
      </c>
      <c r="B70" s="22" t="inlineStr">
        <is>
          <t>Đọc vùng xem lại ở màn nhỏ, chữ lớn khi bàn phím mở</t>
        </is>
      </c>
      <c r="C70" s="22" t="inlineStr">
        <is>
          <t>1. Chạy harness trên LM G710, viewport 360×616 dp và font hệ thống 1.5.
2. Mở OCR · Không có kết quả → Tìm kiếm thủ công; nhập no-match rồi tìm lại Paracetamol, giữ bàn phím thật mở.
3. Cuộn và chạm thuốc 500 mg; kiểm vùng Thông tin thuốc đã chọn và đọc từng dòng metadata trước xác nhận.
4. Đo viewport so với một dòng chữ; nếu đọc được thì tiếp tục đổi/xác nhận và danh sách dài; khôi phục cấu hình trong finally.</t>
        </is>
      </c>
      <c r="D70" s="22" t="inlineStr">
        <is>
          <t>LM G710 Android 13; wm 720×1280, density 320, font 1.5</t>
        </is>
      </c>
      <c r="E70" s="22" t="inlineStr">
        <is>
          <t>Vùng xem lại cuộn và đọc được trọn ít nhất một dòng metadata (35 dp ở cấu hình này); tên/hàm lượng lựa chọn kiểm tra được trước xác nhận, CTA ở trên bàn phím. Tiếp tục đổi/xác nhận đúng thuốc và danh sách dài; khôi phục cấu hình.</t>
        </is>
      </c>
      <c r="F70" s="22" t="inlineStr">
        <is>
          <t>Android 13 LM G710: viewport 360×616 dp, font 1.5, keyboard 325.5 dp; sau tìm Paracetamol và chạm demo-500, confirm bật nhưng danh sách/vùng xem lại chỉ khoảng 21.3 dp, không đọc được trọn dòng metadata. Regression kiểm chiều cao viewport so với một dòng chữ thất bại. Normal font1.0 đạt. Chưa sửa sản phẩm.</t>
        </is>
      </c>
      <c r="G70" s="22" t="inlineStr">
        <is>
          <t>Medium</t>
        </is>
      </c>
      <c r="H70" s="22" t="inlineStr">
        <is>
          <t>phucnguyenngoc</t>
        </is>
      </c>
      <c r="I70" s="22" t="inlineStr">
        <is>
          <t>DrugCatalogSheet giữ ô nhập và CTA ở chiều cao cố định, SizedBox dùng 0.92×constraints.maxHeight; khi Android 360×616 dp, font 1.5 và keyboard 325.5 dp, Expanded/ListView của panel còn khoảng 21.3 dp, nhỏ hơn một dòng metadata. Có workaround đóng bàn phím; cần sửa layout tại implement, không sửa trong test. 2026-10-28: người dùng chấp nhận lỗi layout Medium và hoãn sửa trong task 4.16; giữ Fail theo bằng chứng. Quyết định: evidence/test-layout-risk-acceptance.log.
Log: evidence/test-android-large-regression-v2.log; evidence/android-large-unreadable-review.png; evidence/test-layout-risk-acceptance.log</t>
        </is>
      </c>
    </row>
    <row r="71" ht="239" customHeight="1">
      <c r="A71" s="22" t="inlineStr">
        <is>
          <t>BUG-REGDOSE-01</t>
        </is>
      </c>
      <c r="B71" s="22" t="inlineStr">
        <is>
          <t>Đối chiếu scheduled_at có giây khi xác nhận liều</t>
        </is>
      </c>
      <c r="C71"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71" s="22" t="inlineStr">
        <is>
          <t>client_uuid: UUID mới; schedule_id: fixture; scheduled_at=2026-10-02T01:00:59.999Z; taken_at=2026-10-02T01:05:59.999Z</t>
        </is>
      </c>
      <c r="E71" s="22" t="inlineStr">
        <is>
          <t>Theo test hiện có: HTTP 200, synced, da_uong và scheduled_at=2026-10-02T01:00:00Z.</t>
        </is>
      </c>
      <c r="F71" s="22" t="inlineStr">
        <is>
          <t>HTTP 200, synced, da_uong; scheduled_at=2026-10-02T01:00:59.999000Z. Fail trong suite DB và lặp lại khi chạy riêng (1 failed trong 1.67s).</t>
        </is>
      </c>
      <c r="G71" s="22" t="inlineStr">
        <is>
          <t>Medium</t>
        </is>
      </c>
      <c r="H71" s="22" t="inlineStr">
        <is>
          <t>phucnguyenngoc</t>
        </is>
      </c>
      <c r="I71"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row r="72" ht="156.5" customHeight="1">
      <c r="A72" s="22" t="inlineStr">
        <is>
          <t>BUG-FALERT-19</t>
        </is>
      </c>
      <c r="B72" s="22" t="inlineStr">
        <is>
          <t>Lọc hộp thư mixed patient và từ chối patient_id trong PATCH</t>
        </is>
      </c>
      <c r="C72" s="22" t="inlineStr">
        <is>
          <t>1. Tạo hai notification cho F: P được phép và Q không có liên kết.
2. GET /notifications?patient_id=P&amp;user_id=Q; kiểm item và count.
3. PATCH notification Q với JSON {is_read:true,patient_id:P}.</t>
        </is>
      </c>
      <c r="D72" s="22" t="inlineStr">
        <is>
          <t>P/F là UUID synthetic mới mỗi lần; ID notification lấy từ DB fixture; giờ 2026-10-20T01:00:00Z.</t>
        </is>
      </c>
      <c r="E72" s="22" t="inlineStr">
        <is>
          <t>List chỉ trả P, total=unread_count=1 và Q có denied; PATCH field lạ phải trả 422.</t>
        </is>
      </c>
      <c r="F72" s="22" t="inlineStr">
        <is>
          <t>HTTP 503 notification_access_unavailable thay vì 422; assertion fail.</t>
        </is>
      </c>
      <c r="G72" s="22" t="inlineStr">
        <is>
          <t>Medium</t>
        </is>
      </c>
      <c r="H72" s="22" t="inlineStr">
        <is>
          <t>phucnguyenngoc</t>
        </is>
      </c>
      <c r="I72"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3" ht="123.5" customHeight="1">
      <c r="A73" s="22" t="inlineStr">
        <is>
          <t>BUG-FALERT-36</t>
        </is>
      </c>
      <c r="B73" s="22" t="inlineStr">
        <is>
          <t>Từ chối tham số phân trang ngoài biên [params0]</t>
        </is>
      </c>
      <c r="C73" s="22" t="inlineStr">
        <is>
          <t>1. Đăng nhập F có notification và quyền hợp lệ.
2. GET /notifications với limit=0, limit=101 hoặc offset=-1 theo Test Data.
3. Kiểm HTTP status và Cache-Control.</t>
        </is>
      </c>
      <c r="D73" s="22" t="inlineStr">
        <is>
          <t>limit=0; offset=0</t>
        </is>
      </c>
      <c r="E73" s="22" t="inlineStr">
        <is>
          <t>422 validation, Cache-Control:no-store; không trả dữ liệu notification.</t>
        </is>
      </c>
      <c r="F73" s="22" t="inlineStr">
        <is>
          <t>HTTP 503 notification_access_unavailable thay vì 422; assertion fail.</t>
        </is>
      </c>
      <c r="G73" s="22" t="inlineStr">
        <is>
          <t>Medium</t>
        </is>
      </c>
      <c r="H73" s="22" t="inlineStr">
        <is>
          <t>phucnguyenngoc</t>
        </is>
      </c>
      <c r="I73"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4" ht="123.5" customHeight="1">
      <c r="A74" s="22" t="inlineStr">
        <is>
          <t>BUG-FALERT-37</t>
        </is>
      </c>
      <c r="B74" s="22" t="inlineStr">
        <is>
          <t>Từ chối tham số phân trang ngoài biên [params1]</t>
        </is>
      </c>
      <c r="C74" s="22" t="inlineStr">
        <is>
          <t>1. Đăng nhập F có notification và quyền hợp lệ.
2. GET /notifications với limit=0, limit=101 hoặc offset=-1 theo Test Data.
3. Kiểm HTTP status và Cache-Control.</t>
        </is>
      </c>
      <c r="D74" s="22" t="inlineStr">
        <is>
          <t>limit=101; offset=0</t>
        </is>
      </c>
      <c r="E74" s="22" t="inlineStr">
        <is>
          <t>422 validation, Cache-Control:no-store; không trả dữ liệu notification.</t>
        </is>
      </c>
      <c r="F74" s="22" t="inlineStr">
        <is>
          <t>HTTP 503 notification_access_unavailable thay vì 422; assertion fail.</t>
        </is>
      </c>
      <c r="G74" s="22" t="inlineStr">
        <is>
          <t>Medium</t>
        </is>
      </c>
      <c r="H74" s="22" t="inlineStr">
        <is>
          <t>phucnguyenngoc</t>
        </is>
      </c>
      <c r="I74"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5" ht="123.5" customHeight="1">
      <c r="A75" s="22" t="inlineStr">
        <is>
          <t>BUG-FALERT-38</t>
        </is>
      </c>
      <c r="B75" s="22" t="inlineStr">
        <is>
          <t>Từ chối tham số phân trang ngoài biên [params2]</t>
        </is>
      </c>
      <c r="C75" s="22" t="inlineStr">
        <is>
          <t>1. Đăng nhập F có notification và quyền hợp lệ.
2. GET /notifications với limit=0, limit=101 hoặc offset=-1 theo Test Data.
3. Kiểm HTTP status và Cache-Control.</t>
        </is>
      </c>
      <c r="D75" s="22" t="inlineStr">
        <is>
          <t>limit=20; offset=-1</t>
        </is>
      </c>
      <c r="E75" s="22" t="inlineStr">
        <is>
          <t>422 validation, Cache-Control:no-store; không trả dữ liệu notification.</t>
        </is>
      </c>
      <c r="F75" s="22" t="inlineStr">
        <is>
          <t>HTTP 503 notification_access_unavailable thay vì 422; assertion fail.</t>
        </is>
      </c>
      <c r="G75" s="22" t="inlineStr">
        <is>
          <t>Medium</t>
        </is>
      </c>
      <c r="H75" s="22" t="inlineStr">
        <is>
          <t>phucnguyenngoc</t>
        </is>
      </c>
      <c r="I75"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6" ht="140" customHeight="1">
      <c r="A76" s="22" t="inlineStr">
        <is>
          <t>BUG-REDEEMFLOW-02</t>
        </is>
      </c>
      <c r="B76" s="22" t="inlineStr">
        <is>
          <t>Quét QR hợp lệ và chờ xác nhận trước khi gửi</t>
        </is>
      </c>
      <c r="C76" s="22" t="inlineStr">
        <is>
          <t>1. Cấp qr_payload cho scanner callback.
2. Kiểm số POST trước khi bấm xác nhận.
3. Bấm xác nhận và kiểm pending.</t>
        </is>
      </c>
      <c r="D76" s="22" t="inlineStr">
        <is>
          <t>qr_payload=body.qr_payload của GET /family/link-code</t>
        </is>
      </c>
      <c r="E76" s="22" t="inlineStr">
        <is>
          <t>Mã được điền; 0 POST trước xác nhận; sau xác nhận một POST 201 và một pending.</t>
        </is>
      </c>
      <c r="F76" s="22" t="inlineStr">
        <is>
          <t>Widget và Android LM_G710: 1 POST trước xác nhận (Expected 0, Actual 1); evidence/test-widget-redeem.log và evidence/test-android-remaining-phases.log.</t>
        </is>
      </c>
      <c r="G76" s="22" t="inlineStr">
        <is>
          <t>Medium</t>
        </is>
      </c>
      <c r="H76" s="22" t="inlineStr">
        <is>
          <t>phucnguyenngoc</t>
        </is>
      </c>
      <c r="I76" s="22" t="inlineStr">
        <is>
          <t>scan_link_qr_screen.dart đặt autoSubmit=true, enter_link_code_screen.dart tự submit sau frame đầu.
Log: evidence/test-widget-redeem.log</t>
        </is>
      </c>
    </row>
    <row r="77" ht="305" customHeight="1">
      <c r="A77" s="22" t="inlineStr">
        <is>
          <t>BUG-FADH-20</t>
        </is>
      </c>
      <c r="B77" s="22" t="inlineStr">
        <is>
          <t>Tính ngay xác nhận tại -30 phút</t>
        </is>
      </c>
      <c r="C77" s="22" t="inlineStr">
        <is>
          <t>1. Chạy test tại backend/tests/unit/test_get_adherence_history.py với delay0, cả group_by=date và medication.
2. Quan sát ở đúng taken_at; kiểm summary, nhóm và một dose.</t>
        </is>
      </c>
      <c r="D77" s="22" t="inlineStr">
        <is>
          <t>scheduled_at=08:00 +07; delay=-30 phút; status=da_uong</t>
        </is>
      </c>
      <c r="E77" s="22" t="inlineStr">
        <is>
          <t>total=1, counted=1, rate=100.00; taken/late đúng trạng thái; đúng một liều ngay khi xác nhận.</t>
        </is>
      </c>
      <c r="F77" s="22" t="inlineStr">
        <is>
          <t>Hai ca unit và hai ca family API/DB (date/medication) Fail: xác nhận -30 được nhận, dose_log tồn tại và audit allowed nhưng lịch sử total/taken/counted=0, rate=null thay vì 1/100. Lượt P7 chạy lại toàn backend integration: nhóm history API/PEP 66 Pass/2 Fail, TC20 vẫn Fail ở hai grouping; các ca khác trong nhóm này giữ kết quả. evidence/test-p7-integration.log/xml.</t>
        </is>
      </c>
      <c r="G77" s="22" t="inlineStr">
        <is>
          <t>Medium</t>
        </is>
      </c>
      <c r="H77" s="22" t="inlineStr">
        <is>
          <t>phucnguyenngoc</t>
        </is>
      </c>
      <c r="I77" s="22" t="inlineStr">
        <is>
          <t>BUG-3.25-01: domain build_history và SQL reader lọc scheduled_at &lt;= as_of; đã tái hiện ở family API/DB, không chỉ unit. Contract gốc giữ quy tắc loại liều chưa đến giờ, khác ngoại lệ AC3 được người dùng chốt.
Log: evidence/test-contract-history-final.log</t>
        </is>
      </c>
    </row>
  </sheetData>
  <mergeCells count="2">
    <mergeCell ref="A1:G1"/>
    <mergeCell ref="A3:A5"/>
  </mergeCells>
  <conditionalFormatting sqref="F11:F36">
    <cfRule type="cellIs" priority="1" operator="greaterThan" dxfId="0">
      <formula>0.2</formula>
    </cfRule>
  </conditionalFormatting>
  <conditionalFormatting sqref="G11:G36">
    <cfRule type="expression" priority="2" dxfId="0">
      <formula>OR(G11="Critical",G11="High")</formula>
    </cfRule>
  </conditionalFormatting>
  <conditionalFormatting sqref="G61:G77">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36" showDropDown="0" showInputMessage="0" showErrorMessage="0" allowBlank="1" type="list">
      <formula1>"Critical,High,Medium,Low"</formula1>
    </dataValidation>
    <dataValidation sqref="G61:G77"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2026-09-21T13:11:58Z</dcterms:created>
  <dcterms:modified xmlns:dcterms="http://purl.org/dc/terms/" xmlns:xsi="http://www.w3.org/2001/XMLSchema-instance" xsi:type="dcterms:W3CDTF">2026-10-30T06:59:09Z</dcterms:modified>
  <cp:lastModifiedBy>Người dùng Khách</cp:lastModifiedBy>
</cp:coreProperties>
</file>