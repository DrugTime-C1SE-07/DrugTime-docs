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lert dispatch" sheetId="1" state="visible" r:id="rId1"/>
    <sheet name="Report" sheetId="2" state="visible" r:id="rId2"/>
  </sheets>
  <definedNames>
    <definedName name="_xlnm._FilterDatabase" localSheetId="0" hidden="1">'Alert dispatch'!$A$8:$I$19</definedName>
  </definedNames>
  <calcPr calcId="191028" fullCalcOnLoad="1"/>
</workbook>
</file>

<file path=xl/styles.xml><?xml version="1.0" encoding="utf-8"?>
<styleSheet xmlns="http://schemas.openxmlformats.org/spreadsheetml/2006/main">
  <numFmts count="2">
    <numFmt numFmtId="164" formatCode="yyyy-mm-dd"/>
    <numFmt numFmtId="165" formatCode="dd/mm/yyyy"/>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1">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5"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f>
            </numRef>
          </cat>
          <val>
            <numRef>
              <f>'Report'!$D$11</f>
            </numRef>
          </val>
        </ser>
        <ser>
          <idx val="1"/>
          <order val="1"/>
          <tx>
            <strRef>
              <f>'Report'!E10</f>
            </strRef>
          </tx>
          <spPr>
            <a:ln>
              <a:prstDash val="solid"/>
            </a:ln>
          </spPr>
          <cat>
            <numRef>
              <f>'Report'!$A$11</f>
            </numRef>
          </cat>
          <val>
            <numRef>
              <f>'Report'!$E$11</f>
            </numRef>
          </val>
        </ser>
        <ser>
          <idx val="2"/>
          <order val="2"/>
          <tx>
            <strRef>
              <f>'Report'!F10</f>
            </strRef>
          </tx>
          <spPr>
            <a:ln>
              <a:prstDash val="solid"/>
            </a:ln>
          </spPr>
          <cat>
            <numRef>
              <f>'Report'!$A$11</f>
            </numRef>
          </cat>
          <val>
            <numRef>
              <f>'Report'!$F$11</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'Report'!$D$3:$D$4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U2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Điều phối cảnh báo người thân (ALERT)</t>
        </is>
      </c>
    </row>
    <row r="3">
      <c r="A3" s="1" t="inlineStr">
        <is>
          <t>Created By</t>
        </is>
      </c>
      <c r="B3" s="2" t="inlineStr">
        <is>
          <t>Ngọc Việt</t>
        </is>
      </c>
    </row>
    <row r="4">
      <c r="A4" s="1" t="inlineStr">
        <is>
          <t>Creation Date</t>
        </is>
      </c>
      <c r="B4" s="3" t="n">
        <v>46308</v>
      </c>
    </row>
    <row r="5">
      <c r="A5" s="1" t="inlineStr">
        <is>
          <t>Reviewed By</t>
        </is>
      </c>
      <c r="B5" s="2" t="inlineStr"/>
    </row>
    <row r="6">
      <c r="A6" s="1" t="inlineStr">
        <is>
          <t>Reviewed Date</t>
        </is>
      </c>
      <c r="B6" s="2" t="n"/>
    </row>
    <row r="7">
      <c r="K7" s="4" t="inlineStr">
        <is>
          <t>Equivalence Partitioning</t>
        </is>
      </c>
      <c r="Q7" s="4" t="inlineStr">
        <is>
          <t>Điều kiện điều phối cảnh báo cho người thân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TC-ALERT-01</t>
        </is>
      </c>
      <c r="B9" s="7" t="inlineStr">
        <is>
          <t>Điều phối cảnh báo cho người thân dùng Android có đủ liên kết và quyền</t>
        </is>
      </c>
      <c r="C9" s="8" t="inlineStr">
        <is>
          <t>Bệnh nhân P bỏ lỡ liều thuốc (dose_log_id=999). Người thân F có liên kết active, sharing_enabled=true, consent family_sharing hiệu lực và token Android.</t>
        </is>
      </c>
      <c r="D9" s="8" t="inlineStr">
        <is>
          <t>1. Hệ thống chạy tác vụ scan_missed_doses
2. Kiểm tra bản ghi được tạo trong bảng notifications
3. Kiểm tra danh sách Alert gửi tới NotificationPort</t>
        </is>
      </c>
      <c r="E9" s="8" t="inlineStr">
        <is>
          <t>patient_id=P, caregiver_id=F, platform='android', token='token_android_123'</t>
        </is>
      </c>
      <c r="F9" s="8" t="inlineStr">
        <is>
          <t>Tạo 1 bản ghi notifications cho F với content='Bác [Tên] chưa ghi nhận liều thuốc đúng giờ'. Phát sinh 1 Alert gửi tới NotificationPort với đúng token của F.</t>
        </is>
      </c>
      <c r="G9" s="8" t="inlineStr">
        <is>
          <t>Đã tạo bản ghi notifications có tên bệnh nhân và phát sinh Alert với token_android_123 gửi tới NotificationPort.</t>
        </is>
      </c>
      <c r="H9" s="7" t="inlineStr">
        <is>
          <t>Pass</t>
        </is>
      </c>
      <c r="I9" s="8" t="inlineStr">
        <is>
          <t>AC1 · Decision Table (R4) · EP (1) · test_dispatch_creates_alert_for_android_caregiver</t>
        </is>
      </c>
      <c r="K9" s="9" t="inlineStr">
        <is>
          <t>recipient_platform</t>
        </is>
      </c>
      <c r="L9" s="10" t="inlineStr">
        <is>
          <t>android</t>
        </is>
      </c>
      <c r="M9" s="10" t="inlineStr">
        <is>
          <t>1</t>
        </is>
      </c>
      <c r="N9" s="10" t="inlineStr">
        <is>
          <t>ios
không có token</t>
        </is>
      </c>
      <c r="O9" s="10" t="inlineStr">
        <is>
          <t>6
7</t>
        </is>
      </c>
      <c r="Q9" s="10" t="inlineStr">
        <is>
          <t>Liên kết active và bật chia sẻ?</t>
        </is>
      </c>
      <c r="R9" s="11" t="inlineStr">
        <is>
          <t>No</t>
        </is>
      </c>
      <c r="S9" s="11" t="inlineStr">
        <is>
          <t>Yes</t>
        </is>
      </c>
      <c r="T9" s="11" t="inlineStr">
        <is>
          <t>Yes</t>
        </is>
      </c>
      <c r="U9" s="11" t="inlineStr">
        <is>
          <t>Yes</t>
        </is>
      </c>
    </row>
    <row r="10" ht="74" customHeight="1">
      <c r="A10" s="7" t="inlineStr">
        <is>
          <t>TC-ALERT-02</t>
        </is>
      </c>
      <c r="B10" s="7" t="inlineStr">
        <is>
          <t>Điều phối cảnh báo cho người thân dùng iOS (không có push APNs)</t>
        </is>
      </c>
      <c r="C10" s="8" t="inlineStr">
        <is>
          <t>Bệnh nhân P bỏ lỡ liều thuốc. Người thân F có đủ quyền nhưng chỉ đăng ký thiết bị iOS (không có token Android).</t>
        </is>
      </c>
      <c r="D10" s="8" t="inlineStr">
        <is>
          <t>1. Hệ thống chạy tác vụ scan_missed_doses
2. Kiểm tra bản ghi trong bảng notifications
3. Kiểm tra danh sách Alert gửi tới NotificationPort</t>
        </is>
      </c>
      <c r="E10" s="8" t="inlineStr">
        <is>
          <t>patient_id=P, caregiver_id=F, platform='ios'</t>
        </is>
      </c>
      <c r="F10" s="8" t="inlineStr">
        <is>
          <t>Vẫn tạo 1 bản ghi notifications cho F trong CSDL. Không phát sinh Alert push nào gửi tới NotificationPort (C-06, C-07, BS-03).</t>
        </is>
      </c>
      <c r="G10" s="8" t="inlineStr">
        <is>
          <t>Bản ghi notifications đã được tạo trong CSDL, không có Alert push nào được gửi.</t>
        </is>
      </c>
      <c r="H10" s="7" t="inlineStr">
        <is>
          <t>Pass</t>
        </is>
      </c>
      <c r="I10" s="8" t="inlineStr">
        <is>
          <t>AC2 · Decision Table (R3) · EP (2) · test_dispatch_skips_push_for_ios_caregiver_but_creates_notification_row</t>
        </is>
      </c>
      <c r="K10" s="9" t="inlineStr">
        <is>
          <t>caregiver_relationship</t>
        </is>
      </c>
      <c r="L10" s="10" t="inlineStr">
        <is>
          <t>active và sharing_enabled=true và consent_granted</t>
        </is>
      </c>
      <c r="M10" s="10" t="inlineStr">
        <is>
          <t>2</t>
        </is>
      </c>
      <c r="N10" s="10" t="inlineStr">
        <is>
          <t>chưa liên kết
active nhưng sharing_enabled=false
consent_revoked</t>
        </is>
      </c>
      <c r="O10" s="10" t="inlineStr">
        <is>
          <t>8
9
10</t>
        </is>
      </c>
      <c r="Q10" s="10" t="inlineStr">
        <is>
          <t>Consent family_sharing còn hiệu lực?</t>
        </is>
      </c>
      <c r="R10" s="11" t="inlineStr">
        <is>
          <t>-</t>
        </is>
      </c>
      <c r="S10" s="11" t="inlineStr">
        <is>
          <t>No</t>
        </is>
      </c>
      <c r="T10" s="11" t="inlineStr">
        <is>
          <t>Yes</t>
        </is>
      </c>
      <c r="U10" s="11" t="inlineStr">
        <is>
          <t>Yes</t>
        </is>
      </c>
    </row>
    <row r="11" ht="74" customHeight="1">
      <c r="A11" s="7" t="inlineStr">
        <is>
          <t>TC-ALERT-03</t>
        </is>
      </c>
      <c r="B11" s="7" t="inlineStr">
        <is>
          <t>Chống trùng lặp cảnh báo khi quét lặp lại cùng liều bỏ lỡ</t>
        </is>
      </c>
      <c r="C11" s="8" t="inlineStr">
        <is>
          <t>Liều thuốc đã được quét và đã tạo bản ghi notifications với dedupe_key='bo_lo:999:F'.</t>
        </is>
      </c>
      <c r="D11" s="8" t="inlineStr">
        <is>
          <t>1. Hệ thống chạy lại tác vụ scan_missed_doses với cùng lượt uống và liều 999
2. Kiểm tra số lượng bản ghi trong notifications và số Alert gửi đi</t>
        </is>
      </c>
      <c r="E11" s="8" t="inlineStr">
        <is>
          <t>dedupe_key='bo_lo:999:F'</t>
        </is>
      </c>
      <c r="F11" s="8" t="inlineStr">
        <is>
          <t>Không tạo thêm bản ghi notifications mới (ON CONFLICT DO NOTHING). Không gửi thêm Alert push lặp lại cho F.</t>
        </is>
      </c>
      <c r="G11" s="8" t="inlineStr">
        <is>
          <t>Số lượng notifications giữ nguyên 1, số Alert phát sinh là 0.</t>
        </is>
      </c>
      <c r="H11" s="7" t="inlineStr">
        <is>
          <t>Pass</t>
        </is>
      </c>
      <c r="I11" s="8" t="inlineStr">
        <is>
          <t>AC3 · test_dispatch_deduplicates_repeated_missed_dose_scans</t>
        </is>
      </c>
      <c r="K11" s="9" t="inlineStr">
        <is>
          <t>limit (query GET /notifications)</t>
        </is>
      </c>
      <c r="L11" s="10" t="inlineStr">
        <is>
          <t>1..100</t>
        </is>
      </c>
      <c r="M11" s="10" t="inlineStr">
        <is>
          <t>3</t>
        </is>
      </c>
      <c r="N11" s="10" t="inlineStr">
        <is>
          <t>0
-1
101</t>
        </is>
      </c>
      <c r="O11" s="10" t="inlineStr">
        <is>
          <t>11
12
13</t>
        </is>
      </c>
      <c r="Q11" s="10" t="inlineStr">
        <is>
          <t>Thiết bị có token Android?</t>
        </is>
      </c>
      <c r="R11" s="11" t="inlineStr">
        <is>
          <t>-</t>
        </is>
      </c>
      <c r="S11" s="11" t="inlineStr">
        <is>
          <t>-</t>
        </is>
      </c>
      <c r="T11" s="11" t="inlineStr">
        <is>
          <t>No (iOS / không có)</t>
        </is>
      </c>
      <c r="U11" s="11" t="inlineStr">
        <is>
          <t>Yes (Android)</t>
        </is>
      </c>
    </row>
    <row r="12" ht="74" customHeight="1">
      <c r="A12" s="7" t="inlineStr">
        <is>
          <t>TC-ALERT-04</t>
        </is>
      </c>
      <c r="B12" s="7" t="inlineStr">
        <is>
          <t>Chặn gửi cảnh báo khi người thân bị tắt chia sẻ hoặc rút consent</t>
        </is>
      </c>
      <c r="C12" s="8" t="inlineStr">
        <is>
          <t>Người thân F bị bệnh nhân tắt chia sẻ (sharing_enabled=false) hoặc bệnh nhân đã rút consent family_sharing.</t>
        </is>
      </c>
      <c r="D12" s="8" t="inlineStr">
        <is>
          <t>1. Hệ thống chạy tác vụ scan_missed_doses
2. Kiểm tra danh sách người thân được access.caregivers_of trả về
3. Kiểm tra bản ghi notifications và Alert</t>
        </is>
      </c>
      <c r="E12" s="8" t="inlineStr">
        <is>
          <t>sharing_enabled=false hoặc consent revoked</t>
        </is>
      </c>
      <c r="F12" s="8" t="inlineStr">
        <is>
          <t>access.caregivers_of không trả về F. Không tạo bản ghi notifications và không gửi Alert push cho F.</t>
        </is>
      </c>
      <c r="G12" s="8" t="inlineStr">
        <is>
          <t>access.caregivers_of trả về rỗng, không tạo notification và không gửi alert.</t>
        </is>
      </c>
      <c r="H12" s="7" t="inlineStr">
        <is>
          <t>Pass</t>
        </is>
      </c>
      <c r="I12" s="8" t="inlineStr">
        <is>
          <t>AC4 · Decision Table (R1, R2) · test_dispatch_respects_revoked_consent_and_sharing_switch</t>
        </is>
      </c>
      <c r="K12" s="9" t="inlineStr">
        <is>
          <t>is_read (query / body PATCH)</t>
        </is>
      </c>
      <c r="L12" s="10" t="inlineStr">
        <is>
          <t>true
false</t>
        </is>
      </c>
      <c r="M12" s="10" t="inlineStr">
        <is>
          <t>4
5</t>
        </is>
      </c>
      <c r="N12" s="10" t="inlineStr">
        <is>
          <t>(blank)
chuỗi không hợp lệ</t>
        </is>
      </c>
      <c r="O12" s="10" t="inlineStr">
        <is>
          <t>14
15</t>
        </is>
      </c>
      <c r="Q12" s="6" t="inlineStr">
        <is>
          <t>Action</t>
        </is>
      </c>
      <c r="R12" s="5" t="inlineStr">
        <is>
          <t>R1</t>
        </is>
      </c>
      <c r="S12" s="5" t="inlineStr">
        <is>
          <t>R2</t>
        </is>
      </c>
      <c r="T12" s="5" t="inlineStr">
        <is>
          <t>R3</t>
        </is>
      </c>
      <c r="U12" s="5" t="inlineStr">
        <is>
          <t>R4</t>
        </is>
      </c>
    </row>
    <row r="13" ht="74" customHeight="1">
      <c r="A13" s="7" t="inlineStr">
        <is>
          <t>TC-ALERT-05</t>
        </is>
      </c>
      <c r="B13" s="7" t="inlineStr">
        <is>
          <t>Bảo mật dữ liệu y tế trong nội dung push FCM (CD6, QD-26)</t>
        </is>
      </c>
      <c r="C13" s="8" t="inlineStr">
        <is>
          <t>Alert được tạo cho người thân về bệnh nhân Nguyễn Văn A.</t>
        </is>
      </c>
      <c r="D13" s="8" t="inlineStr">
        <is>
          <t>1. Xây dựng payload FCM qua build_fcm_payload
2. Kiểm tra các trường title, body, data
3. Kiểm tra sự xuất hiện của các từ khóa nhạy cảm (tên thuốc, hàm lượng, giờ uống)</t>
        </is>
      </c>
      <c r="E13" s="8" t="inlineStr">
        <is>
          <t>notification_id=105, patient_name='Nguyễn Văn A'</t>
        </is>
      </c>
      <c r="F13" s="8" t="inlineStr">
        <is>
          <t>Body chỉ chứa thông báo nhắc nhở chung kèm tên bệnh nhân. Tuyệt đối không chứa tên thuốc, hoạt chất, hàm lượng (viên, mg, ml) hay giờ uống cụ thể.</t>
        </is>
      </c>
      <c r="G13" s="8" t="inlineStr">
        <is>
          <t>Payload FCM tuân thủ CD6: không chứa bất kỳ từ khóa thuốc hay giờ uống nhạy cảm nào.</t>
        </is>
      </c>
      <c r="H13" s="7" t="inlineStr">
        <is>
          <t>Pass</t>
        </is>
      </c>
      <c r="I13" s="8" t="inlineStr">
        <is>
          <t>AC5 · test_alert_payload_hides_medication_details_and_names_patient</t>
        </is>
      </c>
      <c r="Q13" s="10" t="inlineStr">
        <is>
          <t>Không tạo notification, không gửi push</t>
        </is>
      </c>
      <c r="R13" s="11" t="inlineStr">
        <is>
          <t>X</t>
        </is>
      </c>
      <c r="S13" s="11" t="inlineStr">
        <is>
          <t>X</t>
        </is>
      </c>
      <c r="T13" s="11" t="inlineStr"/>
      <c r="U13" s="11" t="inlineStr"/>
    </row>
    <row r="14" ht="90.5" customHeight="1">
      <c r="A14" s="7" t="inlineStr">
        <is>
          <t>TC-ALERT-06</t>
        </is>
      </c>
      <c r="B14" s="7" t="inlineStr">
        <is>
          <t>Lấy danh sách thông báo qua GET /notifications (đường thành công và lọc is_read)</t>
        </is>
      </c>
      <c r="C14" s="8" t="inlineStr">
        <is>
          <t>Người dùng F đã đăng nhập, có 2 thông báo (1 chưa đọc, 1 đã đọc).</t>
        </is>
      </c>
      <c r="D14" s="8" t="inlineStr">
        <is>
          <t>1. F gửi GET /notifications
2. Kiểm tra HTTP status, total, unread_count, danh sách items
3. F gửi GET /notifications?is_read=false
4. Kiểm tra danh sách trả về</t>
        </is>
      </c>
      <c r="E14" s="8" t="inlineStr">
        <is>
          <t>limit=20, offset=0, is_read=false</t>
        </is>
      </c>
      <c r="F14" s="8" t="inlineStr">
        <is>
          <t>HTTP 200, total=2, unread_count=1. Khi lọc is_read=false, chỉ trả về đúng 1 thông báo chưa đọc.</t>
        </is>
      </c>
      <c r="G14" s="8" t="inlineStr">
        <is>
          <t>HTTP 200, trả về đúng số lượng và lọc chính xác theo trạng thái đã đọc.</t>
        </is>
      </c>
      <c r="H14" s="7" t="inlineStr">
        <is>
          <t>Pass</t>
        </is>
      </c>
      <c r="I14" s="8" t="inlineStr">
        <is>
          <t>AC6 · EP (3, 4) · test_get_notifications_returns_user_inbox_with_counts</t>
        </is>
      </c>
      <c r="Q14" s="10" t="inlineStr">
        <is>
          <t>Tạo dòng notification, không gửi push (DM3/iOS)</t>
        </is>
      </c>
      <c r="R14" s="11" t="inlineStr"/>
      <c r="S14" s="11" t="inlineStr"/>
      <c r="T14" s="11" t="inlineStr">
        <is>
          <t>X</t>
        </is>
      </c>
      <c r="U14" s="11" t="inlineStr"/>
    </row>
    <row r="15" ht="90.5" customHeight="1">
      <c r="A15" s="7" t="inlineStr">
        <is>
          <t>TC-ALERT-07</t>
        </is>
      </c>
      <c r="B15" s="7" t="inlineStr">
        <is>
          <t>Cập nhật trạng thái đã đọc qua PATCH /notifications/{id}</t>
        </is>
      </c>
      <c r="C15" s="8" t="inlineStr">
        <is>
          <t>Thông báo id=1 của người dùng F có is_read=false.</t>
        </is>
      </c>
      <c r="D15" s="8" t="inlineStr">
        <is>
          <t>1. F gửi PATCH /notifications/1 với body {'is_read': true}
2. Kiểm tra HTTP status và body trả về
3. Gửi lại GET /notifications?is_read=false để kiểm tra số lượng unread</t>
        </is>
      </c>
      <c r="E15" s="8" t="inlineStr">
        <is>
          <t>id=1, is_read=true</t>
        </is>
      </c>
      <c r="F15" s="8" t="inlineStr">
        <is>
          <t>HTTP 200, is_read chuyển thành true, số lượng unread của F giảm tương ứng.</t>
        </is>
      </c>
      <c r="G15" s="8" t="inlineStr">
        <is>
          <t>HTTP 200, is_read=true, số unread giảm về 0.</t>
        </is>
      </c>
      <c r="H15" s="7" t="inlineStr">
        <is>
          <t>Pass</t>
        </is>
      </c>
      <c r="I15" s="8" t="inlineStr">
        <is>
          <t>AC7 · test_patch_notification_marks_as_read</t>
        </is>
      </c>
      <c r="Q15" s="10" t="inlineStr">
        <is>
          <t>Tạo dòng notification và gửi push FCM</t>
        </is>
      </c>
      <c r="R15" s="11" t="inlineStr"/>
      <c r="S15" s="11" t="inlineStr"/>
      <c r="T15" s="11" t="inlineStr"/>
      <c r="U15" s="11" t="inlineStr">
        <is>
          <t>X</t>
        </is>
      </c>
    </row>
    <row r="16" ht="74" customHeight="1">
      <c r="A16" s="7" t="inlineStr">
        <is>
          <t>TC-ALERT-08</t>
        </is>
      </c>
      <c r="B16" s="7" t="inlineStr">
        <is>
          <t>Từ chối cập nhật thông báo của người khác hoặc không tồn tại (404 Not Found)</t>
        </is>
      </c>
      <c r="C16" s="8" t="inlineStr">
        <is>
          <t>Thông báo id=3 thuộc sở hữu của người dùng khác (hoặc id=999 không tồn tại).</t>
        </is>
      </c>
      <c r="D16" s="8" t="inlineStr">
        <is>
          <t>1. Người dùng F gửi PATCH /notifications/3 với body {'is_read': true}
2. Người dùng F gửi PATCH /notifications/999 với body {'is_read': true}</t>
        </is>
      </c>
      <c r="E16" s="8" t="inlineStr">
        <is>
          <t>id=3 (của người khác), id=999 (không tồn tại)</t>
        </is>
      </c>
      <c r="F16" s="8" t="inlineStr">
        <is>
          <t>HTTP 404 với detail='notification_not_found'. Không có dữ liệu nào bị thay đổi.</t>
        </is>
      </c>
      <c r="G16" s="8" t="inlineStr">
        <is>
          <t>HTTP 404 detail='notification_not_found'.</t>
        </is>
      </c>
      <c r="H16" s="7" t="inlineStr">
        <is>
          <t>Pass</t>
        </is>
      </c>
      <c r="I16" s="8" t="inlineStr">
        <is>
          <t>AC7 · test_patch_notification_returns_404_for_other_users_notification</t>
        </is>
      </c>
    </row>
    <row r="17" ht="74" customHeight="1">
      <c r="A17" s="7" t="inlineStr">
        <is>
          <t>TC-ALERT-09</t>
        </is>
      </c>
      <c r="B17" s="7" t="inlineStr">
        <is>
          <t>Kiểm tra xác thực: Chặn truy cập không có Bearer token (401 Unauthorized)</t>
        </is>
      </c>
      <c r="C17" s="8" t="inlineStr">
        <is>
          <t>Client chưa gửi header Authorization hoặc token không hợp lệ.</t>
        </is>
      </c>
      <c r="D17" s="8" t="inlineStr">
        <is>
          <t>1. Gửi GET /notifications không có header Authorization
2. Gửi PATCH /notifications/1 không có header Authorization</t>
        </is>
      </c>
      <c r="E17" s="8" t="inlineStr">
        <is>
          <t>Header Authorization: (blank)</t>
        </is>
      </c>
      <c r="F17" s="8" t="inlineStr">
        <is>
          <t>HTTP 401 Unauthorized cho cả hai endpoint.</t>
        </is>
      </c>
      <c r="G17" s="8" t="inlineStr">
        <is>
          <t>HTTP 401 Unauthorized.</t>
        </is>
      </c>
      <c r="H17" s="7" t="inlineStr">
        <is>
          <t>Pass</t>
        </is>
      </c>
      <c r="I17" s="8" t="inlineStr">
        <is>
          <t>AC6, AC7 · test_notifications_endpoints_require_authentication</t>
        </is>
      </c>
    </row>
    <row r="18" ht="107" customHeight="1">
      <c r="A18" s="7" t="inlineStr">
        <is>
          <t>TC-ALERT-10</t>
        </is>
      </c>
      <c r="B18" s="7" t="inlineStr">
        <is>
          <t>Kiểm tra tích hợp toàn trình luồng dispatch và lấy thông báo trên Postgres thật</t>
        </is>
      </c>
      <c r="C18" s="8" t="inlineStr">
        <is>
          <t>Môi trường CSDL Postgres cục bộ đang chạy qua Supabase local.</t>
        </is>
      </c>
      <c r="D18" s="8" t="inlineStr">
        <is>
          <t>1. Tạo cặp người bệnh - người thân trên DB thật
2. Tạo bản ghi cảnh báo bỏ lỡ vào notifications bằng SqlNotifications
3. Người thân đăng nhập và gọi GET /notifications</t>
        </is>
      </c>
      <c r="E18" s="8" t="inlineStr">
        <is>
          <t>Dữ liệu sinh ngẫu nhiên trên schema v11</t>
        </is>
      </c>
      <c r="F18" s="8" t="inlineStr">
        <is>
          <t>Lấy được thông báo của bệnh nhân, khớp nội dung và thời gian.</t>
        </is>
      </c>
      <c r="G18" s="8" t="inlineStr"/>
      <c r="H18" s="7" t="inlineStr">
        <is>
          <t>Pending</t>
        </is>
      </c>
      <c r="I18" s="8" t="inlineStr">
        <is>
          <t>AC1, AC2, AC6 (QA.11) · test_integration_missed_dose_alert_dispatch_and_inbox_fetch__AC1_AC2_AC6 · Cần môi trường Supabase local</t>
        </is>
      </c>
    </row>
    <row r="19" ht="74" customHeight="1">
      <c r="A19" s="7" t="inlineStr">
        <is>
          <t>TC-ALERT-11</t>
        </is>
      </c>
      <c r="B19" s="7" t="inlineStr">
        <is>
          <t>Kiểm tra tích hợp rút quyền người thân có hiệu lực ngay ở request kế tiếp (QA.02)</t>
        </is>
      </c>
      <c r="C19" s="8" t="inlineStr">
        <is>
          <t>Môi trường CSDL Postgres cục bộ đang chạy qua Supabase local.</t>
        </is>
      </c>
      <c r="D19" s="8" t="inlineStr">
        <is>
          <t>1. Tạo liên kết người thân với sharing_enabled=false trên DB thật
2. Gọi access.authorized_caregivers</t>
        </is>
      </c>
      <c r="E19" s="8" t="inlineStr">
        <is>
          <t>sharing_enabled=false trên caregiver_links</t>
        </is>
      </c>
      <c r="F19" s="8" t="inlineStr">
        <is>
          <t>caregiver_id không xuất hiện trong danh sách người nhận cảnh báo.</t>
        </is>
      </c>
      <c r="G19" s="8" t="inlineStr"/>
      <c r="H19" s="7" t="inlineStr">
        <is>
          <t>Pending</t>
        </is>
      </c>
      <c r="I19" s="8" t="inlineStr">
        <is>
          <t>AC4 (QA.02) · test_integration_caregiver_revocation_stops_alert_immediately__AC4 · Cần môi trường Supabase local</t>
        </is>
      </c>
    </row>
    <row r="20"/>
    <row r="21"/>
    <row r="22">
      <c r="G22" s="12" t="inlineStr">
        <is>
          <t>Pass</t>
        </is>
      </c>
      <c r="H22" s="13">
        <f>COUNTIF(H9:H19,"Pass")</f>
        <v/>
      </c>
    </row>
    <row r="23">
      <c r="G23" s="12" t="inlineStr">
        <is>
          <t>Fail</t>
        </is>
      </c>
      <c r="H23" s="13">
        <f>COUNTIF(H9:H19,"Fail")</f>
        <v/>
      </c>
    </row>
    <row r="24">
      <c r="G24" s="12" t="inlineStr">
        <is>
          <t>Pending</t>
        </is>
      </c>
      <c r="H24" s="13">
        <f>COUNTIF(H9:H19,"Pending")</f>
        <v/>
      </c>
    </row>
    <row r="25">
      <c r="G25" s="12" t="inlineStr">
        <is>
          <t>Total</t>
        </is>
      </c>
      <c r="H25" s="13">
        <f>SUM(H22:H24)</f>
        <v/>
      </c>
    </row>
  </sheetData>
  <autoFilter ref="A8:I19"/>
  <conditionalFormatting sqref="H9:H19">
    <cfRule type="cellIs" priority="1" operator="equal" dxfId="0">
      <formula>"Fail"</formula>
    </cfRule>
  </conditionalFormatting>
  <dataValidations count="1">
    <dataValidation sqref="H9:H19"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Ngọc Việt</t>
        </is>
      </c>
      <c r="D2" s="15" t="inlineStr">
        <is>
          <t>Total</t>
        </is>
      </c>
    </row>
    <row r="3">
      <c r="A3" s="15" t="inlineStr">
        <is>
          <t>Executed</t>
        </is>
      </c>
      <c r="B3" s="9" t="inlineStr">
        <is>
          <t>Passed</t>
        </is>
      </c>
      <c r="C3" s="11">
        <f>'Alert dispatch'!$H$22</f>
        <v/>
      </c>
      <c r="D3" s="15">
        <f>SUM(C3:C3)</f>
        <v/>
      </c>
    </row>
    <row r="4">
      <c r="A4" s="16" t="n"/>
      <c r="B4" s="9" t="inlineStr">
        <is>
          <t>Failed</t>
        </is>
      </c>
      <c r="C4" s="11">
        <f>'Alert dispatch'!$H$23</f>
        <v/>
      </c>
      <c r="D4" s="15">
        <f>SUM(C4:C4)</f>
        <v/>
      </c>
    </row>
    <row r="5">
      <c r="A5" s="17" t="n"/>
      <c r="B5" s="9" t="inlineStr">
        <is>
          <t>(Total) Test executed (Passed + Failed)</t>
        </is>
      </c>
      <c r="C5" s="11">
        <f>C3+C4</f>
        <v/>
      </c>
      <c r="D5" s="15">
        <f>SUM(C5:C5)</f>
        <v/>
      </c>
    </row>
    <row r="6">
      <c r="A6" s="15" t="inlineStr">
        <is>
          <t>Pending</t>
        </is>
      </c>
      <c r="B6" s="10" t="inlineStr"/>
      <c r="C6" s="11">
        <f>'Alert dispatch'!$H$24</f>
        <v/>
      </c>
      <c r="D6" s="15">
        <f>SUM(C6:C6)</f>
        <v/>
      </c>
    </row>
    <row r="7">
      <c r="A7" s="15" t="inlineStr">
        <is>
          <t>(Sub-total) Test Planned</t>
        </is>
      </c>
      <c r="B7" s="10" t="inlineStr"/>
      <c r="C7" s="11">
        <f>C5+C6</f>
        <v/>
      </c>
      <c r="D7" s="15">
        <f>SUM(C7:C7)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90.5" customHeight="1">
      <c r="A11" s="11" t="inlineStr">
        <is>
          <t>Điều phối cảnh báo người thân</t>
        </is>
      </c>
      <c r="B11" s="10" t="inlineStr">
        <is>
          <t>Điều phối cảnh báo bỏ lỡ liều cho người thân: gửi FCM trên Android, lưu hộp thư cho iOS (không có APNs), và API Notification Inbox.</t>
        </is>
      </c>
      <c r="C11" s="11" t="inlineStr">
        <is>
          <t>Alert dispatch</t>
        </is>
      </c>
      <c r="D11" s="18">
        <f>IFERROR(('Alert dispatch'!$H$25-'Alert dispatch'!$H$24)/'Alert dispatch'!$H$25,0)</f>
        <v/>
      </c>
      <c r="E11" s="18">
        <f>IFERROR('Alert dispatch'!$H$22/'Alert dispatch'!$H$25,0)</f>
        <v/>
      </c>
      <c r="F11" s="18">
        <f>IFERROR('Alert dispatch'!$H$23/'Alert dispatch'!$H$25,0)</f>
        <v/>
      </c>
      <c r="G11" s="11" t="inlineStr">
        <is>
          <t>High</t>
        </is>
      </c>
      <c r="H11" s="10" t="inlineStr">
        <is>
          <t>Đã hoàn thành và kiểm thử tự động toàn bộ logic điều phối cảnh báo và API Notification Inbox. Các test tích hợp trên DB thật để trạng thái Pending chờ môi trường local Supabase.</t>
        </is>
      </c>
      <c r="I11" s="11" t="inlineStr">
        <is>
          <t>Ngọc Việt</t>
        </is>
      </c>
    </row>
    <row r="34">
      <c r="A34" s="19" t="inlineStr">
        <is>
          <t>Bug Report</t>
        </is>
      </c>
    </row>
    <row r="35">
      <c r="A35" s="20" t="inlineStr">
        <is>
          <t>Bug ID</t>
        </is>
      </c>
      <c r="B35" s="20" t="inlineStr">
        <is>
          <t>Description</t>
        </is>
      </c>
      <c r="C35" s="20" t="inlineStr">
        <is>
          <t>Steps to Reproduce</t>
        </is>
      </c>
      <c r="D35" s="20" t="inlineStr">
        <is>
          <t>Input Data</t>
        </is>
      </c>
      <c r="E35" s="20" t="inlineStr">
        <is>
          <t>Expected Result</t>
        </is>
      </c>
      <c r="F35" s="20" t="inlineStr">
        <is>
          <t>Actual Result</t>
        </is>
      </c>
      <c r="G35" s="20" t="inlineStr">
        <is>
          <t>Severity</t>
        </is>
      </c>
      <c r="H35" s="20" t="inlineStr">
        <is>
          <t>Name of Tester</t>
        </is>
      </c>
      <c r="I35" s="20" t="inlineStr">
        <is>
          <t>Logs</t>
        </is>
      </c>
    </row>
  </sheetData>
  <mergeCells count="2">
    <mergeCell ref="A1:G1"/>
    <mergeCell ref="A3:A5"/>
  </mergeCells>
  <conditionalFormatting sqref="F11">
    <cfRule type="cellIs" priority="1" operator="greaterThan" dxfId="0">
      <formula>0.2</formula>
    </cfRule>
  </conditionalFormatting>
  <conditionalFormatting sqref="G11">
    <cfRule type="expression" priority="2" dxfId="0">
      <formula>OR(G11="Critical",G11="High")</formula>
    </cfRule>
  </conditionalFormatting>
  <conditionalFormatting sqref="G36">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 showDropDown="0" showInputMessage="0" showErrorMessage="0" allowBlank="1" type="list">
      <formula1>"Critical,High,Medium,Low"</formula1>
    </dataValidation>
    <dataValidation sqref="G36"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2026-09-21T13:11:58Z</dcterms:created>
  <dcterms:modified xsi:type="dcterms:W3CDTF">2026-10-13T15:04:24Z</dcterms:modified>
  <cp:lastModifiedBy>Người dùng Khách</cp:lastModifiedBy>
</cp:coreProperties>
</file>