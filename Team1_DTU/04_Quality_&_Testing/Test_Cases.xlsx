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port" sheetId="20" state="visible" r:id="rId2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sát'!$A$8:$I$44</definedName>
    <definedName name="_xlnm._FilterDatabase" localSheetId="17" hidden="1">'Cảnh báo người thân'!$A$8:$I$81</definedName>
    <definedName name="_xlnm._FilterDatabase" localSheetId="18" hidden="1">'FCM token Android'!$A$8:$I$21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'Report'!$A$11:$A$29</f>
            </numRef>
          </cat>
          <val>
            <numRef>
              <f>'Report'!$D$11:$D$29</f>
            </numRef>
          </val>
        </ser>
        <ser>
          <idx val="1"/>
          <order val="1"/>
          <tx>
            <strRef>
              <f>'Report'!E10</f>
            </strRef>
          </tx>
          <spPr>
            <a:ln>
              <a:prstDash val="solid"/>
            </a:ln>
          </spPr>
          <cat>
            <numRef>
              <f>'Report'!$A$11:$A$29</f>
            </numRef>
          </cat>
          <val>
            <numRef>
              <f>'Report'!$E$11:$E$29</f>
            </numRef>
          </val>
        </ser>
        <ser>
          <idx val="2"/>
          <order val="2"/>
          <tx>
            <strRef>
              <f>'Report'!F10</f>
            </strRef>
          </tx>
          <spPr>
            <a:ln>
              <a:prstDash val="solid"/>
            </a:ln>
          </spPr>
          <cat>
            <numRef>
              <f>'Report'!$A$11:$A$29</f>
            </numRef>
          </cat>
          <val>
            <numRef>
              <f>'Report'!$F$11:$F$29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'Report'!$F$3:$F$4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31</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DrugTime Team</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dữ liệu và thao tác gỡ liên kết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8
9
10
11
12</t>
        </is>
      </c>
      <c r="Q9" s="10" t="inlineStr">
        <is>
          <t>Người gọi là Patient sở hữu liên kết?</t>
        </is>
      </c>
      <c r="R9" s="11" t="inlineStr">
        <is>
          <t>Yes</t>
        </is>
      </c>
      <c r="S9" s="11" t="inlineStr">
        <is>
          <t>Yes</t>
        </is>
      </c>
      <c r="T9" s="11" t="inlineStr">
        <is>
          <t>Yes</t>
        </is>
      </c>
      <c r="U9" s="11" t="inlineStr">
        <is>
          <t>No</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13
14
15
16
17
18
19</t>
        </is>
      </c>
      <c r="Q10" s="10" t="inlineStr">
        <is>
          <t>Trạng thái liên kết trước khi gỡ?</t>
        </is>
      </c>
      <c r="R10" s="11" t="inlineStr">
        <is>
          <t>active</t>
        </is>
      </c>
      <c r="S10" s="11" t="inlineStr">
        <is>
          <t>active</t>
        </is>
      </c>
      <c r="T10" s="11" t="inlineStr">
        <is>
          <t>revoked</t>
        </is>
      </c>
      <c r="U10" s="11" t="inlineStr">
        <is>
          <t>active</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K11" s="9" t="inlineStr">
        <is>
          <t>action_dialog (thao tác hộp thoại gỡ liên kết)</t>
        </is>
      </c>
      <c r="L11" s="10" t="inlineStr">
        <is>
          <t>Bấm "Gỡ liên kết" (xác nhận gọi API)
Bấm "Hủy" (đóng hộp thoại)</t>
        </is>
      </c>
      <c r="M11" s="10" t="inlineStr">
        <is>
          <t>4
5</t>
        </is>
      </c>
      <c r="N11" s="10" t="inlineStr">
        <is>
          <t>Bấm ngoài dialog khi đang loading
Gửi request trùng khi đang busy</t>
        </is>
      </c>
      <c r="O11" s="10" t="inlineStr">
        <is>
          <t>20
21</t>
        </is>
      </c>
      <c r="Q11" s="10" t="inlineStr">
        <is>
          <t>Xác nhận trên hộp thoại gỡ liên kết?</t>
        </is>
      </c>
      <c r="R11" s="11" t="inlineStr">
        <is>
          <t>Yes (Gỡ)</t>
        </is>
      </c>
      <c r="S11" s="11" t="inlineStr">
        <is>
          <t>No (Hủy)</t>
        </is>
      </c>
      <c r="T11" s="11" t="inlineStr">
        <is>
          <t>Yes (Gỡ)</t>
        </is>
      </c>
      <c r="U11" s="11" t="inlineStr">
        <is>
          <t>-</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K12" s="9" t="inlineStr">
        <is>
          <t>revocation_event (nguồn phát hiện thu hồi quyền ở Family Member)</t>
        </is>
      </c>
      <c r="L12" s="10" t="inlineStr">
        <is>
          <t>HTTP 403 Forbidden khi truy cập dữ liệu
Đồng bộ danh sách liên kết mới thiếu Patient</t>
        </is>
      </c>
      <c r="M12" s="10" t="inlineStr">
        <is>
          <t>6
7</t>
        </is>
      </c>
      <c r="N12" s="10" t="inlineStr">
        <is>
          <t>Lỗi mạng tạm thời hoặc 5xx
Token hết hạn 401</t>
        </is>
      </c>
      <c r="O12" s="10" t="inlineStr">
        <is>
          <t>22
23</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DELETE /family/links/{id} -&gt; 204 No Content, gỡ khỏi UI, SnackBar</t>
        </is>
      </c>
      <c r="R13" s="11" t="inlineStr">
        <is>
          <t>X</t>
        </is>
      </c>
      <c r="S13" s="11" t="inlineStr"/>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Đóng dialog, giữ nguyên liên kết, không gọi API</t>
        </is>
      </c>
      <c r="R14" s="11" t="inlineStr"/>
      <c r="S14" s="11" t="inlineStr">
        <is>
          <t>X</t>
        </is>
      </c>
      <c r="T14" s="11" t="inlineStr"/>
      <c r="U14" s="11" t="inlineStr"/>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c r="Q15" s="10" t="inlineStr">
        <is>
          <t>HTTP 403 Forbidden khong_co_quyen</t>
        </is>
      </c>
      <c r="R15" s="11" t="inlineStr"/>
      <c r="S15" s="11" t="inlineStr"/>
      <c r="T15" s="11" t="inlineStr"/>
      <c r="U15" s="11" t="inlineStr">
        <is>
          <t>X</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c r="Q18" s="4" t="inlineStr">
        <is>
          <t>Xử lý cache &amp; state khi Family Member bị thu hồi quyền truy cập</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c r="Q19" s="6" t="inlineStr">
        <is>
          <t>Rule</t>
        </is>
      </c>
      <c r="R19" s="5" t="inlineStr">
        <is>
          <t>R1</t>
        </is>
      </c>
      <c r="S19" s="5" t="inlineStr">
        <is>
          <t>R2</t>
        </is>
      </c>
      <c r="T19" s="5" t="inlineStr">
        <is>
          <t>R3</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c r="Q20" s="10" t="inlineStr">
        <is>
          <t>Nhận HTTP 403 Forbidden do bị thu hồi liên kết?</t>
        </is>
      </c>
      <c r="R20" s="11" t="inlineStr">
        <is>
          <t>Yes</t>
        </is>
      </c>
      <c r="S20" s="11" t="inlineStr">
        <is>
          <t>No</t>
        </is>
      </c>
      <c r="T20" s="11" t="inlineStr">
        <is>
          <t>Yes</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c r="Q21" s="10" t="inlineStr">
        <is>
          <t>Dữ liệu/cache thuộc phạm vi Patient bị thu hồi?</t>
        </is>
      </c>
      <c r="R21" s="11" t="inlineStr">
        <is>
          <t>Yes</t>
        </is>
      </c>
      <c r="S21" s="11" t="inlineStr">
        <is>
          <t>Yes</t>
        </is>
      </c>
      <c r="T21" s="11" t="inlineStr">
        <is>
          <t>No (Patient khác)</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c r="Q22" s="6" t="inlineStr">
        <is>
          <t>Action</t>
        </is>
      </c>
      <c r="R22" s="5" t="inlineStr">
        <is>
          <t>R1</t>
        </is>
      </c>
      <c r="S22" s="5" t="inlineStr">
        <is>
          <t>R2</t>
        </is>
      </c>
      <c r="T22" s="5" t="inlineStr">
        <is>
          <t>R3</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c r="Q23" s="10" t="inlineStr">
        <is>
          <t>Xóa Patient khỏi state &amp; xóa SQLite cache &amp; xóa RAM history &amp; dọn alert</t>
        </is>
      </c>
      <c r="R23" s="11" t="inlineStr">
        <is>
          <t>X</t>
        </is>
      </c>
      <c r="S23" s="11" t="inlineStr"/>
      <c r="T23" s="11" t="inlineStr"/>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c r="Q24" s="10" t="inlineStr">
        <is>
          <t>Giữ nguyên dữ liệu &amp; cache, không xóa nhầm</t>
        </is>
      </c>
      <c r="R24" s="11" t="inlineStr"/>
      <c r="S24" s="11" t="inlineStr">
        <is>
          <t>X</t>
        </is>
      </c>
      <c r="T24" s="11" t="inlineStr">
        <is>
          <t>X</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123.5" customHeight="1">
      <c r="A32" s="7" t="inlineStr">
        <is>
          <t>TC-CAREGIVER-24</t>
        </is>
      </c>
      <c r="B32" s="7" t="inlineStr">
        <is>
          <t>Gỡ liên kết trên app với hộp thoại xác nhận</t>
        </is>
      </c>
      <c r="C32" s="8" t="inlineStr">
        <is>
          <t>Có người giám sát trong danh sách liên kết active (ví dụ Bác An)</t>
        </is>
      </c>
      <c r="D32" s="8" t="inlineStr">
        <is>
          <t>1. Mở màn Người thân đã liên kết (CaregiversScreen)
2. Bấm nút Gỡ liên kết tại mục Bác An
3. Tại hộp thoại Gỡ liên kết với người thân?, bấm Hủy
4. Bấm lại Gỡ liên kết và chọn Gỡ liên kết (xác nhận)</t>
        </is>
      </c>
      <c r="E32" s="8" t="inlineStr">
        <is>
          <t>linkId=1, name='Bác An'</t>
        </is>
      </c>
      <c r="F32" s="8" t="inlineStr">
        <is>
          <t>Hộp thoại nêu rõ người thân mất quyền xem ngay; chọn Hủy thì đóng hộp thoại không gọi API; xác nhận thì gọi DELETE /family/links/{id}, nút chuyển loading, gỡ mục khỏi danh sách và hiện SnackBar 'Đã gỡ liên kết với Bác An.'</t>
        </is>
      </c>
      <c r="G32" s="8" t="inlineStr">
        <is>
          <t>Đúng như mong đợi (hộp thoại chuẩn, nút Hủy đóng dialog, xác nhận gọi DELETE 204 và hiện SnackBar)</t>
        </is>
      </c>
      <c r="H32" s="7" t="inlineStr">
        <is>
          <t>Pass</t>
        </is>
      </c>
      <c r="I32" s="8" t="inlineStr">
        <is>
          <t>AC1, AC2, AC3 · caregivers_screen_test.dart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ht="90.5" customHeight="1">
      <c r="A37" s="7" t="inlineStr">
        <is>
          <t>TC-CAREGIVER-29</t>
        </is>
      </c>
      <c r="B37" s="7" t="inlineStr">
        <is>
          <t>Màn hình Người thân đã liên kết hiển thị danh sách và nút Gỡ liên kết cho từng người; bấm Hủy không đổi dữ liệu</t>
        </is>
      </c>
      <c r="C37" s="8" t="inlineStr">
        <is>
          <t>Patient đã đăng nhập, có ít nhất một người thân liên kết hợp lệ</t>
        </is>
      </c>
      <c r="D37" s="8" t="inlineStr">
        <is>
          <t>1. Mở màn hình Hồ sơ &gt; Người thân đã liên kết
2. Kiểm tra danh sách hiển thị và sự xuất hiện của nút Gỡ liên kết
3. Bấm Gỡ liên kết, sau đó bấm Hủy trên dialog xác nhận</t>
        </is>
      </c>
      <c r="E37" s="8" t="inlineStr">
        <is>
          <t>caregiver: Bác An (linkId=1)</t>
        </is>
      </c>
      <c r="F37" s="8" t="inlineStr">
        <is>
          <t>Hiển thị đúng tên, ngày liên kết; mỗi item có nút Gỡ liên kết; khi bấm Hủy, dialog đóng lại, không gọi API DELETE và giữ nguyên danh sách.</t>
        </is>
      </c>
      <c r="G37" s="8" t="inlineStr">
        <is>
          <t>Đúng như mong đợi (CaregiversScreen render đủ thông tin, dialog đóng khi hủy, không gọi API)</t>
        </is>
      </c>
      <c r="H37" s="7" t="inlineStr">
        <is>
          <t>Pass</t>
        </is>
      </c>
      <c r="I37" s="8" t="inlineStr">
        <is>
          <t>AC1, AC2 · caregivers_screen_test.dart · evidence/implement-final-frontend.log</t>
        </is>
      </c>
    </row>
    <row r="38" ht="90.5" customHeight="1">
      <c r="A38" s="7" t="inlineStr">
        <is>
          <t>TC-CAREGIVER-30</t>
        </is>
      </c>
      <c r="B38" s="7" t="inlineStr">
        <is>
          <t>Xác nhận gỡ liên kết gọi đúng API DELETE /family/links/{id} nhận 204 No Content và cập nhật UI</t>
        </is>
      </c>
      <c r="C38" s="8" t="inlineStr">
        <is>
          <t>Patient đang mở dialog xác nhận gỡ liên kết với Bác An</t>
        </is>
      </c>
      <c r="D38" s="8" t="inlineStr">
        <is>
          <t>1. Bấm nút Gỡ liên kết trên dialog xác nhận
2. Theo dõi request gửi đi từ RemoteCaregiverRepository
3. Kiểm tra phản hồi HTTP 204 No Content và cập nhật state/UI</t>
        </is>
      </c>
      <c r="E38" s="8" t="inlineStr">
        <is>
          <t>linkId=1, method=DELETE, url=/family/links/1</t>
        </is>
      </c>
      <c r="F38" s="8" t="inlineStr">
        <is>
          <t>Gửi đúng DELETE /family/links/1 (không body), nhận 204 No Content; mục Bác An biến mất khỏi danh sách và hiển thị SnackBar: Đã gỡ liên kết với Bác An.</t>
        </is>
      </c>
      <c r="G38" s="8" t="inlineStr">
        <is>
          <t>Đúng như mong đợi (gọi DELETE 204, item được gỡ và SnackBar hiển thị chuẩn)</t>
        </is>
      </c>
      <c r="H38" s="7" t="inlineStr">
        <is>
          <t>Pass</t>
        </is>
      </c>
      <c r="I38" s="8" t="inlineStr">
        <is>
          <t>AC3 · remote_caregiver_repository_test.dart, caregivers_screen_test.dart · evidence/implement-final-frontend.log</t>
        </is>
      </c>
    </row>
    <row r="39" ht="74" customHeight="1">
      <c r="A39" s="7" t="inlineStr">
        <is>
          <t>TC-CAREGIVER-31</t>
        </is>
      </c>
      <c r="B39" s="7" t="inlineStr">
        <is>
          <t>Xử lý khi API gỡ liên kết thất bại (lỗi mạng hoặc server)</t>
        </is>
      </c>
      <c r="C39" s="8" t="inlineStr">
        <is>
          <t>Patient xác nhận gỡ liên kết nhưng backend trả lỗi (ví dụ lỗi mạng hoặc 500)</t>
        </is>
      </c>
      <c r="D39" s="8" t="inlineStr">
        <is>
          <t>1. Bấm nút Gỡ liên kết trên dialog xác nhận
2. Backend giả lập ném CaregiverFailureKind.network
3. Quan sát giao diện và danh sách hiển thị</t>
        </is>
      </c>
      <c r="E39" s="8" t="inlineStr">
        <is>
          <t>linkId=1, failure=network</t>
        </is>
      </c>
      <c r="F39" s="8" t="inlineStr">
        <is>
          <t>Giữ nguyên danh sách người thân, không xóa nhầm dữ liệu; hiển thị thông báo lỗi phù hợp trên SnackBar và cho phép người dùng thử lại.</t>
        </is>
      </c>
      <c r="G39" s="8" t="inlineStr">
        <is>
          <t>Đúng như mong đợi (danh sách giữ nguyên, SnackBar báo lỗi và cho phép thử lại)</t>
        </is>
      </c>
      <c r="H39" s="7" t="inlineStr">
        <is>
          <t>Pass</t>
        </is>
      </c>
      <c r="I39" s="8" t="inlineStr">
        <is>
          <t>AC4 · caregivers_screen_test.dart · evidence/implement-final-frontend.log</t>
        </is>
      </c>
    </row>
    <row r="40" ht="90.5" customHeight="1">
      <c r="A40" s="7" t="inlineStr">
        <is>
          <t>TC-CAREGIVER-32</t>
        </is>
      </c>
      <c r="B40" s="7" t="inlineStr">
        <is>
          <t>Khóa nút và hiển thị loading spinner chống bấm trùng; tự động tải lại nếu link đã bị gỡ từ trước</t>
        </is>
      </c>
      <c r="C40" s="8" t="inlineStr">
        <is>
          <t>Patient bấm nút Gỡ liên kết</t>
        </is>
      </c>
      <c r="D40" s="8" t="inlineStr">
        <is>
          <t>1. Bấm xác nhận gỡ liên kết
2. Trong khi request đang pending, cố gắng bấm nút lần nữa
3. Kiểm tra trường hợp server trả 404 (đã bị gỡ từ trước)</t>
        </is>
      </c>
      <c r="E40" s="8" t="inlineStr">
        <is>
          <t>linkId=1</t>
        </is>
      </c>
      <c r="F40" s="8" t="inlineStr">
        <is>
          <t>Nút chuyển sang CircularProgressIndicator và bị khóa không cho bấm trùng; nếu server báo link không tồn tại (404), tự động gọi load() làm mới danh sách.</t>
        </is>
      </c>
      <c r="G40" s="8" t="inlineStr">
        <is>
          <t>Đúng như mong đợi (loading spinner hiển thị, nút bị khóa, tự reload khi gặp lỗi transition/not found)</t>
        </is>
      </c>
      <c r="H40" s="7" t="inlineStr">
        <is>
          <t>Pass</t>
        </is>
      </c>
      <c r="I40" s="8" t="inlineStr">
        <is>
          <t>AC5 · caregivers_screen_test.dart · evidence/implement-final-frontend.log</t>
        </is>
      </c>
    </row>
    <row r="41" ht="107" customHeight="1">
      <c r="A41" s="7" t="inlineStr">
        <is>
          <t>TC-CAREGIVER-33</t>
        </is>
      </c>
      <c r="B41" s="7" t="inlineStr">
        <is>
          <t>Family Member gặp HTTP 403 Forbidden khi truy cập dữ liệu Patient bị gỡ: xóa khỏi state và dọn dẹp cache</t>
        </is>
      </c>
      <c r="C41" s="8" t="inlineStr">
        <is>
          <t>Family Member đang liên kết với Patient A và Patient B; Patient A đã gỡ liên kết</t>
        </is>
      </c>
      <c r="D41" s="8" t="inlineStr">
        <is>
          <t>1. Family Member gửi request truy cập lịch sử tuân thủ hoặc cảnh báo của Patient A
2. API trả về HTTP 403 Forbidden (AdherenceFailureKind.denied)
3. LinkedPatientsController và AdherenceController xử lý phản hồi 403</t>
        </is>
      </c>
      <c r="E41" s="8" t="inlineStr">
        <is>
          <t>patientId=patient-A-uuid</t>
        </is>
      </c>
      <c r="F41" s="8" t="inlineStr">
        <is>
          <t>Patient A bị xóa khỏi danh sách linked patients; SQLite cache lịch uống của Patient A bị dọn sạch (clearPatientData); history trên RAM bị xóa (history=null); alerts của Patient A bị loại bỏ.</t>
        </is>
      </c>
      <c r="G41" s="8" t="inlineStr">
        <is>
          <t>Đúng như mong đợi (state loại bỏ patientA, clearPatientData được gọi, history reset null, alert bị dọn)</t>
        </is>
      </c>
      <c r="H41" s="7" t="inlineStr">
        <is>
          <t>Pass</t>
        </is>
      </c>
      <c r="I41" s="8" t="inlineStr">
        <is>
          <t>AC6 · linked_patients_controller_test.dart, adherence_controller_test.dart · evidence/implement-final-frontend.log</t>
        </is>
      </c>
    </row>
    <row r="42" ht="90.5" customHeight="1">
      <c r="A42" s="7" t="inlineStr">
        <is>
          <t>TC-CAREGIVER-34</t>
        </is>
      </c>
      <c r="B42" s="7" t="inlineStr">
        <is>
          <t>Family Member đồng bộ danh sách liên kết mới từ backend: xóa bỏ các Patient không còn trong danh sách</t>
        </is>
      </c>
      <c r="C42" s="8" t="inlineStr">
        <is>
          <t>Family Member có state cục bộ gồm Patient A, Patient B, Patient C</t>
        </is>
      </c>
      <c r="D42" s="8" t="inlineStr">
        <is>
          <t>1. Backend trả về danh sách liên kết mới chỉ gồm Patient B và Patient C
2. LinkedPatientsController.syncPatients được kích hoạt
3. Kiểm tra danh sách hiển thị và cache cục bộ</t>
        </is>
      </c>
      <c r="E42" s="8" t="inlineStr">
        <is>
          <t>newActivePatients=[Patient B, Patient C]</t>
        </is>
      </c>
      <c r="F42" s="8" t="inlineStr">
        <is>
          <t>Patient A tự động bị xóa khỏi state hiển thị; toàn bộ cache SQLite và alert của Patient A được dọn sạch; dữ liệu của Patient B và C giữ nguyên.</t>
        </is>
      </c>
      <c r="G42" s="8" t="inlineStr">
        <is>
          <t>Đúng như mong đợi (Patient A bị loại bỏ, cache SQLite được dọn, Patient B và C còn nguyên)</t>
        </is>
      </c>
      <c r="H42" s="7" t="inlineStr">
        <is>
          <t>Pass</t>
        </is>
      </c>
      <c r="I42" s="8" t="inlineStr">
        <is>
          <t>AC7 · linked_patients_controller_test.dart · evidence/implement-final-frontend.log</t>
        </is>
      </c>
    </row>
    <row r="43" ht="90.5" customHeight="1">
      <c r="A43" s="7" t="inlineStr">
        <is>
          <t>TC-CAREGIVER-35</t>
        </is>
      </c>
      <c r="B43" s="7" t="inlineStr">
        <is>
          <t>Độc lập dữ liệu giữa các bệnh nhân khi gỡ liên kết</t>
        </is>
      </c>
      <c r="C43" s="8" t="inlineStr">
        <is>
          <t>Local database và alert store đang lưu dữ liệu của cả Patient A và Patient B</t>
        </is>
      </c>
      <c r="D43" s="8" t="inlineStr">
        <is>
          <t>1. Kích hoạt thu hồi quyền truy cập đối với Patient A (clearPatientData và removePatient)
2. Truy vấn dữ liệu SQLite của schedulesTable
3. Kiểm tra danh sách alerts trong FamilyAlertController</t>
        </is>
      </c>
      <c r="E43" s="8" t="inlineStr">
        <is>
          <t>patientA, patientB</t>
        </is>
      </c>
      <c r="F43" s="8" t="inlineStr">
        <is>
          <t>Toàn bộ bản ghi của Patient A bị xóa sạch; toàn bộ bản ghi của Patient B được bảo toàn 100%, không bị ảnh hưởng.</t>
        </is>
      </c>
      <c r="G43" s="8" t="inlineStr">
        <is>
          <t>Đúng như mong đợi (bản ghi Patient A bị xóa, Patient B còn nguyên vẹn)</t>
        </is>
      </c>
      <c r="H43" s="7" t="inlineStr">
        <is>
          <t>Pass</t>
        </is>
      </c>
      <c r="I43" s="8" t="inlineStr">
        <is>
          <t>AC8 · local_medication_store_test.dart, linked_patients_controller_test.dart · evidence/implement-final-frontend.log</t>
        </is>
      </c>
    </row>
    <row r="44" ht="90.5" customHeight="1">
      <c r="A44" s="7" t="inlineStr">
        <is>
          <t>TC-CAREGIVER-36</t>
        </is>
      </c>
      <c r="B44" s="7" t="inlineStr">
        <is>
          <t>An toàn khi nhiều request 403 thu hồi quyền diễn ra đồng thời hoặc lặp lại (concurrency &amp; idempotency)</t>
        </is>
      </c>
      <c r="C44" s="8" t="inlineStr">
        <is>
          <t>LinkedPatientsController đang quản lý Patient A</t>
        </is>
      </c>
      <c r="D44" s="8" t="inlineStr">
        <is>
          <t>1. Gửi đồng thời 5 lời gọi handleRevocation cho cùng Patient A
2. Chờ toàn bộ các lời gọi hoàn tất
3. Gửi thêm một lời gọi handleRevocation lặp lại khi Patient A đã bị gỡ</t>
        </is>
      </c>
      <c r="E44" s="8" t="inlineStr">
        <is>
          <t>5 concurrent calls for patientA</t>
        </is>
      </c>
      <c r="F44" s="8" t="inlineStr">
        <is>
          <t>Các lời gọi hoàn thành an toàn, không ném exception; patientA bị xóa sạch và không bị nhân bản hay hồi phục dữ liệu trái phép.</t>
        </is>
      </c>
      <c r="G44" s="8" t="inlineStr">
        <is>
          <t>Đúng như mong đợi (5 concurrent calls hoàn thành an toàn, không có race condition)</t>
        </is>
      </c>
      <c r="H44" s="7" t="inlineStr">
        <is>
          <t>Pass</t>
        </is>
      </c>
      <c r="I44" s="8" t="inlineStr">
        <is>
          <t>AC9 · linked_patients_controller_test.dart · evidence/implement-final-frontend.log</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DrugTime Team</t>
        </is>
      </c>
      <c r="F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f>
        <v/>
      </c>
      <c r="D3" s="11">
        <f>'Chọn thuốc danh mục'!$H$40+'Hồi quy xác nhận liều'!$H$12+'Cảnh báo người thân'!$H$84+'FCM token Android'!$H$24</f>
        <v/>
      </c>
      <c r="E3" s="11">
        <f>'Người giám sát'!$H$47</f>
        <v/>
      </c>
      <c r="F3" s="15">
        <f>SUM(C3:E3)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f>
        <v/>
      </c>
      <c r="D4" s="11">
        <f>'Chọn thuốc danh mục'!$H$41+'Hồi quy xác nhận liều'!$H$13+'Cảnh báo người thân'!$H$85+'FCM token Android'!$H$25</f>
        <v/>
      </c>
      <c r="E4" s="11">
        <f>'Người giám sát'!$H$48</f>
        <v/>
      </c>
      <c r="F4" s="15">
        <f>SUM(C4:E4)</f>
        <v/>
      </c>
    </row>
    <row r="5">
      <c r="A5" s="17" t="n"/>
      <c r="B5" s="9" t="inlineStr">
        <is>
          <t>(Total) Test executed (Passed + Failed)</t>
        </is>
      </c>
      <c r="C5" s="11">
        <f>C3+C4</f>
        <v/>
      </c>
      <c r="D5" s="11">
        <f>D3+D4</f>
        <v/>
      </c>
      <c r="E5" s="11">
        <f>E3+E4</f>
        <v/>
      </c>
      <c r="F5" s="15">
        <f>SUM(C5:E5)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f>
        <v/>
      </c>
      <c r="D6" s="11">
        <f>'Chọn thuốc danh mục'!$H$42+'Hồi quy xác nhận liều'!$H$14+'Cảnh báo người thân'!$H$86+'FCM token Android'!$H$26</f>
        <v/>
      </c>
      <c r="E6" s="11">
        <f>'Người giám sát'!$H$49</f>
        <v/>
      </c>
      <c r="F6" s="15">
        <f>SUM(C6:E6)</f>
        <v/>
      </c>
    </row>
    <row r="7">
      <c r="A7" s="15" t="inlineStr">
        <is>
          <t>(Sub-total) Test Planned</t>
        </is>
      </c>
      <c r="B7" s="10" t="inlineStr"/>
      <c r="C7" s="11">
        <f>C5+C6</f>
        <v/>
      </c>
      <c r="D7" s="11">
        <f>D5+D6</f>
        <v/>
      </c>
      <c r="E7" s="11">
        <f>E5+E6</f>
        <v/>
      </c>
      <c r="F7" s="15">
        <f>SUM(C7:E7)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74" customHeight="1">
      <c r="A27" s="11" t="inlineStr">
        <is>
          <t>Quản lý người giám sát</t>
        </is>
      </c>
      <c r="B27" s="10" t="inlineStr">
        <is>
          <t>Quản lý người giám sát và gỡ liên kết người thân trên mobile (task 3.27)</t>
        </is>
      </c>
      <c r="C27" s="11" t="inlineStr">
        <is>
          <t>Người giám sát</t>
        </is>
      </c>
      <c r="D27" s="18">
        <f>IFERROR(('Người giám sát'!$H$50-'Người giám sát'!$H$49)/'Người giám sát'!$H$50,0)</f>
        <v/>
      </c>
      <c r="E27" s="18">
        <f>IFERROR('Người giám sát'!$H$47/'Người giám sát'!$H$50,0)</f>
        <v/>
      </c>
      <c r="F27" s="18">
        <f>IFERROR('Người giám sát'!$H$48/'Người giám sát'!$H$50,0)</f>
        <v/>
      </c>
      <c r="G27" s="11" t="inlineStr">
        <is>
          <t>High</t>
        </is>
      </c>
      <c r="H27" s="10" t="inlineStr">
        <is>
          <t>Hoàn thành 100% kiểm thử unit, widget và tích hợp controller. 35/36 test cases pass (1 manual pending trên 2 thiết bị thật).</t>
        </is>
      </c>
      <c r="I27" s="11" t="inlineStr">
        <is>
          <t>DrugTime Team</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52">
      <c r="A52" s="19" t="inlineStr">
        <is>
          <t>Bug Report</t>
        </is>
      </c>
    </row>
    <row r="53">
      <c r="A53" s="20" t="inlineStr">
        <is>
          <t>Bug ID</t>
        </is>
      </c>
      <c r="B53" s="20" t="inlineStr">
        <is>
          <t>Description</t>
        </is>
      </c>
      <c r="C53" s="20" t="inlineStr">
        <is>
          <t>Steps to Reproduce</t>
        </is>
      </c>
      <c r="D53" s="20" t="inlineStr">
        <is>
          <t>Input Data</t>
        </is>
      </c>
      <c r="E53" s="20" t="inlineStr">
        <is>
          <t>Expected Result</t>
        </is>
      </c>
      <c r="F53" s="20" t="inlineStr">
        <is>
          <t>Actual Result</t>
        </is>
      </c>
      <c r="G53" s="20" t="inlineStr">
        <is>
          <t>Severity</t>
        </is>
      </c>
      <c r="H53" s="20" t="inlineStr">
        <is>
          <t>Name of Tester</t>
        </is>
      </c>
      <c r="I53" s="20" t="inlineStr">
        <is>
          <t>Logs</t>
        </is>
      </c>
    </row>
    <row r="54" ht="123.5" customHeight="1">
      <c r="A54" s="22" t="inlineStr">
        <is>
          <t>BUG-LOGIN-08</t>
        </is>
      </c>
      <c r="B54" s="22" t="inlineStr">
        <is>
          <t>Gửi số điện thoại có ký tự xuống dòng ở cuối</t>
        </is>
      </c>
      <c r="C54" s="22" t="inlineStr">
        <is>
          <t>1. POST /auth/mobile/otp {phone: "0900000001\n"}
2. POST /auth/mobile/verify {phone: "0900000001\n", token: 123456}</t>
        </is>
      </c>
      <c r="D54" s="22" t="inlineStr">
        <is>
          <t>phone: 0900000001 + ký tự \n</t>
        </is>
      </c>
      <c r="E54" s="22" t="inlineStr">
        <is>
          <t>422 {"detail":"invalid_phone"} (theo AC6 của 01-requirement)</t>
        </is>
      </c>
      <c r="F54" s="22" t="inlineStr">
        <is>
          <t>OTP 204, verify 200 và cấp phiên (backend bỏ ký tự trắng hai đầu)</t>
        </is>
      </c>
      <c r="G54" s="22" t="inlineStr">
        <is>
          <t>Low</t>
        </is>
      </c>
      <c r="H54" s="22" t="inlineStr">
        <is>
          <t>zannguyen</t>
        </is>
      </c>
      <c r="I5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5" ht="123.5" customHeight="1">
      <c r="A55" s="22" t="inlineStr">
        <is>
          <t>BUG-LOGIN-11</t>
        </is>
      </c>
      <c r="B55" s="22" t="inlineStr">
        <is>
          <t>Gửi số điện thoại viết bằng chữ số Unicode</t>
        </is>
      </c>
      <c r="C55" s="22" t="inlineStr">
        <is>
          <t>1. POST /auth/mobile/otp {phone}
2. POST /auth/mobile/verify {phone, token: 123456}</t>
        </is>
      </c>
      <c r="D55" s="22" t="inlineStr">
        <is>
          <t>+８４９０００００００１ (full-width) | +٨٤٩٠٠٠٠٠٠٠١ (chữ số Ả Rập)</t>
        </is>
      </c>
      <c r="E55" s="22" t="inlineStr">
        <is>
          <t>422 {"detail":"invalid_phone"}, không gọi Supabase</t>
        </is>
      </c>
      <c r="F55" s="22" t="inlineStr">
        <is>
          <t>OTP 503 {"detail":"auth_provider_unavailable"}, verify 401 {"detail":"Invalid credentials"} — request đã tới Supabase</t>
        </is>
      </c>
      <c r="G55" s="22" t="inlineStr">
        <is>
          <t>Low</t>
        </is>
      </c>
      <c r="H55" s="22" t="inlineStr">
        <is>
          <t>zannguyen</t>
        </is>
      </c>
      <c r="I5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6" ht="189.5" customHeight="1">
      <c r="A56" s="22" t="inlineStr">
        <is>
          <t>BUG-LOGIN-25</t>
        </is>
      </c>
      <c r="B56" s="22" t="inlineStr">
        <is>
          <t>Lưu họ tên có ký tự NUL</t>
        </is>
      </c>
      <c r="C56" s="22" t="inlineStr">
        <is>
          <t>1. POST /auth/profile {ho_ten: "abc\u0000def", ngày sinh, giới tính hợp lệ}</t>
        </is>
      </c>
      <c r="D56" s="22" t="inlineStr">
        <is>
          <t>ho_ten: abc\u0000def</t>
        </is>
      </c>
      <c r="E56" s="22" t="inlineStr">
        <is>
          <t>Không 5xx (từ chối 422 hoặc lưu được); không lộ chi tiết nội bộ</t>
        </is>
      </c>
      <c r="F56" s="22" t="inlineStr">
        <is>
          <t>500 Internal Server Error</t>
        </is>
      </c>
      <c r="G56" s="22" t="inlineStr">
        <is>
          <t>Medium</t>
        </is>
      </c>
      <c r="H56" s="22" t="inlineStr">
        <is>
          <t>zannguyen</t>
        </is>
      </c>
      <c r="I5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7" ht="90.5" customHeight="1">
      <c r="A57" s="22" t="inlineStr">
        <is>
          <t>BUG-LOGIN-30</t>
        </is>
      </c>
      <c r="B57" s="22" t="inlineStr">
        <is>
          <t>Lưu họ tên dài 256 ký tự</t>
        </is>
      </c>
      <c r="C57" s="22" t="inlineStr">
        <is>
          <t>1. POST /auth/profile {ho_ten: A*256}</t>
        </is>
      </c>
      <c r="D57" s="22" t="inlineStr">
        <is>
          <t>A*256</t>
        </is>
      </c>
      <c r="E57" s="22" t="inlineStr">
        <is>
          <t>422; hồ sơ không đổi (giới hạn 255 theo Q4 của 01-requirement)</t>
        </is>
      </c>
      <c r="F57" s="22" t="inlineStr">
        <is>
          <t>204, đã lưu</t>
        </is>
      </c>
      <c r="G57" s="22" t="inlineStr">
        <is>
          <t>Low</t>
        </is>
      </c>
      <c r="H57" s="22" t="inlineStr">
        <is>
          <t>zannguyen</t>
        </is>
      </c>
      <c r="I57" s="22" t="inlineStr">
        <is>
          <t>Không có giới hạn độ dài họ tên: `_validate_profile` (sign_in.py) chỉ kiểm rỗng; cột users.full_name kiểu text không giới hạn
Log: evidence/test-integration.log</t>
        </is>
      </c>
    </row>
    <row r="58" ht="90.5" customHeight="1">
      <c r="A58" s="22" t="inlineStr">
        <is>
          <t>BUG-LOGIN-32</t>
        </is>
      </c>
      <c r="B58" s="22" t="inlineStr">
        <is>
          <t>Lưu ngày sinh trước 1900-01-01</t>
        </is>
      </c>
      <c r="C58" s="22" t="inlineStr">
        <is>
          <t>1. POST /auth/profile {ngay_sinh}</t>
        </is>
      </c>
      <c r="D58" s="22" t="inlineStr">
        <is>
          <t>1899-12-31 | 0001-01-01</t>
        </is>
      </c>
      <c r="E58" s="22" t="inlineStr">
        <is>
          <t>422; hồ sơ không đổi (cận dưới 1900-01-01 theo Q4)</t>
        </is>
      </c>
      <c r="F58" s="22" t="inlineStr">
        <is>
          <t>204 ở cả hai giá trị, đã lưu</t>
        </is>
      </c>
      <c r="G58" s="22" t="inlineStr">
        <is>
          <t>Low</t>
        </is>
      </c>
      <c r="H58" s="22" t="inlineStr">
        <is>
          <t>zannguyen</t>
        </is>
      </c>
      <c r="I58" s="22" t="inlineStr">
        <is>
          <t>`_validate_birth_date` (sign_in.py:229–231) chỉ chặn ngày tương lai, không có cận dưới. App mobile đã giới hạn date picker từ 1900 nên chỉ gặp khi gọi API trực tiếp
Log: evidence/test-integration.log</t>
        </is>
      </c>
    </row>
    <row r="59" ht="123.5" customHeight="1">
      <c r="A59" s="22" t="inlineStr">
        <is>
          <t>BUG-LOGIN-35</t>
        </is>
      </c>
      <c r="B59" s="22" t="inlineStr">
        <is>
          <t>Lưu ngày sinh là hôm nay lúc 00:30 giờ Việt Nam</t>
        </is>
      </c>
      <c r="C59" s="22" t="inlineStr">
        <is>
          <t>1. POST /auth/profile {ngay_sinh: "2026-10-08"}</t>
        </is>
      </c>
      <c r="D59" s="22" t="inlineStr">
        <is>
          <t>ngay_sinh: 2026-10-08</t>
        </is>
      </c>
      <c r="E59" s="22" t="inlineStr">
        <is>
          <t>204 (hôm nay theo giờ Asia/Ho_Chi_Minh — bất biến 7)</t>
        </is>
      </c>
      <c r="F59" s="22" t="inlineStr">
        <is>
          <t>422 {"detail":"invalid_date_of_birth"}</t>
        </is>
      </c>
      <c r="G59" s="22" t="inlineStr">
        <is>
          <t>Medium</t>
        </is>
      </c>
      <c r="H59" s="22" t="inlineStr">
        <is>
          <t>zannguyen</t>
        </is>
      </c>
      <c r="I5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0" ht="173" customHeight="1">
      <c r="A60" s="22" t="inlineStr">
        <is>
          <t>BUG-LOGIN-42</t>
        </is>
      </c>
      <c r="B60" s="22" t="inlineStr">
        <is>
          <t>Chạm lại ô OTP sau khi nhập sai để sửa mã</t>
        </is>
      </c>
      <c r="C60" s="22" t="inlineStr">
        <is>
          <t>1. Chạm vào ô mã OTP
2. Theo dõi request backend nhận được</t>
        </is>
      </c>
      <c r="D60" s="22" t="inlineStr">
        <is>
          <t>Ô đang chứa 000000</t>
        </is>
      </c>
      <c r="E60" s="22" t="inlineStr">
        <is>
          <t>Không gửi xác thực cho tới khi người dùng nhập mã mới đủ 6 số</t>
        </is>
      </c>
      <c r="F60" s="22" t="inlineStr">
        <is>
          <t>Backend nhận thêm một POST /auth/mobile/verify 401 với mã cũ ngay khi chạm ô (chuỗi request: otp 204, verify 401, verify 401, verify 200)</t>
        </is>
      </c>
      <c r="G60" s="22" t="inlineStr">
        <is>
          <t>Low</t>
        </is>
      </c>
      <c r="H60" s="22" t="inlineStr">
        <is>
          <t>zannguyen</t>
        </is>
      </c>
      <c r="I6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1" ht="222.5" customHeight="1">
      <c r="A61" s="22" t="inlineStr">
        <is>
          <t>BUG-LINKCODE-28</t>
        </is>
      </c>
      <c r="B61" s="22" t="inlineStr">
        <is>
          <t>Toàn bộ unit test, architecture test và ruff toàn repo pass</t>
        </is>
      </c>
      <c r="C61" s="22" t="inlineStr">
        <is>
          <t>1. pytest tests/unit tests/architecture -q
2. ruff check .
3. So với baseline trước khi sửa code</t>
        </is>
      </c>
      <c r="D61" s="22" t="inlineStr">
        <is>
          <t>-</t>
        </is>
      </c>
      <c r="E61" s="22" t="inlineStr">
        <is>
          <t>pytest và ruff đều pass</t>
        </is>
      </c>
      <c r="F61"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1" s="22" t="inlineStr">
        <is>
          <t>Low</t>
        </is>
      </c>
      <c r="H61" s="22" t="inlineStr">
        <is>
          <t>zannguyen</t>
        </is>
      </c>
      <c r="I61"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2" ht="239" customHeight="1">
      <c r="A62" s="22" t="inlineStr">
        <is>
          <t>BUG-REGDOSE-01</t>
        </is>
      </c>
      <c r="B62" s="22" t="inlineStr">
        <is>
          <t>Đối chiếu scheduled_at có giây khi xác nhận liều</t>
        </is>
      </c>
      <c r="C62"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2" s="22" t="inlineStr">
        <is>
          <t>client_uuid: UUID mới; schedule_id: fixture; scheduled_at=2026-10-02T01:00:59.999Z; taken_at=2026-10-02T01:05:59.999Z</t>
        </is>
      </c>
      <c r="E62" s="22" t="inlineStr">
        <is>
          <t>Theo test hiện có: HTTP 200, synced, da_uong và scheduled_at=2026-10-02T01:00:00Z.</t>
        </is>
      </c>
      <c r="F62" s="22" t="inlineStr">
        <is>
          <t>HTTP 200, synced, da_uong; scheduled_at=2026-10-02T01:00:59.999000Z. Fail trong suite DB và lặp lại khi chạy riêng (1 failed trong 1.67s).</t>
        </is>
      </c>
      <c r="G62" s="22" t="inlineStr">
        <is>
          <t>Medium</t>
        </is>
      </c>
      <c r="H62" s="22" t="inlineStr">
        <is>
          <t>phucnguyenngoc</t>
        </is>
      </c>
      <c r="I62"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3" ht="156.5" customHeight="1">
      <c r="A63" s="22" t="inlineStr">
        <is>
          <t>BUG-FALERT-19</t>
        </is>
      </c>
      <c r="B63" s="22" t="inlineStr">
        <is>
          <t>Lọc hộp thư mixed patient và từ chối patient_id trong PATCH</t>
        </is>
      </c>
      <c r="C63" s="22" t="inlineStr">
        <is>
          <t>1. Tạo hai notification cho F: P được phép và Q không có liên kết.
2. GET /notifications?patient_id=P&amp;user_id=Q; kiểm item và count.
3. PATCH notification Q với JSON {is_read:true,patient_id:P}.</t>
        </is>
      </c>
      <c r="D63" s="22" t="inlineStr">
        <is>
          <t>P/F là UUID synthetic mới mỗi lần; ID notification lấy từ DB fixture; giờ 2026-10-20T01:00:00Z.</t>
        </is>
      </c>
      <c r="E63" s="22" t="inlineStr">
        <is>
          <t>List chỉ trả P, total=unread_count=1 và Q có denied; PATCH field lạ phải trả 422.</t>
        </is>
      </c>
      <c r="F63" s="22" t="inlineStr">
        <is>
          <t>HTTP 503 notification_access_unavailable thay vì 422; assertion fail.</t>
        </is>
      </c>
      <c r="G63" s="22" t="inlineStr">
        <is>
          <t>Medium</t>
        </is>
      </c>
      <c r="H63" s="22" t="inlineStr">
        <is>
          <t>phucnguyenngoc</t>
        </is>
      </c>
      <c r="I63"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4" ht="123.5" customHeight="1">
      <c r="A64" s="22" t="inlineStr">
        <is>
          <t>BUG-FALERT-36</t>
        </is>
      </c>
      <c r="B64" s="22" t="inlineStr">
        <is>
          <t>Từ chối tham số phân trang ngoài biên [params0]</t>
        </is>
      </c>
      <c r="C64" s="22" t="inlineStr">
        <is>
          <t>1. Đăng nhập F có notification và quyền hợp lệ.
2. GET /notifications với limit=0, limit=101 hoặc offset=-1 theo Test Data.
3. Kiểm HTTP status và Cache-Control.</t>
        </is>
      </c>
      <c r="D64" s="22" t="inlineStr">
        <is>
          <t>limit=0; offset=0</t>
        </is>
      </c>
      <c r="E64" s="22" t="inlineStr">
        <is>
          <t>422 validation, Cache-Control:no-store; không trả dữ liệu notification.</t>
        </is>
      </c>
      <c r="F64" s="22" t="inlineStr">
        <is>
          <t>HTTP 503 notification_access_unavailable thay vì 422; assertion fail.</t>
        </is>
      </c>
      <c r="G64" s="22" t="inlineStr">
        <is>
          <t>Medium</t>
        </is>
      </c>
      <c r="H64" s="22" t="inlineStr">
        <is>
          <t>phucnguyenngoc</t>
        </is>
      </c>
      <c r="I64"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5" ht="123.5" customHeight="1">
      <c r="A65" s="22" t="inlineStr">
        <is>
          <t>BUG-FALERT-37</t>
        </is>
      </c>
      <c r="B65" s="22" t="inlineStr">
        <is>
          <t>Từ chối tham số phân trang ngoài biên [params1]</t>
        </is>
      </c>
      <c r="C65" s="22" t="inlineStr">
        <is>
          <t>1. Đăng nhập F có notification và quyền hợp lệ.
2. GET /notifications với limit=0, limit=101 hoặc offset=-1 theo Test Data.
3. Kiểm HTTP status và Cache-Control.</t>
        </is>
      </c>
      <c r="D65" s="22" t="inlineStr">
        <is>
          <t>limit=101; offset=0</t>
        </is>
      </c>
      <c r="E65" s="22" t="inlineStr">
        <is>
          <t>422 validation, Cache-Control:no-store; không trả dữ liệu notification.</t>
        </is>
      </c>
      <c r="F65" s="22" t="inlineStr">
        <is>
          <t>HTTP 503 notification_access_unavailable thay vì 422; assertion fail.</t>
        </is>
      </c>
      <c r="G65" s="22" t="inlineStr">
        <is>
          <t>Medium</t>
        </is>
      </c>
      <c r="H65" s="22" t="inlineStr">
        <is>
          <t>phucnguyenngoc</t>
        </is>
      </c>
      <c r="I6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6" ht="123.5" customHeight="1">
      <c r="A66" s="22" t="inlineStr">
        <is>
          <t>BUG-FALERT-38</t>
        </is>
      </c>
      <c r="B66" s="22" t="inlineStr">
        <is>
          <t>Từ chối tham số phân trang ngoài biên [params2]</t>
        </is>
      </c>
      <c r="C66" s="22" t="inlineStr">
        <is>
          <t>1. Đăng nhập F có notification và quyền hợp lệ.
2. GET /notifications với limit=0, limit=101 hoặc offset=-1 theo Test Data.
3. Kiểm HTTP status và Cache-Control.</t>
        </is>
      </c>
      <c r="D66" s="22" t="inlineStr">
        <is>
          <t>limit=20; offset=-1</t>
        </is>
      </c>
      <c r="E66" s="22" t="inlineStr">
        <is>
          <t>422 validation, Cache-Control:no-store; không trả dữ liệu notification.</t>
        </is>
      </c>
      <c r="F66" s="22" t="inlineStr">
        <is>
          <t>HTTP 503 notification_access_unavailable thay vì 422; assertion fail.</t>
        </is>
      </c>
      <c r="G66" s="22" t="inlineStr">
        <is>
          <t>Medium</t>
        </is>
      </c>
      <c r="H66" s="22" t="inlineStr">
        <is>
          <t>phucnguyenngoc</t>
        </is>
      </c>
      <c r="I6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sheetData>
  <mergeCells count="2">
    <mergeCell ref="A1:G1"/>
    <mergeCell ref="A3:A5"/>
  </mergeCells>
  <conditionalFormatting sqref="F11:F29">
    <cfRule type="cellIs" priority="1" operator="greaterThan" dxfId="0">
      <formula>0.2</formula>
    </cfRule>
  </conditionalFormatting>
  <conditionalFormatting sqref="G11:G29">
    <cfRule type="expression" priority="2" dxfId="0">
      <formula>OR(G11="Critical",G11="High")</formula>
    </cfRule>
  </conditionalFormatting>
  <conditionalFormatting sqref="G54:G66">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9" showDropDown="0" showInputMessage="0" showErrorMessage="0" allowBlank="1" type="list">
      <formula1>"Critical,High,Medium,Low"</formula1>
    </dataValidation>
    <dataValidation sqref="G54:G66"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2026-10-24T00:42:17Z</dcterms:modified>
  <cp:lastModifiedBy>Người dùng Khách</cp:lastModifiedBy>
</cp:coreProperties>
</file>