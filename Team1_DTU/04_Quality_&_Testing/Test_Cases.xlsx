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lert dispatch" sheetId="1" state="visible" r:id="rId1"/>
    <sheet xmlns:r="http://schemas.openxmlformats.org/officeDocument/2006/relationships" name="Lịch sử tuân thủ" sheetId="2" state="visible" r:id="rId2"/>
    <sheet xmlns:r="http://schemas.openxmlformats.org/officeDocument/2006/relationships" name="Report" sheetId="3" state="visible" r:id="rId3"/>
  </sheets>
  <definedNames>
    <definedName name="_xlnm._FilterDatabase" localSheetId="0" hidden="1">'Alert dispatch'!$A$8:$I$19</definedName>
    <definedName name="_xlnm._FilterDatabase" localSheetId="1" hidden="1">'Lịch sử tuân thủ'!$A$8:$I$31</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'Report'!$A$11:$A$12</f>
            </numRef>
          </cat>
          <val>
            <numRef>
              <f>'Report'!$D$11:$D$12</f>
            </numRef>
          </val>
        </ser>
        <ser>
          <idx val="1"/>
          <order val="1"/>
          <tx>
            <strRef>
              <f>'Report'!E10</f>
            </strRef>
          </tx>
          <spPr>
            <a:ln xmlns:a="http://schemas.openxmlformats.org/drawingml/2006/main">
              <a:prstDash val="solid"/>
            </a:ln>
          </spPr>
          <cat>
            <numRef>
              <f>'Report'!$A$11:$A$12</f>
            </numRef>
          </cat>
          <val>
            <numRef>
              <f>'Report'!$E$11:$E$12</f>
            </numRef>
          </val>
        </ser>
        <ser>
          <idx val="2"/>
          <order val="2"/>
          <tx>
            <strRef>
              <f>'Report'!F10</f>
            </strRef>
          </tx>
          <spPr>
            <a:ln xmlns:a="http://schemas.openxmlformats.org/drawingml/2006/main">
              <a:prstDash val="solid"/>
            </a:ln>
          </spPr>
          <cat>
            <numRef>
              <f>'Report'!$A$11:$A$12</f>
            </numRef>
          </cat>
          <val>
            <numRef>
              <f>'Report'!$F$11:$F$12</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'Report'!$D$3:$D$4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14</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14</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U2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Điều phối cảnh báo người thân (ALERT)</t>
        </is>
      </c>
    </row>
    <row r="3">
      <c r="A3" s="1" t="inlineStr">
        <is>
          <t>Created By</t>
        </is>
      </c>
      <c r="B3" s="2" t="inlineStr">
        <is>
          <t>Ngọc Việt</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Điều kiện điều phối cảnh báo cho người thân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TC-ALERT-01</t>
        </is>
      </c>
      <c r="B9" s="7" t="inlineStr">
        <is>
          <t>Điều phối cảnh báo cho người thân dùng Android có đủ liên kết và quyền</t>
        </is>
      </c>
      <c r="C9" s="8" t="inlineStr">
        <is>
          <t>Bệnh nhân P bỏ lỡ liều thuốc (dose_log_id=999). Người thân F có liên kết active, sharing_enabled=true, consent family_sharing hiệu lực và token Android.</t>
        </is>
      </c>
      <c r="D9" s="8" t="inlineStr">
        <is>
          <t>1. Hệ thống chạy tác vụ scan_missed_doses
2. Kiểm tra bản ghi được tạo trong bảng notifications
3. Kiểm tra danh sách Alert gửi tới NotificationPort</t>
        </is>
      </c>
      <c r="E9" s="8" t="inlineStr">
        <is>
          <t>patient_id=P, caregiver_id=F, platform='android', token='token_android_123'</t>
        </is>
      </c>
      <c r="F9" s="8" t="inlineStr">
        <is>
          <t>Tạo 1 bản ghi notifications cho F với content='Bác [Tên] chưa ghi nhận liều thuốc đúng giờ'. Phát sinh 1 Alert gửi tới NotificationPort với đúng token của F.</t>
        </is>
      </c>
      <c r="G9" s="8" t="inlineStr">
        <is>
          <t>Đã tạo bản ghi notifications có tên bệnh nhân và phát sinh Alert với token_android_123 gửi tới NotificationPort.</t>
        </is>
      </c>
      <c r="H9" s="7" t="inlineStr">
        <is>
          <t>Pass</t>
        </is>
      </c>
      <c r="I9" s="8" t="inlineStr">
        <is>
          <t>AC1 · Decision Table (R4) · EP (1) · test_dispatch_creates_alert_for_android_caregiver</t>
        </is>
      </c>
      <c r="K9" s="9" t="inlineStr">
        <is>
          <t>recipient_platform</t>
        </is>
      </c>
      <c r="L9" s="10" t="inlineStr">
        <is>
          <t>android</t>
        </is>
      </c>
      <c r="M9" s="10" t="inlineStr">
        <is>
          <t>1</t>
        </is>
      </c>
      <c r="N9" s="10" t="inlineStr">
        <is>
          <t>ios
không có token</t>
        </is>
      </c>
      <c r="O9" s="10" t="inlineStr">
        <is>
          <t>6
7</t>
        </is>
      </c>
      <c r="Q9" s="10" t="inlineStr">
        <is>
          <t>Liên kết active và bật chia sẻ?</t>
        </is>
      </c>
      <c r="R9" s="11" t="inlineStr">
        <is>
          <t>No</t>
        </is>
      </c>
      <c r="S9" s="11" t="inlineStr">
        <is>
          <t>Yes</t>
        </is>
      </c>
      <c r="T9" s="11" t="inlineStr">
        <is>
          <t>Yes</t>
        </is>
      </c>
      <c r="U9" s="11" t="inlineStr">
        <is>
          <t>Yes</t>
        </is>
      </c>
    </row>
    <row r="10" ht="74" customHeight="1">
      <c r="A10" s="7" t="inlineStr">
        <is>
          <t>TC-ALERT-02</t>
        </is>
      </c>
      <c r="B10" s="7" t="inlineStr">
        <is>
          <t>Điều phối cảnh báo cho người thân dùng iOS (không có push APNs)</t>
        </is>
      </c>
      <c r="C10" s="8" t="inlineStr">
        <is>
          <t>Bệnh nhân P bỏ lỡ liều thuốc. Người thân F có đủ quyền nhưng chỉ đăng ký thiết bị iOS (không có token Android).</t>
        </is>
      </c>
      <c r="D10" s="8" t="inlineStr">
        <is>
          <t>1. Hệ thống chạy tác vụ scan_missed_doses
2. Kiểm tra bản ghi trong bảng notifications
3. Kiểm tra danh sách Alert gửi tới NotificationPort</t>
        </is>
      </c>
      <c r="E10" s="8" t="inlineStr">
        <is>
          <t>patient_id=P, caregiver_id=F, platform='ios'</t>
        </is>
      </c>
      <c r="F10" s="8" t="inlineStr">
        <is>
          <t>Vẫn tạo 1 bản ghi notifications cho F trong CSDL. Không phát sinh Alert push nào gửi tới NotificationPort (C-06, C-07, BS-03).</t>
        </is>
      </c>
      <c r="G10" s="8" t="inlineStr">
        <is>
          <t>Bản ghi notifications đã được tạo trong CSDL, không có Alert push nào được gửi.</t>
        </is>
      </c>
      <c r="H10" s="7" t="inlineStr">
        <is>
          <t>Pass</t>
        </is>
      </c>
      <c r="I10" s="8" t="inlineStr">
        <is>
          <t>AC2 · Decision Table (R3) · EP (2) · test_dispatch_skips_push_for_ios_caregiver_but_creates_notification_row</t>
        </is>
      </c>
      <c r="K10" s="9" t="inlineStr">
        <is>
          <t>caregiver_relationship</t>
        </is>
      </c>
      <c r="L10" s="10" t="inlineStr">
        <is>
          <t>active và sharing_enabled=true và consent_granted</t>
        </is>
      </c>
      <c r="M10" s="10" t="inlineStr">
        <is>
          <t>2</t>
        </is>
      </c>
      <c r="N10" s="10" t="inlineStr">
        <is>
          <t>chưa liên kết
active nhưng sharing_enabled=false
consent_revoked</t>
        </is>
      </c>
      <c r="O10" s="10" t="inlineStr">
        <is>
          <t>8
9
10</t>
        </is>
      </c>
      <c r="Q10" s="10" t="inlineStr">
        <is>
          <t>Consent family_sharing còn hiệu lực?</t>
        </is>
      </c>
      <c r="R10" s="11" t="inlineStr">
        <is>
          <t>-</t>
        </is>
      </c>
      <c r="S10" s="11" t="inlineStr">
        <is>
          <t>No</t>
        </is>
      </c>
      <c r="T10" s="11" t="inlineStr">
        <is>
          <t>Yes</t>
        </is>
      </c>
      <c r="U10" s="11" t="inlineStr">
        <is>
          <t>Yes</t>
        </is>
      </c>
    </row>
    <row r="11" ht="74" customHeight="1">
      <c r="A11" s="7" t="inlineStr">
        <is>
          <t>TC-ALERT-03</t>
        </is>
      </c>
      <c r="B11" s="7" t="inlineStr">
        <is>
          <t>Chống trùng lặp cảnh báo khi quét lặp lại cùng liều bỏ lỡ</t>
        </is>
      </c>
      <c r="C11" s="8" t="inlineStr">
        <is>
          <t>Liều thuốc đã được quét và đã tạo bản ghi notifications với dedupe_key='bo_lo:999:F'.</t>
        </is>
      </c>
      <c r="D11" s="8" t="inlineStr">
        <is>
          <t>1. Hệ thống chạy lại tác vụ scan_missed_doses với cùng lượt uống và liều 999
2. Kiểm tra số lượng bản ghi trong notifications và số Alert gửi đi</t>
        </is>
      </c>
      <c r="E11" s="8" t="inlineStr">
        <is>
          <t>dedupe_key='bo_lo:999:F'</t>
        </is>
      </c>
      <c r="F11" s="8" t="inlineStr">
        <is>
          <t>Không tạo thêm bản ghi notifications mới (ON CONFLICT DO NOTHING). Không gửi thêm Alert push lặp lại cho F.</t>
        </is>
      </c>
      <c r="G11" s="8" t="inlineStr">
        <is>
          <t>Số lượng notifications giữ nguyên 1, số Alert phát sinh là 0.</t>
        </is>
      </c>
      <c r="H11" s="7" t="inlineStr">
        <is>
          <t>Pass</t>
        </is>
      </c>
      <c r="I11" s="8" t="inlineStr">
        <is>
          <t>AC3 · test_dispatch_deduplicates_repeated_missed_dose_scans</t>
        </is>
      </c>
      <c r="K11" s="9" t="inlineStr">
        <is>
          <t>limit (query GET /notifications)</t>
        </is>
      </c>
      <c r="L11" s="10" t="inlineStr">
        <is>
          <t>1..100</t>
        </is>
      </c>
      <c r="M11" s="10" t="inlineStr">
        <is>
          <t>3</t>
        </is>
      </c>
      <c r="N11" s="10" t="inlineStr">
        <is>
          <t>0
-1
101</t>
        </is>
      </c>
      <c r="O11" s="10" t="inlineStr">
        <is>
          <t>11
12
13</t>
        </is>
      </c>
      <c r="Q11" s="10" t="inlineStr">
        <is>
          <t>Thiết bị có token Android?</t>
        </is>
      </c>
      <c r="R11" s="11" t="inlineStr">
        <is>
          <t>-</t>
        </is>
      </c>
      <c r="S11" s="11" t="inlineStr">
        <is>
          <t>-</t>
        </is>
      </c>
      <c r="T11" s="11" t="inlineStr">
        <is>
          <t>No (iOS / không có)</t>
        </is>
      </c>
      <c r="U11" s="11" t="inlineStr">
        <is>
          <t>Yes (Android)</t>
        </is>
      </c>
    </row>
    <row r="12" ht="74" customHeight="1">
      <c r="A12" s="7" t="inlineStr">
        <is>
          <t>TC-ALERT-04</t>
        </is>
      </c>
      <c r="B12" s="7" t="inlineStr">
        <is>
          <t>Chặn gửi cảnh báo khi người thân bị tắt chia sẻ hoặc rút consent</t>
        </is>
      </c>
      <c r="C12" s="8" t="inlineStr">
        <is>
          <t>Người thân F bị bệnh nhân tắt chia sẻ (sharing_enabled=false) hoặc bệnh nhân đã rút consent family_sharing.</t>
        </is>
      </c>
      <c r="D12" s="8" t="inlineStr">
        <is>
          <t>1. Hệ thống chạy tác vụ scan_missed_doses
2. Kiểm tra danh sách người thân được access.caregivers_of trả về
3. Kiểm tra bản ghi notifications và Alert</t>
        </is>
      </c>
      <c r="E12" s="8" t="inlineStr">
        <is>
          <t>sharing_enabled=false hoặc consent revoked</t>
        </is>
      </c>
      <c r="F12" s="8" t="inlineStr">
        <is>
          <t>access.caregivers_of không trả về F. Không tạo bản ghi notifications và không gửi Alert push cho F.</t>
        </is>
      </c>
      <c r="G12" s="8" t="inlineStr">
        <is>
          <t>access.caregivers_of trả về rỗng, không tạo notification và không gửi alert.</t>
        </is>
      </c>
      <c r="H12" s="7" t="inlineStr">
        <is>
          <t>Pass</t>
        </is>
      </c>
      <c r="I12" s="8" t="inlineStr">
        <is>
          <t>AC4 · Decision Table (R1, R2) · test_dispatch_respects_revoked_consent_and_sharing_switch</t>
        </is>
      </c>
      <c r="K12" s="9" t="inlineStr">
        <is>
          <t>is_read (query / body PATCH)</t>
        </is>
      </c>
      <c r="L12" s="10" t="inlineStr">
        <is>
          <t>true
false</t>
        </is>
      </c>
      <c r="M12" s="10" t="inlineStr">
        <is>
          <t>4
5</t>
        </is>
      </c>
      <c r="N12" s="10" t="inlineStr">
        <is>
          <t>(blank)
chuỗi không hợp lệ</t>
        </is>
      </c>
      <c r="O12" s="10" t="inlineStr">
        <is>
          <t>14
15</t>
        </is>
      </c>
      <c r="Q12" s="6" t="inlineStr">
        <is>
          <t>Action</t>
        </is>
      </c>
      <c r="R12" s="5" t="inlineStr">
        <is>
          <t>R1</t>
        </is>
      </c>
      <c r="S12" s="5" t="inlineStr">
        <is>
          <t>R2</t>
        </is>
      </c>
      <c r="T12" s="5" t="inlineStr">
        <is>
          <t>R3</t>
        </is>
      </c>
      <c r="U12" s="5" t="inlineStr">
        <is>
          <t>R4</t>
        </is>
      </c>
    </row>
    <row r="13" ht="74" customHeight="1">
      <c r="A13" s="7" t="inlineStr">
        <is>
          <t>TC-ALERT-05</t>
        </is>
      </c>
      <c r="B13" s="7" t="inlineStr">
        <is>
          <t>Bảo mật dữ liệu y tế trong nội dung push FCM (CD6, QD-26)</t>
        </is>
      </c>
      <c r="C13" s="8" t="inlineStr">
        <is>
          <t>Alert được tạo cho người thân về bệnh nhân Nguyễn Văn A.</t>
        </is>
      </c>
      <c r="D13" s="8" t="inlineStr">
        <is>
          <t>1. Xây dựng payload FCM qua build_fcm_payload
2. Kiểm tra các trường title, body, data
3. Kiểm tra sự xuất hiện của các từ khóa nhạy cảm (tên thuốc, hàm lượng, giờ uống)</t>
        </is>
      </c>
      <c r="E13" s="8" t="inlineStr">
        <is>
          <t>notification_id=105, patient_name='Nguyễn Văn A'</t>
        </is>
      </c>
      <c r="F13" s="8" t="inlineStr">
        <is>
          <t>Body chỉ chứa thông báo nhắc nhở chung kèm tên bệnh nhân. Tuyệt đối không chứa tên thuốc, hoạt chất, hàm lượng (viên, mg, ml) hay giờ uống cụ thể.</t>
        </is>
      </c>
      <c r="G13" s="8" t="inlineStr">
        <is>
          <t>Payload FCM tuân thủ CD6: không chứa bất kỳ từ khóa thuốc hay giờ uống nhạy cảm nào.</t>
        </is>
      </c>
      <c r="H13" s="7" t="inlineStr">
        <is>
          <t>Pass</t>
        </is>
      </c>
      <c r="I13" s="8" t="inlineStr">
        <is>
          <t>AC5 · test_alert_payload_hides_medication_details_and_names_patient</t>
        </is>
      </c>
      <c r="Q13" s="10" t="inlineStr">
        <is>
          <t>Không tạo notification, không gửi push</t>
        </is>
      </c>
      <c r="R13" s="11" t="inlineStr">
        <is>
          <t>X</t>
        </is>
      </c>
      <c r="S13" s="11" t="inlineStr">
        <is>
          <t>X</t>
        </is>
      </c>
      <c r="T13" s="11" t="inlineStr"/>
      <c r="U13" s="11" t="inlineStr"/>
    </row>
    <row r="14" ht="90.5" customHeight="1">
      <c r="A14" s="7" t="inlineStr">
        <is>
          <t>TC-ALERT-06</t>
        </is>
      </c>
      <c r="B14" s="7" t="inlineStr">
        <is>
          <t>Lấy danh sách thông báo qua GET /notifications (đường thành công và lọc is_read)</t>
        </is>
      </c>
      <c r="C14" s="8" t="inlineStr">
        <is>
          <t>Người dùng F đã đăng nhập, có 2 thông báo (1 chưa đọc, 1 đã đọc).</t>
        </is>
      </c>
      <c r="D14" s="8" t="inlineStr">
        <is>
          <t>1. F gửi GET /notifications
2. Kiểm tra HTTP status, total, unread_count, danh sách items
3. F gửi GET /notifications?is_read=false
4. Kiểm tra danh sách trả về</t>
        </is>
      </c>
      <c r="E14" s="8" t="inlineStr">
        <is>
          <t>limit=20, offset=0, is_read=false</t>
        </is>
      </c>
      <c r="F14" s="8" t="inlineStr">
        <is>
          <t>HTTP 200, total=2, unread_count=1. Khi lọc is_read=false, chỉ trả về đúng 1 thông báo chưa đọc.</t>
        </is>
      </c>
      <c r="G14" s="8" t="inlineStr">
        <is>
          <t>HTTP 200, trả về đúng số lượng và lọc chính xác theo trạng thái đã đọc.</t>
        </is>
      </c>
      <c r="H14" s="7" t="inlineStr">
        <is>
          <t>Pass</t>
        </is>
      </c>
      <c r="I14" s="8" t="inlineStr">
        <is>
          <t>AC6 · EP (3, 4) · test_get_notifications_returns_user_inbox_with_counts</t>
        </is>
      </c>
      <c r="Q14" s="10" t="inlineStr">
        <is>
          <t>Tạo dòng notification, không gửi push (DM3/iOS)</t>
        </is>
      </c>
      <c r="R14" s="11" t="inlineStr"/>
      <c r="S14" s="11" t="inlineStr"/>
      <c r="T14" s="11" t="inlineStr">
        <is>
          <t>X</t>
        </is>
      </c>
      <c r="U14" s="11" t="inlineStr"/>
    </row>
    <row r="15" ht="90.5" customHeight="1">
      <c r="A15" s="7" t="inlineStr">
        <is>
          <t>TC-ALERT-07</t>
        </is>
      </c>
      <c r="B15" s="7" t="inlineStr">
        <is>
          <t>Cập nhật trạng thái đã đọc qua PATCH /notifications/{id}</t>
        </is>
      </c>
      <c r="C15" s="8" t="inlineStr">
        <is>
          <t>Thông báo id=1 của người dùng F có is_read=false.</t>
        </is>
      </c>
      <c r="D15" s="8" t="inlineStr">
        <is>
          <t>1. F gửi PATCH /notifications/1 với body {'is_read': true}
2. Kiểm tra HTTP status và body trả về
3. Gửi lại GET /notifications?is_read=false để kiểm tra số lượng unread</t>
        </is>
      </c>
      <c r="E15" s="8" t="inlineStr">
        <is>
          <t>id=1, is_read=true</t>
        </is>
      </c>
      <c r="F15" s="8" t="inlineStr">
        <is>
          <t>HTTP 200, is_read chuyển thành true, số lượng unread của F giảm tương ứng.</t>
        </is>
      </c>
      <c r="G15" s="8" t="inlineStr">
        <is>
          <t>HTTP 200, is_read=true, số unread giảm về 0.</t>
        </is>
      </c>
      <c r="H15" s="7" t="inlineStr">
        <is>
          <t>Pass</t>
        </is>
      </c>
      <c r="I15" s="8" t="inlineStr">
        <is>
          <t>AC7 · test_patch_notification_marks_as_read</t>
        </is>
      </c>
      <c r="Q15" s="10" t="inlineStr">
        <is>
          <t>Tạo dòng notification và gửi push FCM</t>
        </is>
      </c>
      <c r="R15" s="11" t="inlineStr"/>
      <c r="S15" s="11" t="inlineStr"/>
      <c r="T15" s="11" t="inlineStr"/>
      <c r="U15" s="11" t="inlineStr">
        <is>
          <t>X</t>
        </is>
      </c>
    </row>
    <row r="16" ht="74" customHeight="1">
      <c r="A16" s="7" t="inlineStr">
        <is>
          <t>TC-ALERT-08</t>
        </is>
      </c>
      <c r="B16" s="7" t="inlineStr">
        <is>
          <t>Từ chối cập nhật thông báo của người khác hoặc không tồn tại (404 Not Found)</t>
        </is>
      </c>
      <c r="C16" s="8" t="inlineStr">
        <is>
          <t>Thông báo id=3 thuộc sở hữu của người dùng khác (hoặc id=999 không tồn tại).</t>
        </is>
      </c>
      <c r="D16" s="8" t="inlineStr">
        <is>
          <t>1. Người dùng F gửi PATCH /notifications/3 với body {'is_read': true}
2. Người dùng F gửi PATCH /notifications/999 với body {'is_read': true}</t>
        </is>
      </c>
      <c r="E16" s="8" t="inlineStr">
        <is>
          <t>id=3 (của người khác), id=999 (không tồn tại)</t>
        </is>
      </c>
      <c r="F16" s="8" t="inlineStr">
        <is>
          <t>HTTP 404 với detail='notification_not_found'. Không có dữ liệu nào bị thay đổi.</t>
        </is>
      </c>
      <c r="G16" s="8" t="inlineStr">
        <is>
          <t>HTTP 404 detail='notification_not_found'.</t>
        </is>
      </c>
      <c r="H16" s="7" t="inlineStr">
        <is>
          <t>Pass</t>
        </is>
      </c>
      <c r="I16" s="8" t="inlineStr">
        <is>
          <t>AC7 · test_patch_notification_returns_404_for_other_users_notification</t>
        </is>
      </c>
    </row>
    <row r="17" ht="74" customHeight="1">
      <c r="A17" s="7" t="inlineStr">
        <is>
          <t>TC-ALERT-09</t>
        </is>
      </c>
      <c r="B17" s="7" t="inlineStr">
        <is>
          <t>Kiểm tra xác thực: Chặn truy cập không có Bearer token (401 Unauthorized)</t>
        </is>
      </c>
      <c r="C17" s="8" t="inlineStr">
        <is>
          <t>Client chưa gửi header Authorization hoặc token không hợp lệ.</t>
        </is>
      </c>
      <c r="D17" s="8" t="inlineStr">
        <is>
          <t>1. Gửi GET /notifications không có header Authorization
2. Gửi PATCH /notifications/1 không có header Authorization</t>
        </is>
      </c>
      <c r="E17" s="8" t="inlineStr">
        <is>
          <t>Header Authorization: (blank)</t>
        </is>
      </c>
      <c r="F17" s="8" t="inlineStr">
        <is>
          <t>HTTP 401 Unauthorized cho cả hai endpoint.</t>
        </is>
      </c>
      <c r="G17" s="8" t="inlineStr">
        <is>
          <t>HTTP 401 Unauthorized.</t>
        </is>
      </c>
      <c r="H17" s="7" t="inlineStr">
        <is>
          <t>Pass</t>
        </is>
      </c>
      <c r="I17" s="8" t="inlineStr">
        <is>
          <t>AC6, AC7 · test_notifications_endpoints_require_authentication</t>
        </is>
      </c>
    </row>
    <row r="18" ht="107" customHeight="1">
      <c r="A18" s="7" t="inlineStr">
        <is>
          <t>TC-ALERT-10</t>
        </is>
      </c>
      <c r="B18" s="7" t="inlineStr">
        <is>
          <t>Kiểm tra tích hợp toàn trình luồng dispatch và lấy thông báo trên Postgres thật</t>
        </is>
      </c>
      <c r="C18" s="8" t="inlineStr">
        <is>
          <t>Môi trường CSDL Postgres cục bộ đang chạy qua Supabase local.</t>
        </is>
      </c>
      <c r="D18" s="8" t="inlineStr">
        <is>
          <t>1. Tạo cặp người bệnh - người thân trên DB thật
2. Tạo bản ghi cảnh báo bỏ lỡ vào notifications bằng SqlNotifications
3. Người thân đăng nhập và gọi GET /notifications</t>
        </is>
      </c>
      <c r="E18" s="8" t="inlineStr">
        <is>
          <t>Dữ liệu sinh ngẫu nhiên trên schema v11</t>
        </is>
      </c>
      <c r="F18" s="8" t="inlineStr">
        <is>
          <t>Lấy được thông báo của bệnh nhân, khớp nội dung và thời gian.</t>
        </is>
      </c>
      <c r="G18" s="8" t="inlineStr"/>
      <c r="H18" s="7" t="inlineStr">
        <is>
          <t>Pending</t>
        </is>
      </c>
      <c r="I18" s="8" t="inlineStr">
        <is>
          <t>AC1, AC2, AC6 (QA.11) · test_integration_missed_dose_alert_dispatch_and_inbox_fetch__AC1_AC2_AC6 · Cần môi trường Supabase local</t>
        </is>
      </c>
    </row>
    <row r="19" ht="74" customHeight="1">
      <c r="A19" s="7" t="inlineStr">
        <is>
          <t>TC-ALERT-11</t>
        </is>
      </c>
      <c r="B19" s="7" t="inlineStr">
        <is>
          <t>Kiểm tra tích hợp rút quyền người thân có hiệu lực ngay ở request kế tiếp (QA.02)</t>
        </is>
      </c>
      <c r="C19" s="8" t="inlineStr">
        <is>
          <t>Môi trường CSDL Postgres cục bộ đang chạy qua Supabase local.</t>
        </is>
      </c>
      <c r="D19" s="8" t="inlineStr">
        <is>
          <t>1. Tạo liên kết người thân với sharing_enabled=false trên DB thật
2. Gọi access.authorized_caregivers</t>
        </is>
      </c>
      <c r="E19" s="8" t="inlineStr">
        <is>
          <t>sharing_enabled=false trên caregiver_links</t>
        </is>
      </c>
      <c r="F19" s="8" t="inlineStr">
        <is>
          <t>caregiver_id không xuất hiện trong danh sách người nhận cảnh báo.</t>
        </is>
      </c>
      <c r="G19" s="8" t="inlineStr"/>
      <c r="H19" s="7" t="inlineStr">
        <is>
          <t>Pending</t>
        </is>
      </c>
      <c r="I19" s="8" t="inlineStr">
        <is>
          <t>AC4 (QA.02) · test_integration_caregiver_revocation_stops_alert_immediately__AC4 · Cần môi trường Supabase local</t>
        </is>
      </c>
    </row>
    <row r="20"/>
    <row r="21"/>
    <row r="22">
      <c r="G22" s="12" t="inlineStr">
        <is>
          <t>Pass</t>
        </is>
      </c>
      <c r="H22" s="13">
        <f>COUNTIF(H9:H19,"Pass")</f>
        <v/>
      </c>
    </row>
    <row r="23">
      <c r="G23" s="12" t="inlineStr">
        <is>
          <t>Fail</t>
        </is>
      </c>
      <c r="H23" s="13">
        <f>COUNTIF(H9:H19,"Fail")</f>
        <v/>
      </c>
    </row>
    <row r="24">
      <c r="G24" s="12" t="inlineStr">
        <is>
          <t>Pending</t>
        </is>
      </c>
      <c r="H24" s="13">
        <f>COUNTIF(H9:H19,"Pending")</f>
        <v/>
      </c>
    </row>
    <row r="25">
      <c r="G25" s="12" t="inlineStr">
        <is>
          <t>Total</t>
        </is>
      </c>
      <c r="H25" s="13">
        <f>SUM(H22:H24)</f>
        <v/>
      </c>
    </row>
  </sheetData>
  <autoFilter ref="A8:I19"/>
  <conditionalFormatting sqref="H9:H19">
    <cfRule type="cellIs" priority="1" operator="equal" dxfId="0">
      <formula>"Fail"</formula>
    </cfRule>
  </conditionalFormatting>
  <dataValidations count="1">
    <dataValidation sqref="H9:H19"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s>
  <sheetData>
    <row r="1">
      <c r="A1" s="1" t="inlineStr">
        <is>
          <t>Project Name</t>
        </is>
      </c>
      <c r="B1" s="2" t="inlineStr">
        <is>
          <t>DrugTime</t>
        </is>
      </c>
    </row>
    <row r="2">
      <c r="A2" s="1" t="inlineStr">
        <is>
          <t>Module Name</t>
        </is>
      </c>
      <c r="B2" s="2" t="inlineStr">
        <is>
          <t>Lịch sử tuân thủ theo consent (ADHERENCE)</t>
        </is>
      </c>
    </row>
    <row r="3">
      <c r="A3" s="1" t="inlineStr">
        <is>
          <t>Created By</t>
        </is>
      </c>
      <c r="B3" s="2" t="inlineStr">
        <is>
          <t>Ngọc Việt</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Quyền đọc lịch sử</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row>
    <row r="9" ht="156.5" customHeight="1">
      <c r="A9" s="7" t="inlineStr">
        <is>
          <t>TC-ADHERENCE-01</t>
        </is>
      </c>
      <c r="B9" s="7" t="inlineStr">
        <is>
          <t>Xem lịch sử của chính bệnh nhân</t>
        </is>
      </c>
      <c r="C9" s="8" t="inlineStr">
        <is>
          <t>Bệnh nhân P có consent health_data; có lịch uống và một liều đã uống.</t>
        </is>
      </c>
      <c r="D9" s="8" t="inlineStr">
        <is>
          <t>1. Đăng nhập bằng tài khoản P.
2. Gửi GET /adherence?patient_id=P với bearer token của P.
3. Kiểm response và access_logs.</t>
        </is>
      </c>
      <c r="E9" s="8" t="inlineStr">
        <is>
          <t>P; ngày 2026-10-19; liều 08:00 da_uong</t>
        </is>
      </c>
      <c r="F9" s="8" t="inlineStr">
        <is>
          <t>200; patient_id=P; có liều đã uống; access_logs có allowed, actor_role=patient, data_scope=lich_su_tuan_thu.</t>
        </is>
      </c>
      <c r="G9" s="8" t="inlineStr">
        <is>
          <t>Test tương ứng trong Comments PASSED sau migration; evidence/test-migration.log.</t>
        </is>
      </c>
      <c r="H9" s="7" t="inlineStr">
        <is>
          <t>Pass</t>
        </is>
      </c>
      <c r="I9" s="8" t="inlineStr">
        <is>
          <t>AC2 · EP (1) · Decision Table (R1) · test_self_and_family_success_are_audited_with_minimal_metadata__AC1_AC2</t>
        </is>
      </c>
      <c r="K9" s="9" t="inlineStr">
        <is>
          <t>patient_id và vai trò</t>
        </is>
      </c>
      <c r="L9" s="10" t="inlineStr">
        <is>
          <t>Bỏ trống hoặc chính bệnh nhân
Người thân liên kết active với consent đầy đủ</t>
        </is>
      </c>
      <c r="M9" s="10" t="inlineStr">
        <is>
          <t>1
2</t>
        </is>
      </c>
      <c r="N9" s="10" t="inlineStr">
        <is>
          <t>Người thân không liên kết
Liên kết tắt chia sẻ
Thiếu health_data
Thiếu family_sharing
Đổi sang bệnh nhân khác
Thiếu hoặc sai token
UUID sai định dạng
Admin dù tự gọi hoặc có liên kết</t>
        </is>
      </c>
      <c r="O9" s="10" t="inlineStr">
        <is>
          <t>3
4
5
6
7
8
9
10</t>
        </is>
      </c>
      <c r="Q9" s="10" t="inlineStr">
        <is>
          <t>Vai trò</t>
        </is>
      </c>
      <c r="R9" s="11" t="inlineStr">
        <is>
          <t>patient</t>
        </is>
      </c>
      <c r="S9" s="11" t="inlineStr">
        <is>
          <t>family</t>
        </is>
      </c>
      <c r="T9" s="11" t="inlineStr">
        <is>
          <t>family</t>
        </is>
      </c>
      <c r="U9" s="11" t="inlineStr">
        <is>
          <t>family</t>
        </is>
      </c>
      <c r="V9" s="11" t="inlineStr">
        <is>
          <t>family</t>
        </is>
      </c>
      <c r="W9" s="11" t="inlineStr">
        <is>
          <t>family</t>
        </is>
      </c>
      <c r="X9" s="11" t="inlineStr">
        <is>
          <t>admin</t>
        </is>
      </c>
    </row>
    <row r="10" ht="74" customHeight="1">
      <c r="A10" s="7" t="inlineStr">
        <is>
          <t>TC-ADHERENCE-02</t>
        </is>
      </c>
      <c r="B10" s="7" t="inlineStr">
        <is>
          <t>Xem lịch sử bệnh nhân từ người thân được chia sẻ</t>
        </is>
      </c>
      <c r="C10" s="8" t="inlineStr">
        <is>
          <t>P có health_data và family_sharing; F có caregiver_link active, sharing_enabled=true; P có một liều đã uống.</t>
        </is>
      </c>
      <c r="D10" s="8" t="inlineStr">
        <is>
          <t>1. Đăng nhập bằng tài khoản F.
2. Gửi GET /adherence?patient_id=P.
3. Kiểm nhóm liều và access_logs.</t>
        </is>
      </c>
      <c r="E10" s="8" t="inlineStr">
        <is>
          <t>P; F; from=2026-10-19; to=2026-10-19</t>
        </is>
      </c>
      <c r="F10" s="8" t="inlineStr">
        <is>
          <t>200; patient_id=P; nhóm và tổng hợp đúng liều của P; access_logs có allowed, actor_role=family.</t>
        </is>
      </c>
      <c r="G10" s="8" t="inlineStr">
        <is>
          <t>Test tương ứng trong Comments PASSED sau migration; evidence/test-migration.log.</t>
        </is>
      </c>
      <c r="H10" s="7" t="inlineStr">
        <is>
          <t>Pass</t>
        </is>
      </c>
      <c r="I10" s="8" t="inlineStr">
        <is>
          <t>AC1 · EP (2) · Decision Table (R2) · test_self_and_family_success_are_audited_with_minimal_metadata__AC1_AC2</t>
        </is>
      </c>
      <c r="Q10" s="10" t="inlineStr">
        <is>
          <t>Liên kết active và bật chia sẻ</t>
        </is>
      </c>
      <c r="R10" s="11" t="inlineStr">
        <is>
          <t>-</t>
        </is>
      </c>
      <c r="S10" s="11" t="inlineStr">
        <is>
          <t>Yes</t>
        </is>
      </c>
      <c r="T10" s="11" t="inlineStr">
        <is>
          <t>No</t>
        </is>
      </c>
      <c r="U10" s="11" t="inlineStr">
        <is>
          <t>No</t>
        </is>
      </c>
      <c r="V10" s="11" t="inlineStr">
        <is>
          <t>Yes</t>
        </is>
      </c>
      <c r="W10" s="11" t="inlineStr">
        <is>
          <t>Yes</t>
        </is>
      </c>
      <c r="X10" s="11" t="inlineStr">
        <is>
          <t>Yes</t>
        </is>
      </c>
    </row>
    <row r="11" ht="74" customHeight="1">
      <c r="A11" s="7" t="inlineStr">
        <is>
          <t>TC-ADHERENCE-03</t>
        </is>
      </c>
      <c r="B11" s="7" t="inlineStr">
        <is>
          <t>Từ chối người thân không có liên kết</t>
        </is>
      </c>
      <c r="C11" s="8" t="inlineStr">
        <is>
          <t>P có consent; F không có caregiver_link với P; P có liều đã uống.</t>
        </is>
      </c>
      <c r="D11" s="8" t="inlineStr">
        <is>
          <t>1. Đăng nhập F.
2. Gửi GET /adherence?patient_id=P.
3. Kiểm response và access_logs.</t>
        </is>
      </c>
      <c r="E11" s="8" t="inlineStr">
        <is>
          <t>P; F không liên kết</t>
        </is>
      </c>
      <c r="F11" s="8" t="inlineStr">
        <is>
          <t>403 {"detail":"khong_co_quyen"}; không có lịch sử; access_logs có denied cho P.</t>
        </is>
      </c>
      <c r="G11" s="8" t="inlineStr">
        <is>
          <t>Test tương ứng trong Comments PASSED sau migration; evidence/test-migration.log.</t>
        </is>
      </c>
      <c r="H11" s="7" t="inlineStr">
        <is>
          <t>Pass</t>
        </is>
      </c>
      <c r="I11" s="8" t="inlineStr">
        <is>
          <t>AC3 · EP (3) · Decision Table (R3) · test_unlinked_missing_consents_sharing_off_admin_denied_and_audited__AC11</t>
        </is>
      </c>
      <c r="Q11" s="10" t="inlineStr">
        <is>
          <t>health_data</t>
        </is>
      </c>
      <c r="R11" s="11" t="inlineStr">
        <is>
          <t>Yes</t>
        </is>
      </c>
      <c r="S11" s="11" t="inlineStr">
        <is>
          <t>Yes</t>
        </is>
      </c>
      <c r="T11" s="11" t="inlineStr">
        <is>
          <t>Yes</t>
        </is>
      </c>
      <c r="U11" s="11" t="inlineStr">
        <is>
          <t>Yes</t>
        </is>
      </c>
      <c r="V11" s="11" t="inlineStr">
        <is>
          <t>No</t>
        </is>
      </c>
      <c r="W11" s="11" t="inlineStr">
        <is>
          <t>Yes</t>
        </is>
      </c>
      <c r="X11" s="11" t="inlineStr">
        <is>
          <t>Yes</t>
        </is>
      </c>
    </row>
    <row r="12" ht="74" customHeight="1">
      <c r="A12" s="7" t="inlineStr">
        <is>
          <t>TC-ADHERENCE-04</t>
        </is>
      </c>
      <c r="B12" s="7" t="inlineStr">
        <is>
          <t>Từ chối khi tắt công tắc chia sẻ</t>
        </is>
      </c>
      <c r="C12" s="8" t="inlineStr">
        <is>
          <t>F có link active tới P; P có hai consent; sharing_enabled=false.</t>
        </is>
      </c>
      <c r="D12" s="8" t="inlineStr">
        <is>
          <t>1. Đăng nhập F.
2. Gửi GET /adherence?patient_id=P.
3. Kiểm access_logs.</t>
        </is>
      </c>
      <c r="E12" s="8" t="inlineStr">
        <is>
          <t>sharing_enabled=false</t>
        </is>
      </c>
      <c r="F12" s="8" t="inlineStr">
        <is>
          <t>403 khong_co_quyen; không có lịch sử; access_logs có denied.</t>
        </is>
      </c>
      <c r="G12" s="8" t="inlineStr">
        <is>
          <t>Test tương ứng trong Comments PASSED sau migration; evidence/test-migration.log.</t>
        </is>
      </c>
      <c r="H12" s="7" t="inlineStr">
        <is>
          <t>Pass</t>
        </is>
      </c>
      <c r="I12" s="8" t="inlineStr">
        <is>
          <t>AC3 · EP (4) · Decision Table (R4) · test_unlinked_missing_consents_sharing_off_admin_denied_and_audited__AC11</t>
        </is>
      </c>
      <c r="Q12" s="10" t="inlineStr">
        <is>
          <t>family_sharing</t>
        </is>
      </c>
      <c r="R12" s="11" t="inlineStr">
        <is>
          <t>-</t>
        </is>
      </c>
      <c r="S12" s="11" t="inlineStr">
        <is>
          <t>Yes</t>
        </is>
      </c>
      <c r="T12" s="11" t="inlineStr">
        <is>
          <t>Yes</t>
        </is>
      </c>
      <c r="U12" s="11" t="inlineStr">
        <is>
          <t>Yes</t>
        </is>
      </c>
      <c r="V12" s="11" t="inlineStr">
        <is>
          <t>Yes</t>
        </is>
      </c>
      <c r="W12" s="11" t="inlineStr">
        <is>
          <t>No</t>
        </is>
      </c>
      <c r="X12" s="11" t="inlineStr">
        <is>
          <t>Yes</t>
        </is>
      </c>
    </row>
    <row r="13" ht="74" customHeight="1">
      <c r="A13" s="7" t="inlineStr">
        <is>
          <t>TC-ADHERENCE-05</t>
        </is>
      </c>
      <c r="B13" s="7" t="inlineStr">
        <is>
          <t>Từ chối khi thiếu consent sức khỏe</t>
        </is>
      </c>
      <c r="C13" s="8" t="inlineStr">
        <is>
          <t>F có link active và sharing_enabled=true; P không còn health_data.</t>
        </is>
      </c>
      <c r="D13" s="8" t="inlineStr">
        <is>
          <t>1. Đăng nhập F.
2. Gửi GET /adherence?patient_id=P.
3. Kiểm access_logs.</t>
        </is>
      </c>
      <c r="E13" s="8" t="inlineStr">
        <is>
          <t>health_data=thu_hoi</t>
        </is>
      </c>
      <c r="F13" s="8" t="inlineStr">
        <is>
          <t>403 khong_co_quyen; không có lịch sử; access_logs có denied.</t>
        </is>
      </c>
      <c r="G13" s="8" t="inlineStr">
        <is>
          <t>Test tương ứng trong Comments PASSED sau migration; evidence/test-migration.log.</t>
        </is>
      </c>
      <c r="H13" s="7" t="inlineStr">
        <is>
          <t>Pass</t>
        </is>
      </c>
      <c r="I13" s="8" t="inlineStr">
        <is>
          <t>AC4 · EP (5) · Decision Table (R5) · test_unlinked_missing_consents_sharing_off_admin_denied_and_audited__AC11</t>
        </is>
      </c>
      <c r="Q13" s="6" t="inlineStr">
        <is>
          <t>Action</t>
        </is>
      </c>
      <c r="R13" s="5" t="inlineStr">
        <is>
          <t>R1</t>
        </is>
      </c>
      <c r="S13" s="5" t="inlineStr">
        <is>
          <t>R2</t>
        </is>
      </c>
      <c r="T13" s="5" t="inlineStr">
        <is>
          <t>R3</t>
        </is>
      </c>
      <c r="U13" s="5" t="inlineStr">
        <is>
          <t>R4</t>
        </is>
      </c>
      <c r="V13" s="5" t="inlineStr">
        <is>
          <t>R5</t>
        </is>
      </c>
      <c r="W13" s="5" t="inlineStr">
        <is>
          <t>R6</t>
        </is>
      </c>
      <c r="X13" s="5" t="inlineStr">
        <is>
          <t>R7</t>
        </is>
      </c>
    </row>
    <row r="14" ht="74" customHeight="1">
      <c r="A14" s="7" t="inlineStr">
        <is>
          <t>TC-ADHERENCE-06</t>
        </is>
      </c>
      <c r="B14" s="7" t="inlineStr">
        <is>
          <t>Từ chối khi thiếu consent chia sẻ gia đình</t>
        </is>
      </c>
      <c r="C14" s="8" t="inlineStr">
        <is>
          <t>F có link active và sharing_enabled=true; P không còn family_sharing.</t>
        </is>
      </c>
      <c r="D14" s="8" t="inlineStr">
        <is>
          <t>1. Đăng nhập F.
2. Gửi GET /adherence?patient_id=P.
3. Kiểm access_logs.</t>
        </is>
      </c>
      <c r="E14" s="8" t="inlineStr">
        <is>
          <t>family_sharing=thu_hoi</t>
        </is>
      </c>
      <c r="F14" s="8" t="inlineStr">
        <is>
          <t>403 khong_co_quyen; không có lịch sử; access_logs có denied.</t>
        </is>
      </c>
      <c r="G14" s="8" t="inlineStr">
        <is>
          <t>Test tương ứng trong Comments PASSED sau migration; evidence/test-migration.log.</t>
        </is>
      </c>
      <c r="H14" s="7" t="inlineStr">
        <is>
          <t>Pass</t>
        </is>
      </c>
      <c r="I14" s="8" t="inlineStr">
        <is>
          <t>AC4 · EP (6) · Decision Table (R6) · test_unlinked_missing_consents_sharing_off_admin_denied_and_audited__AC11</t>
        </is>
      </c>
      <c r="Q14" s="10" t="inlineStr">
        <is>
          <t>200 + allowed</t>
        </is>
      </c>
      <c r="R14" s="11" t="inlineStr">
        <is>
          <t>X</t>
        </is>
      </c>
      <c r="S14" s="11" t="inlineStr">
        <is>
          <t>X</t>
        </is>
      </c>
      <c r="T14" s="11" t="inlineStr"/>
      <c r="U14" s="11" t="inlineStr"/>
      <c r="V14" s="11" t="inlineStr"/>
      <c r="W14" s="11" t="inlineStr"/>
      <c r="X14" s="11" t="inlineStr"/>
    </row>
    <row r="15" ht="90.5" customHeight="1">
      <c r="A15" s="7" t="inlineStr">
        <is>
          <t>TC-ADHERENCE-07</t>
        </is>
      </c>
      <c r="B15" s="7" t="inlineStr">
        <is>
          <t>Từ chối ngay sau khi rút consent với cùng token</t>
        </is>
      </c>
      <c r="C15" s="8" t="inlineStr">
        <is>
          <t>F đang được phép đọc P; lưu bearer token của F.</t>
        </is>
      </c>
      <c r="D15" s="8" t="inlineStr">
        <is>
          <t>1. Gửi GET /adherence?patient_id=P và xác nhận 200.
2. Rút health_data hoặc family_sharing của P.
3. Gửi lại cùng request với token cũ.
4. Kiểm access_logs.</t>
        </is>
      </c>
      <c r="E15" s="8" t="inlineStr">
        <is>
          <t>P; F; token không đổi</t>
        </is>
      </c>
      <c r="F15" s="8" t="inlineStr">
        <is>
          <t>Request thứ hai 403 khong_co_quyen; access_logs có allowed rồi denied, không trả lịch sử.</t>
        </is>
      </c>
      <c r="G15" s="8" t="inlineStr">
        <is>
          <t>Test tương ứng trong Comments PASSED sau migration; evidence/test-migration.log.</t>
        </is>
      </c>
      <c r="H15" s="7" t="inlineStr">
        <is>
          <t>Pass</t>
        </is>
      </c>
      <c r="I15" s="8" t="inlineStr">
        <is>
          <t>AC5 · Decision Table (R5,R6) · test_revoke_sharing_off_unlink_denies_immediate_next_request_same_token__AC12</t>
        </is>
      </c>
      <c r="Q15" s="10" t="inlineStr">
        <is>
          <t>403 + denied</t>
        </is>
      </c>
      <c r="R15" s="11" t="inlineStr"/>
      <c r="S15" s="11" t="inlineStr"/>
      <c r="T15" s="11" t="inlineStr">
        <is>
          <t>X</t>
        </is>
      </c>
      <c r="U15" s="11" t="inlineStr">
        <is>
          <t>X</t>
        </is>
      </c>
      <c r="V15" s="11" t="inlineStr">
        <is>
          <t>X</t>
        </is>
      </c>
      <c r="W15" s="11" t="inlineStr">
        <is>
          <t>X</t>
        </is>
      </c>
      <c r="X15" s="11" t="inlineStr">
        <is>
          <t>X</t>
        </is>
      </c>
    </row>
    <row r="16" ht="107" customHeight="1">
      <c r="A16" s="7" t="inlineStr">
        <is>
          <t>TC-ADHERENCE-08</t>
        </is>
      </c>
      <c r="B16" s="7" t="inlineStr">
        <is>
          <t>Từ chối ngay sau khi hủy liên kết hoặc tắt chia sẻ</t>
        </is>
      </c>
      <c r="C16" s="8" t="inlineStr">
        <is>
          <t>F đang được phép đọc P; lưu bearer token của F.</t>
        </is>
      </c>
      <c r="D16" s="8" t="inlineStr">
        <is>
          <t>1. Gửi GET /adherence?patient_id=P và xác nhận 200.
2. Hủy caregiver_link hoặc tắt sharing_enabled.
3. Gửi lại với token cũ.
4. Kiểm access_logs.</t>
        </is>
      </c>
      <c r="E16" s="8" t="inlineStr">
        <is>
          <t>P; F; token không đổi</t>
        </is>
      </c>
      <c r="F16" s="8" t="inlineStr">
        <is>
          <t>Request thứ hai 403 khong_co_quyen; access_logs có allowed rồi denied.</t>
        </is>
      </c>
      <c r="G16" s="8" t="inlineStr">
        <is>
          <t>Test tương ứng trong Comments PASSED sau migration; evidence/test-migration.log.</t>
        </is>
      </c>
      <c r="H16" s="7" t="inlineStr">
        <is>
          <t>Pass</t>
        </is>
      </c>
      <c r="I16" s="8" t="inlineStr">
        <is>
          <t>AC5 · Decision Table (R3,R4) · test_revoke_sharing_off_unlink_denies_immediate_next_request_same_token__AC12</t>
        </is>
      </c>
    </row>
    <row r="17" ht="90.5" customHeight="1">
      <c r="A17" s="7" t="inlineStr">
        <is>
          <t>TC-ADHERENCE-09</t>
        </is>
      </c>
      <c r="B17" s="7" t="inlineStr">
        <is>
          <t>Từ chối đổi patient_id sang bệnh nhân khác</t>
        </is>
      </c>
      <c r="C17" s="8" t="inlineStr">
        <is>
          <t>F có quyền với P nhưng không có quyền với Q; Q có lịch sử liều.</t>
        </is>
      </c>
      <c r="D17" s="8" t="inlineStr">
        <is>
          <t>1. Đăng nhập F.
2. Gửi GET /adherence?patient_id=P và xác nhận 200.
3. Đổi patient_id=Q rồi gửi lại.
4. Kiểm access_logs của Q.</t>
        </is>
      </c>
      <c r="E17" s="8" t="inlineStr">
        <is>
          <t>P; Q; F chỉ liên kết P</t>
        </is>
      </c>
      <c r="F17" s="8" t="inlineStr">
        <is>
          <t>Request Q trả 403 khong_co_quyen; không có lịch sử Q; access_logs Q có denied.</t>
        </is>
      </c>
      <c r="G17" s="8" t="inlineStr">
        <is>
          <t>Test tương ứng trong Comments PASSED sau migration; evidence/test-migration.log.</t>
        </is>
      </c>
      <c r="H17" s="7" t="inlineStr">
        <is>
          <t>Pass</t>
        </is>
      </c>
      <c r="I17" s="8" t="inlineStr">
        <is>
          <t>AC6 · EP (7) · test_family_patient_selector_tamper_does_not_read_other_patient__AC11</t>
        </is>
      </c>
    </row>
    <row r="18" ht="57.5" customHeight="1">
      <c r="A18" s="7" t="inlineStr">
        <is>
          <t>TC-ADHERENCE-10</t>
        </is>
      </c>
      <c r="B18" s="7" t="inlineStr">
        <is>
          <t>Không trả lịch sử khi ghi audit allowed thất bại</t>
        </is>
      </c>
      <c r="C18" s="8" t="inlineStr">
        <is>
          <t>P có consent và lịch sử; DB api_role bị giả lập lỗi INSERT access_logs.</t>
        </is>
      </c>
      <c r="D18" s="8" t="inlineStr">
        <is>
          <t>1. Gửi GET /adherence bằng token P.
2. Kiểm response, audit và dữ liệu liều.</t>
        </is>
      </c>
      <c r="E18" s="8" t="inlineStr">
        <is>
          <t>Lỗi INSERT access_logs</t>
        </is>
      </c>
      <c r="F18" s="8" t="inlineStr">
        <is>
          <t>500; no-store; không có lịch sử trong response và không làm thay đổi dose_logs.</t>
        </is>
      </c>
      <c r="G18" s="8" t="inlineStr">
        <is>
          <t>Test tương ứng trong Comments PASSED sau migration; evidence/test-migration.log.</t>
        </is>
      </c>
      <c r="H18" s="7" t="inlineStr">
        <is>
          <t>Pass</t>
        </is>
      </c>
      <c r="I18" s="8" t="inlineStr">
        <is>
          <t>AC7 · test_audit_permission_and_commit_failure_fail_closed_without_health__AC13</t>
        </is>
      </c>
    </row>
    <row r="19" ht="57.5" customHeight="1">
      <c r="A19" s="7" t="inlineStr">
        <is>
          <t>TC-ADHERENCE-11</t>
        </is>
      </c>
      <c r="B19" s="7" t="inlineStr">
        <is>
          <t>Giữ log denied sau khi request rollback</t>
        </is>
      </c>
      <c r="C19" s="8" t="inlineStr">
        <is>
          <t>P đã rút health_data; request bị từ chối và transaction chính rollback.</t>
        </is>
      </c>
      <c r="D19" s="8" t="inlineStr">
        <is>
          <t>1. Gửi GET /adherence bằng token P.
2. Kiểm response.
3. Đọc access_logs bằng kết nối quản trị.</t>
        </is>
      </c>
      <c r="E19" s="8" t="inlineStr">
        <is>
          <t>health_data=thu_hoi</t>
        </is>
      </c>
      <c r="F19" s="8" t="inlineStr">
        <is>
          <t>403 consent_revoked; access_logs vẫn có denied cho scope lich_su_tuan_thu.</t>
        </is>
      </c>
      <c r="G19" s="8" t="inlineStr">
        <is>
          <t>Test tương ứng trong Comments PASSED sau migration; evidence/test-migration.log.</t>
        </is>
      </c>
      <c r="H19" s="7" t="inlineStr">
        <is>
          <t>Pass</t>
        </is>
      </c>
      <c r="I19" s="8" t="inlineStr">
        <is>
          <t>AC7 · test_denied_audit_survives_outer_transaction_rollback__AC13</t>
        </is>
      </c>
    </row>
    <row r="20" ht="74" customHeight="1">
      <c r="A20" s="7" t="inlineStr">
        <is>
          <t>TC-ADHERENCE-12</t>
        </is>
      </c>
      <c r="B20" s="7" t="inlineStr">
        <is>
          <t>Từ chối khi thiếu hoặc sai bearer token</t>
        </is>
      </c>
      <c r="C20" s="8" t="inlineStr">
        <is>
          <t>P có lịch sử liều.</t>
        </is>
      </c>
      <c r="D20" s="8" t="inlineStr">
        <is>
          <t>1. Gửi GET /adherence không có Authorization.
2. Gửi lại với Authorization: Bearer invalid-token.
3. Kiểm response và access_logs.</t>
        </is>
      </c>
      <c r="E20" s="8" t="inlineStr">
        <is>
          <t>Authorization=(blank) hoặc Bearer invalid-token</t>
        </is>
      </c>
      <c r="F20" s="8" t="inlineStr">
        <is>
          <t>401; response không chứa lịch sử; Cache-Control=no-store; không có allowed log.</t>
        </is>
      </c>
      <c r="G20" s="8" t="inlineStr">
        <is>
          <t>Test tương ứng trong Comments PASSED sau migration; evidence/test-migration.log.</t>
        </is>
      </c>
      <c r="H20" s="7" t="inlineStr">
        <is>
          <t>Pass</t>
        </is>
      </c>
      <c r="I20" s="8" t="inlineStr">
        <is>
          <t>AC8 · EP (8) · test_authentication_401_and_no_store_without_health_payload__AC14</t>
        </is>
      </c>
    </row>
    <row r="21" ht="57.5" customHeight="1">
      <c r="A21" s="7" t="inlineStr">
        <is>
          <t>TC-ADHERENCE-13</t>
        </is>
      </c>
      <c r="B21" s="7" t="inlineStr">
        <is>
          <t>Từ chối patient_id sai định dạng</t>
        </is>
      </c>
      <c r="C21" s="8" t="inlineStr">
        <is>
          <t>P có lịch sử liều và token hợp lệ.</t>
        </is>
      </c>
      <c r="D21" s="8" t="inlineStr">
        <is>
          <t>1. Gửi GET /adherence?patient_id=invalid-uuid bằng token P.
2. Kiểm response.</t>
        </is>
      </c>
      <c r="E21" s="8" t="inlineStr">
        <is>
          <t>patient_id=invalid-uuid</t>
        </is>
      </c>
      <c r="F21" s="8" t="inlineStr">
        <is>
          <t>422; response không chứa lịch sử; Cache-Control=no-store.</t>
        </is>
      </c>
      <c r="G21" s="8" t="inlineStr">
        <is>
          <t>Test tương ứng trong Comments PASSED sau migration; evidence/test-migration.log.</t>
        </is>
      </c>
      <c r="H21" s="7" t="inlineStr">
        <is>
          <t>Pass</t>
        </is>
      </c>
      <c r="I21" s="8" t="inlineStr">
        <is>
          <t>AC8 · EP (9) · test_bad_queries_are_422_without_health_payload__AC14</t>
        </is>
      </c>
    </row>
    <row r="22" ht="74" customHeight="1">
      <c r="A22" s="7" t="inlineStr">
        <is>
          <t>TC-ADHERENCE-14</t>
        </is>
      </c>
      <c r="B22" s="7" t="inlineStr">
        <is>
          <t>Từ chối admin xem lịch sử của chính mình</t>
        </is>
      </c>
      <c r="C22" s="8" t="inlineStr">
        <is>
          <t>Admin A có health_data và một liều đã uống.</t>
        </is>
      </c>
      <c r="D22" s="8" t="inlineStr">
        <is>
          <t>1. Đăng nhập A.
2. Gửi GET /adherence?patient_id=A.
3. Kiểm response, access_logs và dose_logs.</t>
        </is>
      </c>
      <c r="E22" s="8" t="inlineStr">
        <is>
          <t>A có system_role=admin</t>
        </is>
      </c>
      <c r="F22" s="8" t="inlineStr">
        <is>
          <t>403 khong_co_quyen; không lộ liều; access_logs denied actor_role=admin; dose_logs không đổi.</t>
        </is>
      </c>
      <c r="G22" s="8" t="inlineStr">
        <is>
          <t>Test tương ứng trong Comments PASSED sau migration; evidence/test-migration.log.</t>
        </is>
      </c>
      <c r="H22" s="7" t="inlineStr">
        <is>
          <t>Pass</t>
        </is>
      </c>
      <c r="I22" s="8" t="inlineStr">
        <is>
          <t>AC3, AC7 · Decision Table (R7) · test_admin_self_and_linked_history_denied_and_audited__AC3_AC6_AC7</t>
        </is>
      </c>
    </row>
    <row r="23" ht="74" customHeight="1">
      <c r="A23" s="7" t="inlineStr">
        <is>
          <t>TC-ADHERENCE-15</t>
        </is>
      </c>
      <c r="B23" s="7" t="inlineStr">
        <is>
          <t>Từ chối admin có liên kết người thân</t>
        </is>
      </c>
      <c r="C23" s="8" t="inlineStr">
        <is>
          <t>P có hai consent và một liều; admin A có caregiver_link active, sharing_enabled=true với P.</t>
        </is>
      </c>
      <c r="D23" s="8" t="inlineStr">
        <is>
          <t>1. Đăng nhập A.
2. Gửi GET /adherence?patient_id=P.
3. Kiểm response, access_logs và dose_logs.</t>
        </is>
      </c>
      <c r="E23" s="8" t="inlineStr">
        <is>
          <t>P; A có system_role=admin</t>
        </is>
      </c>
      <c r="F23" s="8" t="inlineStr">
        <is>
          <t>403 khong_co_quyen; không lộ liều; access_logs denied actor_role=admin; dose_logs không đổi.</t>
        </is>
      </c>
      <c r="G23" s="8" t="inlineStr">
        <is>
          <t>Test tương ứng trong Comments PASSED sau migration; evidence/test-migration.log.</t>
        </is>
      </c>
      <c r="H23" s="7" t="inlineStr">
        <is>
          <t>Pass</t>
        </is>
      </c>
      <c r="I23" s="8" t="inlineStr">
        <is>
          <t>AC3, AC6, AC7 · Decision Table (R7) · test_admin_self_and_linked_history_denied_and_audited__AC3_AC6_AC7</t>
        </is>
      </c>
    </row>
    <row r="24" ht="74" customHeight="1">
      <c r="A24" s="7" t="inlineStr">
        <is>
          <t>TC-ADHERENCE-16</t>
        </is>
      </c>
      <c r="B24" s="7" t="inlineStr">
        <is>
          <t>Kiểm nhóm ngày, nhóm thuốc và tỷ lệ tuân thủ</t>
        </is>
      </c>
      <c r="C24" s="8" t="inlineStr">
        <is>
          <t>P có 5 liều: 3 da_uong, 1 uong_tre, 1 bo_lo.</t>
        </is>
      </c>
      <c r="D24" s="8" t="inlineStr">
        <is>
          <t>1. Gửi GET /adherence?group_by=date&amp;from=2026-10-19&amp;to=2026-10-19.
2. Gửi lại với group_by=medication.
3. So sánh summary và nhóm.</t>
        </is>
      </c>
      <c r="E24" s="8" t="inlineStr">
        <is>
          <t>2026-10-19; 5 liều, 2 thuốc</t>
        </is>
      </c>
      <c r="F24" s="8" t="inlineStr">
        <is>
          <t>200; summary total=5, taken=3, late=1, missed=1, pending=0, adherence_rate=80; nhóm và timezone Asia/Ho_Chi_Minh đúng contract.</t>
        </is>
      </c>
      <c r="G24" s="8" t="inlineStr">
        <is>
          <t>Test tương ứng trong Comments PASSED sau migration; evidence/test-migration.log.</t>
        </is>
      </c>
      <c r="H24" s="7" t="inlineStr">
        <is>
          <t>Pass</t>
        </is>
      </c>
      <c r="I24" s="8" t="inlineStr">
        <is>
          <t>AC1, AC9 · test_patient_history_by_date_medication_groups_and_80_percent__AC1_AC3_AC4</t>
        </is>
      </c>
    </row>
    <row r="25" ht="57.5" customHeight="1">
      <c r="A25" s="7" t="inlineStr">
        <is>
          <t>TC-ADHERENCE-17</t>
        </is>
      </c>
      <c r="B25" s="7" t="inlineStr">
        <is>
          <t>Kiểm khoảng ngày một ngày</t>
        </is>
      </c>
      <c r="C25" s="8" t="inlineStr">
        <is>
          <t>P có lịch dùng thuốc bắt đầu 2026-10-19.</t>
        </is>
      </c>
      <c r="D25" s="8" t="inlineStr">
        <is>
          <t>1. Gửi GET /adherence?from=2026-10-19&amp;to=2026-10-19.
2. Kiểm summary và nhóm.</t>
        </is>
      </c>
      <c r="E25" s="8" t="inlineStr">
        <is>
          <t>from=2026-10-19; to=2026-10-19</t>
        </is>
      </c>
      <c r="F25" s="8" t="inlineStr">
        <is>
          <t>200; khoảng một ngày được chấp nhận và chỉ có liều ngày 2026-10-19.</t>
        </is>
      </c>
      <c r="G25" s="8" t="inlineStr">
        <is>
          <t>Test tương ứng trong Comments PASSED sau migration; evidence/test-migration.log.</t>
        </is>
      </c>
      <c r="H25" s="7" t="inlineStr">
        <is>
          <t>Pass</t>
        </is>
      </c>
      <c r="I25" s="8" t="inlineStr">
        <is>
          <t>AC9 · BVA (min) · test_default_partial_and_inclusive_90_day_filters__AC5</t>
        </is>
      </c>
    </row>
    <row r="26" ht="57.5" customHeight="1">
      <c r="A26" s="7" t="inlineStr">
        <is>
          <t>TC-ADHERENCE-18</t>
        </is>
      </c>
      <c r="B26" s="7" t="inlineStr">
        <is>
          <t>Kiểm khoảng ngày tối đa 90 ngày</t>
        </is>
      </c>
      <c r="C26" s="8" t="inlineStr">
        <is>
          <t>P có lịch từ 2026-07-22 đến 2026-10-19.</t>
        </is>
      </c>
      <c r="D26" s="8" t="inlineStr">
        <is>
          <t>1. Gửi GET /adherence với khoảng đúng 90 ngày.
2. Kiểm số ngày và response.</t>
        </is>
      </c>
      <c r="E26" s="8" t="inlineStr">
        <is>
          <t>from=2026-07-22; to=2026-10-19</t>
        </is>
      </c>
      <c r="F26" s="8" t="inlineStr">
        <is>
          <t>200; khoảng 90 ngày được chấp nhận.</t>
        </is>
      </c>
      <c r="G26" s="8" t="inlineStr">
        <is>
          <t>Test tương ứng trong Comments PASSED sau migration; evidence/test-migration.log.</t>
        </is>
      </c>
      <c r="H26" s="7" t="inlineStr">
        <is>
          <t>Pass</t>
        </is>
      </c>
      <c r="I26" s="8" t="inlineStr">
        <is>
          <t>AC9 · BVA (max) · test_default_partial_and_inclusive_90_day_filters__AC5</t>
        </is>
      </c>
    </row>
    <row r="27" ht="57.5" customHeight="1">
      <c r="A27" s="7" t="inlineStr">
        <is>
          <t>TC-ADHERENCE-19</t>
        </is>
      </c>
      <c r="B27" s="7" t="inlineStr">
        <is>
          <t>Từ chối khoảng ngày 91 ngày</t>
        </is>
      </c>
      <c r="C27" s="8" t="inlineStr">
        <is>
          <t>P có lịch từ 2026-07-21 đến 2026-10-19.</t>
        </is>
      </c>
      <c r="D27" s="8" t="inlineStr">
        <is>
          <t>1. Gửi GET /adherence với khoảng 91 ngày.
2. Kiểm response.</t>
        </is>
      </c>
      <c r="E27" s="8" t="inlineStr">
        <is>
          <t>from=2026-07-21; to=2026-10-19</t>
        </is>
      </c>
      <c r="F27" s="8" t="inlineStr">
        <is>
          <t>422 {"detail":"adherence_range_too_large"}; không có lịch sử.</t>
        </is>
      </c>
      <c r="G27" s="8" t="inlineStr">
        <is>
          <t>Test tương ứng trong Comments PASSED sau migration; evidence/test-migration.log.</t>
        </is>
      </c>
      <c r="H27" s="7" t="inlineStr">
        <is>
          <t>Pass</t>
        </is>
      </c>
      <c r="I27" s="8" t="inlineStr">
        <is>
          <t>AC9 · BVA (max+1) · test_default_partial_and_inclusive_90_day_filters__AC5</t>
        </is>
      </c>
    </row>
    <row r="28" ht="74" customHeight="1">
      <c r="A28" s="7" t="inlineStr">
        <is>
          <t>TC-ADHERENCE-20</t>
        </is>
      </c>
      <c r="B28" s="7" t="inlineStr">
        <is>
          <t>Đối chiếu contract với OpenAPI runtime</t>
        </is>
      </c>
      <c r="C28" s="8" t="inlineStr">
        <is>
          <t>Có api_contract/openapi.json đã duyệt và app FastAPI khởi tạo được.</t>
        </is>
      </c>
      <c r="D28" s="8" t="inlineStr">
        <is>
          <t>1. Sinh OpenAPI từ create_app().openapi().
2. So path GET /adherence, query, auth, status, schema và no-store với contract.</t>
        </is>
      </c>
      <c r="E28" s="8" t="inlineStr">
        <is>
          <t>GET /adherence; patient_id, from, to, group_by</t>
        </is>
      </c>
      <c r="F28" s="8" t="inlineStr">
        <is>
          <t>Path, query, bảo mật, mã lỗi, cấu trúc response và Cache-Control no-store khớp contract.</t>
        </is>
      </c>
      <c r="G28" s="8" t="inlineStr">
        <is>
          <t>Hai test OpenAPI runtime/schema PASSED; evidence/test-openapi-after-migration.log.</t>
        </is>
      </c>
      <c r="H28" s="7" t="inlineStr">
        <is>
          <t>Pass</t>
        </is>
      </c>
      <c r="I28" s="8" t="inlineStr">
        <is>
          <t>AC9 · test_contract_query_security_status_headers · test_response_required_nullable_enums_and_constraints</t>
        </is>
      </c>
    </row>
    <row r="29" ht="57.5" customHeight="1">
      <c r="A29" s="7" t="inlineStr">
        <is>
          <t>TC-ADHERENCE-21</t>
        </is>
      </c>
      <c r="B29" s="7" t="inlineStr">
        <is>
          <t>Từ chối khoảng ngày đảo ngược</t>
        </is>
      </c>
      <c r="C29" s="8" t="inlineStr">
        <is>
          <t>P có token hợp lệ và lịch sử liều.</t>
        </is>
      </c>
      <c r="D29" s="8" t="inlineStr">
        <is>
          <t>1. Gửi GET /adherence?from=2026-10-19&amp;to=2026-10-18 bằng token P.
2. Kiểm response không chứa lịch sử.</t>
        </is>
      </c>
      <c r="E29" s="8" t="inlineStr">
        <is>
          <t>from=2026-10-19; to=2026-10-18</t>
        </is>
      </c>
      <c r="F29" s="8" t="inlineStr">
        <is>
          <t>422; không có lịch sử trong response; Cache-Control=no-store.</t>
        </is>
      </c>
      <c r="G29" s="8" t="inlineStr">
        <is>
          <t>Test tương ứng trong Comments PASSED sau migration; evidence/test-migration.log.</t>
        </is>
      </c>
      <c r="H29" s="7" t="inlineStr">
        <is>
          <t>Pass</t>
        </is>
      </c>
      <c r="I29" s="8" t="inlineStr">
        <is>
          <t>AC9 · BVA (min-1) · test_bad_queries_are_422_without_health_payload__AC14</t>
        </is>
      </c>
    </row>
    <row r="30" ht="123.5" customHeight="1">
      <c r="A30" s="7" t="inlineStr">
        <is>
          <t>TC-ADHERENCE-22</t>
        </is>
      </c>
      <c r="B30" s="7" t="inlineStr">
        <is>
          <t>Kiểm ràng buộc actor identity sau migration</t>
        </is>
      </c>
      <c r="C30" s="8" t="inlineStr">
        <is>
          <t>DB local có migration admin-self; hai user A và B; kết nối api_role.</t>
        </is>
      </c>
      <c r="D30" s="8" t="inlineStr">
        <is>
          <t>1. Lần lượt INSERT access_logs với actor A, patient A hoặc B, vai patient/family/admin/khong_co_quyen, result allowed/denied.
2. Kiểm INSERT thành công hoặc SQLSTATE 23514 theo từng tổ hợp.
3. Rollback từng lần; xác nhận không còn dòng thử.</t>
        </is>
      </c>
      <c r="E30" s="8" t="inlineStr">
        <is>
          <t>16 tổ hợp: self/other × 4 role × allowed/denied</t>
        </is>
      </c>
      <c r="F30" s="8" t="inlineStr">
        <is>
          <t>Self patient allowed/denied và self admin denied được chấp nhận; self admin allowed, self family/no-access và other patient bị chặn. Other family/admin giữ allowed/denied; other no-access chỉ denied. Không lưu dòng sau rollback.</t>
        </is>
      </c>
      <c r="G30" s="8" t="inlineStr">
        <is>
          <t>16 ca matrix PASSED; evidence/test-migration.log.</t>
        </is>
      </c>
      <c r="H30" s="7" t="inlineStr">
        <is>
          <t>Pass</t>
        </is>
      </c>
      <c r="I30" s="8" t="inlineStr">
        <is>
          <t>AC3, AC7 · Decision Table (R7) · test_access_log_actor_identity_matrix__AC3_AC7</t>
        </is>
      </c>
    </row>
    <row r="31" ht="74" customHeight="1">
      <c r="A31" s="7" t="inlineStr">
        <is>
          <t>TC-ADHERENCE-23</t>
        </is>
      </c>
      <c r="B31" s="7" t="inlineStr">
        <is>
          <t>Chặn sửa xóa và truncate audit sau migration</t>
        </is>
      </c>
      <c r="C31" s="8" t="inlineStr">
        <is>
          <t>DB local có migration admin-self và một dòng audit; có kết nối api_role, worker_role và postgres.</t>
        </is>
      </c>
      <c r="D31" s="8" t="inlineStr">
        <is>
          <t>1. Thử UPDATE, DELETE, TRUNCATE access_logs lần lượt bằng từng role.
2. Rollback từng transaction thử.
3. Đọc lại audit bằng kết nối quản trị.</t>
        </is>
      </c>
      <c r="E31" s="8" t="inlineStr">
        <is>
          <t>api_role/worker_role/postgres × UPDATE/DELETE/TRUNCATE = 9 ca</t>
        </is>
      </c>
      <c r="F31" s="8" t="inlineStr">
        <is>
          <t>Role ứng dụng bị từ chối SQLSTATE 42501; postgres bị trigger từ chối P0001; audit không đổi.</t>
        </is>
      </c>
      <c r="G31" s="8" t="inlineStr">
        <is>
          <t>9 ca append-only PASSED; evidence/test-migration.log.</t>
        </is>
      </c>
      <c r="H31" s="7" t="inlineStr">
        <is>
          <t>Pass</t>
        </is>
      </c>
      <c r="I31" s="8" t="inlineStr">
        <is>
          <t>AC7 · CD3 · test_access_logs_remain_append_only_after_actor_identity_migration__AC7</t>
        </is>
      </c>
    </row>
    <row r="32"/>
    <row r="33"/>
    <row r="34">
      <c r="G34" s="12" t="inlineStr">
        <is>
          <t>Pass</t>
        </is>
      </c>
      <c r="H34" s="13">
        <f>COUNTIF(H9:H31,"Pass")</f>
        <v/>
      </c>
    </row>
    <row r="35">
      <c r="G35" s="12" t="inlineStr">
        <is>
          <t>Fail</t>
        </is>
      </c>
      <c r="H35" s="13">
        <f>COUNTIF(H9:H31,"Fail")</f>
        <v/>
      </c>
    </row>
    <row r="36">
      <c r="G36" s="12" t="inlineStr">
        <is>
          <t>Pending</t>
        </is>
      </c>
      <c r="H36" s="13">
        <f>COUNTIF(H9:H31,"Pending")</f>
        <v/>
      </c>
    </row>
    <row r="37">
      <c r="G37" s="12" t="inlineStr">
        <is>
          <t>Total</t>
        </is>
      </c>
      <c r="H37" s="13">
        <f>SUM(H34:H36)</f>
        <v/>
      </c>
    </row>
  </sheetData>
  <autoFilter ref="A8:I31"/>
  <conditionalFormatting sqref="H9:H31">
    <cfRule type="cellIs" priority="1" operator="equal" dxfId="0">
      <formula>"Fail"</formula>
    </cfRule>
  </conditionalFormatting>
  <dataValidations count="1">
    <dataValidation sqref="H9:H31"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6"/>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Ngọc Việt</t>
        </is>
      </c>
      <c r="D2" s="15" t="inlineStr">
        <is>
          <t>Total</t>
        </is>
      </c>
    </row>
    <row r="3">
      <c r="A3" s="15" t="inlineStr">
        <is>
          <t>Executed</t>
        </is>
      </c>
      <c r="B3" s="9" t="inlineStr">
        <is>
          <t>Passed</t>
        </is>
      </c>
      <c r="C3" s="11">
        <f>'Alert dispatch'!$H$22+'Lịch sử tuân thủ'!$H$34</f>
        <v/>
      </c>
      <c r="D3" s="15">
        <f>SUM(C3:C3)</f>
        <v/>
      </c>
    </row>
    <row r="4">
      <c r="A4" s="16" t="n"/>
      <c r="B4" s="9" t="inlineStr">
        <is>
          <t>Failed</t>
        </is>
      </c>
      <c r="C4" s="11">
        <f>'Alert dispatch'!$H$23+'Lịch sử tuân thủ'!$H$35</f>
        <v/>
      </c>
      <c r="D4" s="15">
        <f>SUM(C4:C4)</f>
        <v/>
      </c>
    </row>
    <row r="5">
      <c r="A5" s="17" t="n"/>
      <c r="B5" s="9" t="inlineStr">
        <is>
          <t>(Total) Test executed (Passed + Failed)</t>
        </is>
      </c>
      <c r="C5" s="11">
        <f>C3+C4</f>
        <v/>
      </c>
      <c r="D5" s="15">
        <f>SUM(C5:C5)</f>
        <v/>
      </c>
    </row>
    <row r="6">
      <c r="A6" s="15" t="inlineStr">
        <is>
          <t>Pending</t>
        </is>
      </c>
      <c r="B6" s="10" t="inlineStr"/>
      <c r="C6" s="11">
        <f>'Alert dispatch'!$H$24+'Lịch sử tuân thủ'!$H$36</f>
        <v/>
      </c>
      <c r="D6" s="15">
        <f>SUM(C6:C6)</f>
        <v/>
      </c>
    </row>
    <row r="7">
      <c r="A7" s="15" t="inlineStr">
        <is>
          <t>(Sub-total) Test Planned</t>
        </is>
      </c>
      <c r="B7" s="10" t="inlineStr"/>
      <c r="C7" s="11">
        <f>C5+C6</f>
        <v/>
      </c>
      <c r="D7" s="15">
        <f>SUM(C7:C7)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90.5" customHeight="1">
      <c r="A11" s="11" t="inlineStr">
        <is>
          <t>Điều phối cảnh báo người thân</t>
        </is>
      </c>
      <c r="B11" s="10" t="inlineStr">
        <is>
          <t>Điều phối cảnh báo bỏ lỡ liều cho người thân: gửi FCM trên Android, lưu hộp thư cho iOS (không có APNs), và API Notification Inbox.</t>
        </is>
      </c>
      <c r="C11" s="11" t="inlineStr">
        <is>
          <t>Alert dispatch</t>
        </is>
      </c>
      <c r="D11" s="18">
        <f>IFERROR(('Alert dispatch'!$H$25-'Alert dispatch'!$H$24)/'Alert dispatch'!$H$25,0)</f>
        <v/>
      </c>
      <c r="E11" s="18">
        <f>IFERROR('Alert dispatch'!$H$22/'Alert dispatch'!$H$25,0)</f>
        <v/>
      </c>
      <c r="F11" s="18">
        <f>IFERROR('Alert dispatch'!$H$23/'Alert dispatch'!$H$25,0)</f>
        <v/>
      </c>
      <c r="G11" s="11" t="inlineStr">
        <is>
          <t>High</t>
        </is>
      </c>
      <c r="H11" s="10" t="inlineStr">
        <is>
          <t>Đã hoàn thành và kiểm thử tự động toàn bộ logic điều phối cảnh báo và API Notification Inbox. Các test tích hợp trên DB thật để trạng thái Pending chờ môi trường local Supabase.</t>
        </is>
      </c>
      <c r="I11" s="11" t="inlineStr">
        <is>
          <t>Ngọc Việt</t>
        </is>
      </c>
    </row>
    <row r="12" ht="90.5" customHeight="1">
      <c r="A12" s="11" t="inlineStr">
        <is>
          <t>Lịch sử tuân thủ theo consent</t>
        </is>
      </c>
      <c r="B12" s="10" t="inlineStr">
        <is>
          <t>GET /adherence theo quyền bệnh nhân, người thân, consent và audit.</t>
        </is>
      </c>
      <c r="C12" s="11" t="inlineStr">
        <is>
          <t>Lịch sử tuân thủ</t>
        </is>
      </c>
      <c r="D12" s="18">
        <f>IFERROR(('Lịch sử tuân thủ'!$H$37-'Lịch sử tuân thủ'!$H$36)/'Lịch sử tuân thủ'!$H$37,0)</f>
        <v/>
      </c>
      <c r="E12" s="18">
        <f>IFERROR('Lịch sử tuân thủ'!$H$34/'Lịch sử tuân thủ'!$H$37,0)</f>
        <v/>
      </c>
      <c r="F12" s="18">
        <f>IFERROR('Lịch sử tuân thủ'!$H$35/'Lịch sử tuân thủ'!$H$37,0)</f>
        <v/>
      </c>
      <c r="G12" s="11" t="inlineStr">
        <is>
          <t>Critical</t>
        </is>
      </c>
      <c r="H12" s="10" t="inlineStr">
        <is>
          <t>23 Pass sau migration; BUG-ADHERENCE-14 đã qua kiểm thử hồi quy, còn chờ review/PR.</t>
        </is>
      </c>
      <c r="I12" s="11" t="inlineStr">
        <is>
          <t>Ngọc Việt</t>
        </is>
      </c>
    </row>
    <row r="35">
      <c r="A35" s="19" t="inlineStr">
        <is>
          <t>Bug Report</t>
        </is>
      </c>
    </row>
    <row r="36">
      <c r="A36" s="20" t="inlineStr">
        <is>
          <t>Bug ID</t>
        </is>
      </c>
      <c r="B36" s="20" t="inlineStr">
        <is>
          <t>Description</t>
        </is>
      </c>
      <c r="C36" s="20" t="inlineStr">
        <is>
          <t>Steps to Reproduce</t>
        </is>
      </c>
      <c r="D36" s="20" t="inlineStr">
        <is>
          <t>Input Data</t>
        </is>
      </c>
      <c r="E36" s="20" t="inlineStr">
        <is>
          <t>Expected Result</t>
        </is>
      </c>
      <c r="F36" s="20" t="inlineStr">
        <is>
          <t>Actual Result</t>
        </is>
      </c>
      <c r="G36" s="20" t="inlineStr">
        <is>
          <t>Severity</t>
        </is>
      </c>
      <c r="H36" s="20" t="inlineStr">
        <is>
          <t>Name of Tester</t>
        </is>
      </c>
      <c r="I36" s="20" t="inlineStr">
        <is>
          <t>Logs</t>
        </is>
      </c>
    </row>
  </sheetData>
  <mergeCells count="2">
    <mergeCell ref="A1:G1"/>
    <mergeCell ref="A3:A5"/>
  </mergeCells>
  <conditionalFormatting sqref="F11:F12">
    <cfRule type="cellIs" priority="1" operator="greaterThan" dxfId="0">
      <formula>0.2</formula>
    </cfRule>
  </conditionalFormatting>
  <conditionalFormatting sqref="G11:G12">
    <cfRule type="expression" priority="2" dxfId="0">
      <formula>OR(G11="Critical",G11="High")</formula>
    </cfRule>
  </conditionalFormatting>
  <conditionalFormatting sqref="G37">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12" showDropDown="0" showInputMessage="0" showErrorMessage="0" allowBlank="1" type="list">
      <formula1>"Critical,High,Medium,Low"</formula1>
    </dataValidation>
    <dataValidation sqref="G37"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2026-10-21T12:04:11Z</dcterms:modified>
  <cp:lastModifiedBy>Người dùng Khách</cp:lastModifiedBy>
</cp:coreProperties>
</file>