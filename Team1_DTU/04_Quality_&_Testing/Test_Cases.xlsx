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Cảnh báo người thân" sheetId="18" state="visible" r:id="rId18"/>
    <sheet xmlns:r="http://schemas.openxmlformats.org/officeDocument/2006/relationships" name="FCM token Android" sheetId="19" state="visible" r:id="rId19"/>
    <sheet xmlns:r="http://schemas.openxmlformats.org/officeDocument/2006/relationships" name="Bỏ lỡ liều có xác minh" sheetId="20" state="visible" r:id="rId20"/>
    <sheet xmlns:r="http://schemas.openxmlformats.org/officeDocument/2006/relationships" name="Checkpoint đồng bộ liều" sheetId="21" state="visible" r:id="rId21"/>
    <sheet xmlns:r="http://schemas.openxmlformats.org/officeDocument/2006/relationships" name="Lịch sử chưa xác minh" sheetId="22" state="visible" r:id="rId22"/>
    <sheet xmlns:r="http://schemas.openxmlformats.org/officeDocument/2006/relationships" name="Report" sheetId="23" state="visible" r:id="rId23"/>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'Bỏ lỡ liều có xác minh'!$A$8:$I$57</definedName>
    <definedName name="_xlnm._FilterDatabase" localSheetId="20" hidden="1">'Checkpoint đồng bộ liều'!$A$8:$I$28</definedName>
    <definedName name="_xlnm._FilterDatabase" localSheetId="21" hidden="1">'Lịch sử chưa xác minh'!$A$8:$I$18</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'Report'!$A$11:$A$32</f>
            </numRef>
          </cat>
          <val>
            <numRef>
              <f>'Report'!$D$11:$D$32</f>
            </numRef>
          </val>
        </ser>
        <ser>
          <idx val="1"/>
          <order val="1"/>
          <tx>
            <strRef>
              <f>'Report'!E10</f>
            </strRef>
          </tx>
          <spPr>
            <a:ln xmlns:a="http://schemas.openxmlformats.org/drawingml/2006/main">
              <a:prstDash val="solid"/>
            </a:ln>
          </spPr>
          <cat>
            <numRef>
              <f>'Report'!$A$11:$A$32</f>
            </numRef>
          </cat>
          <val>
            <numRef>
              <f>'Report'!$E$11:$E$32</f>
            </numRef>
          </val>
        </ser>
        <ser>
          <idx val="2"/>
          <order val="2"/>
          <tx>
            <strRef>
              <f>'Report'!F10</f>
            </strRef>
          </tx>
          <spPr>
            <a:ln xmlns:a="http://schemas.openxmlformats.org/drawingml/2006/main">
              <a:prstDash val="solid"/>
            </a:ln>
          </spPr>
          <cat>
            <numRef>
              <f>'Report'!$A$11:$A$32</f>
            </numRef>
          </cat>
          <val>
            <numRef>
              <f>'Report'!$F$11:$F$32</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34</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f>
        <v/>
      </c>
      <c r="D3" s="11">
        <f>'Chọn thuốc danh mục'!$H$40+'Hồi quy xác nhận liều'!$H$12+'Cảnh báo người thân'!$H$84+'FCM token Android'!$H$24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f>
        <v/>
      </c>
      <c r="D4" s="11">
        <f>'Chọn thuốc danh mục'!$H$41+'Hồi quy xác nhận liều'!$H$13+'Cảnh báo người thân'!$H$85+'FCM token Android'!$H$25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f>
        <v/>
      </c>
      <c r="D6" s="11">
        <f>'Chọn thuốc danh mục'!$H$42+'Hồi quy xác nhận liều'!$H$14+'Cảnh báo người thân'!$H$86+'FCM token Android'!$H$26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156.5" customHeight="1">
      <c r="A30" s="11" t="inlineStr">
        <is>
          <t>Phát hiện liều bỏ lỡ có xác minh</t>
        </is>
      </c>
      <c r="B30" s="10" t="inlineStr">
        <is>
          <t>Worker quét liều quá hạn chót (giờ uống + 120'), chỉ ghi bo_lo và báo người thân khi checkpoint đồng bộ của patient &gt;= hạn chót; chưa xác minh thì vào hàng chờ và gửi push ẩn sync_request (task 3.19).</t>
        </is>
      </c>
      <c r="C30" s="11" t="inlineStr">
        <is>
          <t>Bỏ lỡ liều có xác minh</t>
        </is>
      </c>
      <c r="D30" s="18">
        <f>IFERROR(('Bỏ lỡ liều có xác minh'!$H$63-'Bỏ lỡ liều có xác minh'!$H$62)/'Bỏ lỡ liều có xác minh'!$H$63,0)</f>
        <v/>
      </c>
      <c r="E30" s="18">
        <f>IFERROR('Bỏ lỡ liều có xác minh'!$H$60/'Bỏ lỡ liều có xác minh'!$H$63,0)</f>
        <v/>
      </c>
      <c r="F30" s="18">
        <f>IFERROR('Bỏ lỡ liều có xác minh'!$H$61/'Bỏ lỡ liều có xác minh'!$H$63,0)</f>
        <v/>
      </c>
      <c r="G30" s="11" t="inlineStr">
        <is>
          <t>High</t>
        </is>
      </c>
      <c r="H30"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0" s="11" t="inlineStr">
        <is>
          <t>zannguyen</t>
        </is>
      </c>
    </row>
    <row r="31" ht="123.5" customHeight="1">
      <c r="A31" s="11" t="inlineStr">
        <is>
          <t>Checkpoint đồng bộ liều</t>
        </is>
      </c>
      <c r="B31"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1" s="11" t="inlineStr">
        <is>
          <t>Checkpoint đồng bộ liều</t>
        </is>
      </c>
      <c r="D31" s="18">
        <f>IFERROR(('Checkpoint đồng bộ liều'!$H$34-'Checkpoint đồng bộ liều'!$H$33)/'Checkpoint đồng bộ liều'!$H$34,0)</f>
        <v/>
      </c>
      <c r="E31" s="18">
        <f>IFERROR('Checkpoint đồng bộ liều'!$H$31/'Checkpoint đồng bộ liều'!$H$34,0)</f>
        <v/>
      </c>
      <c r="F31" s="18">
        <f>IFERROR('Checkpoint đồng bộ liều'!$H$32/'Checkpoint đồng bộ liều'!$H$34,0)</f>
        <v/>
      </c>
      <c r="G31" s="11" t="inlineStr">
        <is>
          <t>High</t>
        </is>
      </c>
      <c r="H31" s="10" t="inlineStr">
        <is>
          <t>Toàn bộ test tích hợp (api_role, PEP thật) và test Flutter pass; grant theo role đúng thiết kế. Không có lỗi sản phẩm.</t>
        </is>
      </c>
      <c r="I31" s="11" t="inlineStr">
        <is>
          <t>zannguyen</t>
        </is>
      </c>
    </row>
    <row r="32" ht="107" customHeight="1">
      <c r="A32" s="11" t="inlineStr">
        <is>
          <t>Lịch sử: liều chưa xác minh</t>
        </is>
      </c>
      <c r="B32" s="10" t="inlineStr">
        <is>
          <t>GET /adherence trả status chua_xac_minh cho liều quá hạn chót mà patient chưa đồng bộ sau hạn chót, không tính vào tỷ lệ, kèm patient_last_synced_at; hai màn lịch sử mobile đọc được trạng thái mới (task 3.19).</t>
        </is>
      </c>
      <c r="C32" s="11" t="inlineStr">
        <is>
          <t>Lịch sử chưa xác minh</t>
        </is>
      </c>
      <c r="D32" s="18">
        <f>IFERROR(('Lịch sử chưa xác minh'!$H$24-'Lịch sử chưa xác minh'!$H$23)/'Lịch sử chưa xác minh'!$H$24,0)</f>
        <v/>
      </c>
      <c r="E32" s="18">
        <f>IFERROR('Lịch sử chưa xác minh'!$H$21/'Lịch sử chưa xác minh'!$H$24,0)</f>
        <v/>
      </c>
      <c r="F32" s="18">
        <f>IFERROR('Lịch sử chưa xác minh'!$H$22/'Lịch sử chưa xác minh'!$H$24,0)</f>
        <v/>
      </c>
      <c r="G32" s="11" t="inlineStr">
        <is>
          <t>Medium</t>
        </is>
      </c>
      <c r="H32" s="10" t="inlineStr">
        <is>
          <t>Test tích hợp, unit backend và Flutter pass. Hiển thị trên máy thật chưa có người xác nhận (Pending).</t>
        </is>
      </c>
      <c r="I32" s="11" t="inlineStr">
        <is>
          <t>zannguyen</t>
        </is>
      </c>
    </row>
    <row r="55">
      <c r="A55" s="19" t="inlineStr">
        <is>
          <t>Bug Report</t>
        </is>
      </c>
    </row>
    <row r="56">
      <c r="A56" s="20" t="inlineStr">
        <is>
          <t>Bug ID</t>
        </is>
      </c>
      <c r="B56" s="20" t="inlineStr">
        <is>
          <t>Description</t>
        </is>
      </c>
      <c r="C56" s="20" t="inlineStr">
        <is>
          <t>Steps to Reproduce</t>
        </is>
      </c>
      <c r="D56" s="20" t="inlineStr">
        <is>
          <t>Input Data</t>
        </is>
      </c>
      <c r="E56" s="20" t="inlineStr">
        <is>
          <t>Expected Result</t>
        </is>
      </c>
      <c r="F56" s="20" t="inlineStr">
        <is>
          <t>Actual Result</t>
        </is>
      </c>
      <c r="G56" s="20" t="inlineStr">
        <is>
          <t>Severity</t>
        </is>
      </c>
      <c r="H56" s="20" t="inlineStr">
        <is>
          <t>Name of Tester</t>
        </is>
      </c>
      <c r="I56" s="20" t="inlineStr">
        <is>
          <t>Logs</t>
        </is>
      </c>
    </row>
    <row r="57" ht="123.5" customHeight="1">
      <c r="A57" s="22" t="inlineStr">
        <is>
          <t>BUG-LOGIN-08</t>
        </is>
      </c>
      <c r="B57" s="22" t="inlineStr">
        <is>
          <t>Gửi số điện thoại có ký tự xuống dòng ở cuối</t>
        </is>
      </c>
      <c r="C57" s="22" t="inlineStr">
        <is>
          <t>1. POST /auth/mobile/otp {phone: "0900000001\n"}
2. POST /auth/mobile/verify {phone: "0900000001\n", token: 123456}</t>
        </is>
      </c>
      <c r="D57" s="22" t="inlineStr">
        <is>
          <t>phone: 0900000001 + ký tự \n</t>
        </is>
      </c>
      <c r="E57" s="22" t="inlineStr">
        <is>
          <t>422 {"detail":"invalid_phone"} (theo AC6 của 01-requirement)</t>
        </is>
      </c>
      <c r="F57" s="22" t="inlineStr">
        <is>
          <t>OTP 204, verify 200 và cấp phiên (backend bỏ ký tự trắng hai đầu)</t>
        </is>
      </c>
      <c r="G57" s="22" t="inlineStr">
        <is>
          <t>Low</t>
        </is>
      </c>
      <c r="H57" s="22" t="inlineStr">
        <is>
          <t>zannguyen</t>
        </is>
      </c>
      <c r="I57"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8" ht="123.5" customHeight="1">
      <c r="A58" s="22" t="inlineStr">
        <is>
          <t>BUG-LOGIN-11</t>
        </is>
      </c>
      <c r="B58" s="22" t="inlineStr">
        <is>
          <t>Gửi số điện thoại viết bằng chữ số Unicode</t>
        </is>
      </c>
      <c r="C58" s="22" t="inlineStr">
        <is>
          <t>1. POST /auth/mobile/otp {phone}
2. POST /auth/mobile/verify {phone, token: 123456}</t>
        </is>
      </c>
      <c r="D58" s="22" t="inlineStr">
        <is>
          <t>+８４９０００００００１ (full-width) | +٨٤٩٠٠٠٠٠٠٠١ (chữ số Ả Rập)</t>
        </is>
      </c>
      <c r="E58" s="22" t="inlineStr">
        <is>
          <t>422 {"detail":"invalid_phone"}, không gọi Supabase</t>
        </is>
      </c>
      <c r="F58" s="22" t="inlineStr">
        <is>
          <t>OTP 503 {"detail":"auth_provider_unavailable"}, verify 401 {"detail":"Invalid credentials"} — request đã tới Supabase</t>
        </is>
      </c>
      <c r="G58" s="22" t="inlineStr">
        <is>
          <t>Low</t>
        </is>
      </c>
      <c r="H58" s="22" t="inlineStr">
        <is>
          <t>zannguyen</t>
        </is>
      </c>
      <c r="I58"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9" ht="189.5" customHeight="1">
      <c r="A59" s="22" t="inlineStr">
        <is>
          <t>BUG-LOGIN-25</t>
        </is>
      </c>
      <c r="B59" s="22" t="inlineStr">
        <is>
          <t>Lưu họ tên có ký tự NUL</t>
        </is>
      </c>
      <c r="C59" s="22" t="inlineStr">
        <is>
          <t>1. POST /auth/profile {ho_ten: "abc\u0000def", ngày sinh, giới tính hợp lệ}</t>
        </is>
      </c>
      <c r="D59" s="22" t="inlineStr">
        <is>
          <t>ho_ten: abc\u0000def</t>
        </is>
      </c>
      <c r="E59" s="22" t="inlineStr">
        <is>
          <t>Không 5xx (từ chối 422 hoặc lưu được); không lộ chi tiết nội bộ</t>
        </is>
      </c>
      <c r="F59" s="22" t="inlineStr">
        <is>
          <t>500 Internal Server Error</t>
        </is>
      </c>
      <c r="G59" s="22" t="inlineStr">
        <is>
          <t>Medium</t>
        </is>
      </c>
      <c r="H59" s="22" t="inlineStr">
        <is>
          <t>zannguyen</t>
        </is>
      </c>
      <c r="I59"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0" ht="90.5" customHeight="1">
      <c r="A60" s="22" t="inlineStr">
        <is>
          <t>BUG-LOGIN-30</t>
        </is>
      </c>
      <c r="B60" s="22" t="inlineStr">
        <is>
          <t>Lưu họ tên dài 256 ký tự</t>
        </is>
      </c>
      <c r="C60" s="22" t="inlineStr">
        <is>
          <t>1. POST /auth/profile {ho_ten: A*256}</t>
        </is>
      </c>
      <c r="D60" s="22" t="inlineStr">
        <is>
          <t>A*256</t>
        </is>
      </c>
      <c r="E60" s="22" t="inlineStr">
        <is>
          <t>422; hồ sơ không đổi (giới hạn 255 theo Q4 của 01-requirement)</t>
        </is>
      </c>
      <c r="F60" s="22" t="inlineStr">
        <is>
          <t>204, đã lưu</t>
        </is>
      </c>
      <c r="G60" s="22" t="inlineStr">
        <is>
          <t>Low</t>
        </is>
      </c>
      <c r="H60" s="22" t="inlineStr">
        <is>
          <t>zannguyen</t>
        </is>
      </c>
      <c r="I60" s="22" t="inlineStr">
        <is>
          <t>Không có giới hạn độ dài họ tên: `_validate_profile` (sign_in.py) chỉ kiểm rỗng; cột users.full_name kiểu text không giới hạn
Log: evidence/test-integration.log</t>
        </is>
      </c>
    </row>
    <row r="61" ht="90.5" customHeight="1">
      <c r="A61" s="22" t="inlineStr">
        <is>
          <t>BUG-LOGIN-32</t>
        </is>
      </c>
      <c r="B61" s="22" t="inlineStr">
        <is>
          <t>Lưu ngày sinh trước 1900-01-01</t>
        </is>
      </c>
      <c r="C61" s="22" t="inlineStr">
        <is>
          <t>1. POST /auth/profile {ngay_sinh}</t>
        </is>
      </c>
      <c r="D61" s="22" t="inlineStr">
        <is>
          <t>1899-12-31 | 0001-01-01</t>
        </is>
      </c>
      <c r="E61" s="22" t="inlineStr">
        <is>
          <t>422; hồ sơ không đổi (cận dưới 1900-01-01 theo Q4)</t>
        </is>
      </c>
      <c r="F61" s="22" t="inlineStr">
        <is>
          <t>204 ở cả hai giá trị, đã lưu</t>
        </is>
      </c>
      <c r="G61" s="22" t="inlineStr">
        <is>
          <t>Low</t>
        </is>
      </c>
      <c r="H61" s="22" t="inlineStr">
        <is>
          <t>zannguyen</t>
        </is>
      </c>
      <c r="I61" s="22" t="inlineStr">
        <is>
          <t>`_validate_birth_date` (sign_in.py:229–231) chỉ chặn ngày tương lai, không có cận dưới. App mobile đã giới hạn date picker từ 1900 nên chỉ gặp khi gọi API trực tiếp
Log: evidence/test-integration.log</t>
        </is>
      </c>
    </row>
    <row r="62" ht="123.5" customHeight="1">
      <c r="A62" s="22" t="inlineStr">
        <is>
          <t>BUG-LOGIN-35</t>
        </is>
      </c>
      <c r="B62" s="22" t="inlineStr">
        <is>
          <t>Lưu ngày sinh là hôm nay lúc 00:30 giờ Việt Nam</t>
        </is>
      </c>
      <c r="C62" s="22" t="inlineStr">
        <is>
          <t>1. POST /auth/profile {ngay_sinh: "2026-10-08"}</t>
        </is>
      </c>
      <c r="D62" s="22" t="inlineStr">
        <is>
          <t>ngay_sinh: 2026-10-08</t>
        </is>
      </c>
      <c r="E62" s="22" t="inlineStr">
        <is>
          <t>204 (hôm nay theo giờ Asia/Ho_Chi_Minh — bất biến 7)</t>
        </is>
      </c>
      <c r="F62" s="22" t="inlineStr">
        <is>
          <t>422 {"detail":"invalid_date_of_birth"}</t>
        </is>
      </c>
      <c r="G62" s="22" t="inlineStr">
        <is>
          <t>Medium</t>
        </is>
      </c>
      <c r="H62" s="22" t="inlineStr">
        <is>
          <t>zannguyen</t>
        </is>
      </c>
      <c r="I62"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3" ht="173" customHeight="1">
      <c r="A63" s="22" t="inlineStr">
        <is>
          <t>BUG-LOGIN-42</t>
        </is>
      </c>
      <c r="B63" s="22" t="inlineStr">
        <is>
          <t>Chạm lại ô OTP sau khi nhập sai để sửa mã</t>
        </is>
      </c>
      <c r="C63" s="22" t="inlineStr">
        <is>
          <t>1. Chạm vào ô mã OTP
2. Theo dõi request backend nhận được</t>
        </is>
      </c>
      <c r="D63" s="22" t="inlineStr">
        <is>
          <t>Ô đang chứa 000000</t>
        </is>
      </c>
      <c r="E63" s="22" t="inlineStr">
        <is>
          <t>Không gửi xác thực cho tới khi người dùng nhập mã mới đủ 6 số</t>
        </is>
      </c>
      <c r="F63" s="22" t="inlineStr">
        <is>
          <t>Backend nhận thêm một POST /auth/mobile/verify 401 với mã cũ ngay khi chạm ô (chuỗi request: otp 204, verify 401, verify 401, verify 200)</t>
        </is>
      </c>
      <c r="G63" s="22" t="inlineStr">
        <is>
          <t>Low</t>
        </is>
      </c>
      <c r="H63" s="22" t="inlineStr">
        <is>
          <t>zannguyen</t>
        </is>
      </c>
      <c r="I63"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4" ht="222.5" customHeight="1">
      <c r="A64" s="22" t="inlineStr">
        <is>
          <t>BUG-LINKCODE-28</t>
        </is>
      </c>
      <c r="B64" s="22" t="inlineStr">
        <is>
          <t>Toàn bộ unit test, architecture test và ruff toàn repo pass</t>
        </is>
      </c>
      <c r="C64" s="22" t="inlineStr">
        <is>
          <t>1. pytest tests/unit tests/architecture -q
2. ruff check .
3. So với baseline trước khi sửa code</t>
        </is>
      </c>
      <c r="D64" s="22" t="inlineStr">
        <is>
          <t>-</t>
        </is>
      </c>
      <c r="E64" s="22" t="inlineStr">
        <is>
          <t>pytest và ruff đều pass</t>
        </is>
      </c>
      <c r="F64"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4" s="22" t="inlineStr">
        <is>
          <t>Low</t>
        </is>
      </c>
      <c r="H64" s="22" t="inlineStr">
        <is>
          <t>zannguyen</t>
        </is>
      </c>
      <c r="I64"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5" ht="239" customHeight="1">
      <c r="A65" s="22" t="inlineStr">
        <is>
          <t>BUG-REGDOSE-01</t>
        </is>
      </c>
      <c r="B65" s="22" t="inlineStr">
        <is>
          <t>Đối chiếu scheduled_at có giây khi xác nhận liều</t>
        </is>
      </c>
      <c r="C65"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5" s="22" t="inlineStr">
        <is>
          <t>client_uuid: UUID mới; schedule_id: fixture; scheduled_at=2026-10-02T01:00:59.999Z; taken_at=2026-10-02T01:05:59.999Z</t>
        </is>
      </c>
      <c r="E65" s="22" t="inlineStr">
        <is>
          <t>Theo test hiện có: HTTP 200, synced, da_uong và scheduled_at=2026-10-02T01:00:00Z.</t>
        </is>
      </c>
      <c r="F65" s="22" t="inlineStr">
        <is>
          <t>HTTP 200, synced, da_uong; scheduled_at=2026-10-02T01:00:59.999000Z. Fail trong suite DB và lặp lại khi chạy riêng (1 failed trong 1.67s).</t>
        </is>
      </c>
      <c r="G65" s="22" t="inlineStr">
        <is>
          <t>Medium</t>
        </is>
      </c>
      <c r="H65" s="22" t="inlineStr">
        <is>
          <t>phucnguyenngoc</t>
        </is>
      </c>
      <c r="I65"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6" ht="156.5" customHeight="1">
      <c r="A66" s="22" t="inlineStr">
        <is>
          <t>BUG-FALERT-19</t>
        </is>
      </c>
      <c r="B66" s="22" t="inlineStr">
        <is>
          <t>Lọc hộp thư mixed patient và từ chối patient_id trong PATCH</t>
        </is>
      </c>
      <c r="C66" s="22" t="inlineStr">
        <is>
          <t>1. Tạo hai notification cho F: P được phép và Q không có liên kết.
2. GET /notifications?patient_id=P&amp;user_id=Q; kiểm item và count.
3. PATCH notification Q với JSON {is_read:true,patient_id:P}.</t>
        </is>
      </c>
      <c r="D66" s="22" t="inlineStr">
        <is>
          <t>P/F là UUID synthetic mới mỗi lần; ID notification lấy từ DB fixture; giờ 2026-10-20T01:00:00Z.</t>
        </is>
      </c>
      <c r="E66" s="22" t="inlineStr">
        <is>
          <t>List chỉ trả P, total=unread_count=1 và Q có denied; PATCH field lạ phải trả 422.</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7" ht="123.5" customHeight="1">
      <c r="A67" s="22" t="inlineStr">
        <is>
          <t>BUG-FALERT-36</t>
        </is>
      </c>
      <c r="B67" s="22" t="inlineStr">
        <is>
          <t>Từ chối tham số phân trang ngoài biên [params0]</t>
        </is>
      </c>
      <c r="C67" s="22" t="inlineStr">
        <is>
          <t>1. Đăng nhập F có notification và quyền hợp lệ.
2. GET /notifications với limit=0, limit=101 hoặc offset=-1 theo Test Data.
3. Kiểm HTTP status và Cache-Control.</t>
        </is>
      </c>
      <c r="D67" s="22" t="inlineStr">
        <is>
          <t>limit=0; offset=0</t>
        </is>
      </c>
      <c r="E67" s="22" t="inlineStr">
        <is>
          <t>422 validation, Cache-Control:no-store; không trả dữ liệu notification.</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23.5" customHeight="1">
      <c r="A68" s="22" t="inlineStr">
        <is>
          <t>BUG-FALERT-37</t>
        </is>
      </c>
      <c r="B68" s="22" t="inlineStr">
        <is>
          <t>Từ chối tham số phân trang ngoài biên [params1]</t>
        </is>
      </c>
      <c r="C68" s="22" t="inlineStr">
        <is>
          <t>1. Đăng nhập F có notification và quyền hợp lệ.
2. GET /notifications với limit=0, limit=101 hoặc offset=-1 theo Test Data.
3. Kiểm HTTP status và Cache-Control.</t>
        </is>
      </c>
      <c r="D68" s="22" t="inlineStr">
        <is>
          <t>limit=101; offset=0</t>
        </is>
      </c>
      <c r="E68" s="22" t="inlineStr">
        <is>
          <t>422 validation, Cache-Control:no-store; không trả dữ liệu notification.</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23.5" customHeight="1">
      <c r="A69" s="22" t="inlineStr">
        <is>
          <t>BUG-FALERT-38</t>
        </is>
      </c>
      <c r="B69" s="22" t="inlineStr">
        <is>
          <t>Từ chối tham số phân trang ngoài biên [params2]</t>
        </is>
      </c>
      <c r="C69" s="22" t="inlineStr">
        <is>
          <t>1. Đăng nhập F có notification và quyền hợp lệ.
2. GET /notifications với limit=0, limit=101 hoặc offset=-1 theo Test Data.
3. Kiểm HTTP status và Cache-Control.</t>
        </is>
      </c>
      <c r="D69" s="22" t="inlineStr">
        <is>
          <t>limit=20; offset=-1</t>
        </is>
      </c>
      <c r="E69" s="22" t="inlineStr">
        <is>
          <t>422 validation, Cache-Control:no-store; không trả dữ liệu notification.</t>
        </is>
      </c>
      <c r="F69" s="22" t="inlineStr">
        <is>
          <t>HTTP 503 notification_access_unavailable thay vì 422; assertion fail.</t>
        </is>
      </c>
      <c r="G69" s="22" t="inlineStr">
        <is>
          <t>Medium</t>
        </is>
      </c>
      <c r="H69" s="22" t="inlineStr">
        <is>
          <t>phucnguyenngoc</t>
        </is>
      </c>
      <c r="I69"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sheetData>
  <mergeCells count="2">
    <mergeCell ref="A1:G1"/>
    <mergeCell ref="A3:A5"/>
  </mergeCells>
  <conditionalFormatting sqref="F11:F32">
    <cfRule type="cellIs" priority="1" operator="greaterThan" dxfId="0">
      <formula>0.2</formula>
    </cfRule>
  </conditionalFormatting>
  <conditionalFormatting sqref="G11:G32">
    <cfRule type="expression" priority="2" dxfId="0">
      <formula>OR(G11="Critical",G11="High")</formula>
    </cfRule>
  </conditionalFormatting>
  <conditionalFormatting sqref="G57:G69">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2" showDropDown="0" showInputMessage="0" showErrorMessage="0" allowBlank="1" type="list">
      <formula1>"Critical,High,Medium,Low"</formula1>
    </dataValidation>
    <dataValidation sqref="G57:G69"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2026-10-27T10:23:59Z</dcterms:modified>
  <cp:lastModifiedBy>Người dùng Khách</cp:lastModifiedBy>
</cp:coreProperties>
</file>